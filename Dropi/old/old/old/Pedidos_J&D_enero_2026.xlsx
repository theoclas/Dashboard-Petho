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634956264011c7a3/TRABAJO/J^0D/BASES DE DATOS/"/>
    </mc:Choice>
  </mc:AlternateContent>
  <xr:revisionPtr revIDLastSave="802" documentId="13_ncr:1_{65211EA9-E04D-41A3-B554-43E9E674E13B}" xr6:coauthVersionLast="47" xr6:coauthVersionMax="47" xr10:uidLastSave="{0B48E435-A9B8-4D12-B606-21311736AA22}"/>
  <bookViews>
    <workbookView xWindow="-120" yWindow="-120" windowWidth="38640" windowHeight="21120" firstSheet="3" activeTab="1" xr2:uid="{00000000-000D-0000-FFFF-FFFF00000000}"/>
  </bookViews>
  <sheets>
    <sheet name="CARTERA" sheetId="6" r:id="rId1"/>
    <sheet name="Pedidos" sheetId="2" r:id="rId2"/>
    <sheet name="NOTAS" sheetId="5" r:id="rId3"/>
    <sheet name="Mapeo_Estados" sheetId="3" r:id="rId4"/>
    <sheet name="Dashboard_Pro" sheetId="1" r:id="rId5"/>
    <sheet name="Estados_Encontrados" sheetId="4" r:id="rId6"/>
  </sheets>
  <definedNames>
    <definedName name="_xlnm._FilterDatabase" localSheetId="1" hidden="1">Pedidos!$N$1067:$N$1067</definedName>
    <definedName name="DatosExternos_1" localSheetId="1" hidden="1">Pedidos!$A$1:$AE$1065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65" i="2" l="1" a="1"/>
  <c r="P1065" i="2" s="1"/>
  <c r="P1063" i="2" a="1"/>
  <c r="P1063" i="2" s="1"/>
  <c r="P1064" i="2" a="1"/>
  <c r="P1064" i="2" s="1"/>
  <c r="P1040" i="2" a="1"/>
  <c r="P1040" i="2" s="1"/>
  <c r="P1041" i="2" a="1"/>
  <c r="P1041" i="2" s="1"/>
  <c r="P1038" i="2" a="1"/>
  <c r="P1038" i="2" s="1"/>
  <c r="P1039" i="2" a="1"/>
  <c r="P1039" i="2" s="1"/>
  <c r="P1044" i="2" a="1"/>
  <c r="P1044" i="2" s="1"/>
  <c r="P1045" i="2" a="1"/>
  <c r="P1045" i="2" s="1"/>
  <c r="P1043" i="2" a="1"/>
  <c r="P1043" i="2" s="1"/>
  <c r="P1042" i="2" a="1"/>
  <c r="P1042" i="2" s="1"/>
  <c r="P1037" i="2" a="1"/>
  <c r="P1037" i="2" s="1"/>
  <c r="P1031" i="2" a="1"/>
  <c r="P1031" i="2" s="1"/>
  <c r="P1032" i="2" a="1"/>
  <c r="P1032" i="2" s="1"/>
  <c r="P1029" i="2" a="1"/>
  <c r="P1029" i="2" s="1"/>
  <c r="P1030" i="2" a="1"/>
  <c r="P1030" i="2" s="1"/>
  <c r="P1035" i="2" a="1"/>
  <c r="P1035" i="2" s="1"/>
  <c r="P1036" i="2" a="1"/>
  <c r="P1036" i="2" s="1"/>
  <c r="P1033" i="2" a="1"/>
  <c r="P1033" i="2" s="1"/>
  <c r="P1034" i="2" a="1"/>
  <c r="P1034" i="2" s="1"/>
  <c r="P1057" i="2" a="1"/>
  <c r="P1057" i="2" s="1"/>
  <c r="P1058" i="2" a="1"/>
  <c r="P1058" i="2" s="1"/>
  <c r="P1055" i="2" a="1"/>
  <c r="P1055" i="2" s="1"/>
  <c r="P1056" i="2" a="1"/>
  <c r="P1056" i="2" s="1"/>
  <c r="P1061" i="2" a="1"/>
  <c r="P1061" i="2" s="1"/>
  <c r="P1062" i="2" a="1"/>
  <c r="P1062" i="2" s="1"/>
  <c r="P1059" i="2" a="1"/>
  <c r="P1059" i="2" s="1"/>
  <c r="P1060" i="2" a="1"/>
  <c r="P1060" i="2" s="1"/>
  <c r="P1054" i="2" a="1"/>
  <c r="P1054" i="2" s="1"/>
  <c r="P1048" i="2" a="1"/>
  <c r="P1048" i="2" s="1"/>
  <c r="P1049" i="2" a="1"/>
  <c r="P1049" i="2" s="1"/>
  <c r="P1046" i="2" a="1"/>
  <c r="P1046" i="2" s="1"/>
  <c r="P1047" i="2" a="1"/>
  <c r="P1047" i="2" s="1"/>
  <c r="P1052" i="2" a="1"/>
  <c r="P1052" i="2" s="1"/>
  <c r="P1053" i="2" a="1"/>
  <c r="P1053" i="2" s="1"/>
  <c r="P1050" i="2" a="1"/>
  <c r="P1050" i="2" s="1"/>
  <c r="P1051" i="2" a="1"/>
  <c r="P1051" i="2" s="1"/>
  <c r="P1016" i="2" a="1"/>
  <c r="P1016" i="2" s="1"/>
  <c r="P1015" i="2" a="1"/>
  <c r="P1015" i="2" s="1"/>
  <c r="P1018" i="2" a="1"/>
  <c r="P1018" i="2" s="1"/>
  <c r="P1017" i="2" a="1"/>
  <c r="P1017" i="2" s="1"/>
  <c r="P1014" i="2" a="1"/>
  <c r="P1014" i="2" s="1"/>
  <c r="P1011" i="2" a="1"/>
  <c r="P1011" i="2" s="1"/>
  <c r="P1010" i="2" a="1"/>
  <c r="P1010" i="2" s="1"/>
  <c r="P1012" i="2" a="1"/>
  <c r="P1012" i="2" s="1"/>
  <c r="P1019" i="2" a="1"/>
  <c r="P1019" i="2" s="1"/>
  <c r="P1026" i="2" a="1"/>
  <c r="P1026" i="2" s="1"/>
  <c r="P1025" i="2" a="1"/>
  <c r="P1025" i="2" s="1"/>
  <c r="P1028" i="2" a="1"/>
  <c r="P1028" i="2" s="1"/>
  <c r="P1027" i="2" a="1"/>
  <c r="P1027" i="2" s="1"/>
  <c r="P1024" i="2" a="1"/>
  <c r="P1024" i="2" s="1"/>
  <c r="P1021" i="2" a="1"/>
  <c r="P1021" i="2" s="1"/>
  <c r="P1020" i="2" a="1"/>
  <c r="P1020" i="2" s="1"/>
  <c r="P1023" i="2" a="1"/>
  <c r="P1023" i="2" s="1"/>
  <c r="P1022" i="2" a="1"/>
  <c r="P1022" i="2" s="1"/>
  <c r="P983" i="2" a="1"/>
  <c r="P983" i="2" s="1"/>
  <c r="P984" i="2" a="1"/>
  <c r="P984" i="2" s="1"/>
  <c r="P982" i="2" a="1"/>
  <c r="P982" i="2" s="1"/>
  <c r="P980" i="2" a="1"/>
  <c r="P980" i="2" s="1"/>
  <c r="P988" i="2" a="1"/>
  <c r="P988" i="2" s="1"/>
  <c r="P989" i="2" a="1"/>
  <c r="P989" i="2" s="1"/>
  <c r="P987" i="2" a="1"/>
  <c r="P987" i="2" s="1"/>
  <c r="P985" i="2" a="1"/>
  <c r="P985" i="2" s="1"/>
  <c r="P986" i="2" a="1"/>
  <c r="P986" i="2" s="1"/>
  <c r="P973" i="2" a="1"/>
  <c r="P973" i="2" s="1"/>
  <c r="P974" i="2" a="1"/>
  <c r="P974" i="2" s="1"/>
  <c r="P972" i="2" a="1"/>
  <c r="P972" i="2" s="1"/>
  <c r="P970" i="2" a="1"/>
  <c r="P970" i="2" s="1"/>
  <c r="P971" i="2" a="1"/>
  <c r="P971" i="2" s="1"/>
  <c r="P978" i="2" a="1"/>
  <c r="P978" i="2" s="1"/>
  <c r="P979" i="2" a="1"/>
  <c r="P979" i="2" s="1"/>
  <c r="P977" i="2" a="1"/>
  <c r="P977" i="2" s="1"/>
  <c r="P975" i="2" a="1"/>
  <c r="P975" i="2" s="1"/>
  <c r="P976" i="2" a="1"/>
  <c r="P976" i="2" s="1"/>
  <c r="P1003" i="2" a="1"/>
  <c r="P1003" i="2" s="1"/>
  <c r="P1004" i="2" a="1"/>
  <c r="P1004" i="2" s="1"/>
  <c r="P1002" i="2" a="1"/>
  <c r="P1002" i="2" s="1"/>
  <c r="P1000" i="2" a="1"/>
  <c r="P1000" i="2" s="1"/>
  <c r="P1001" i="2" a="1"/>
  <c r="P1001" i="2" s="1"/>
  <c r="P1008" i="2" a="1"/>
  <c r="P1008" i="2" s="1"/>
  <c r="P1009" i="2" a="1"/>
  <c r="P1009" i="2" s="1"/>
  <c r="P1007" i="2" a="1"/>
  <c r="P1007" i="2" s="1"/>
  <c r="P1005" i="2" a="1"/>
  <c r="P1005" i="2" s="1"/>
  <c r="P1006" i="2" a="1"/>
  <c r="P1006" i="2" s="1"/>
  <c r="P993" i="2" a="1"/>
  <c r="P993" i="2" s="1"/>
  <c r="P994" i="2" a="1"/>
  <c r="P994" i="2" s="1"/>
  <c r="P992" i="2" a="1"/>
  <c r="P992" i="2" s="1"/>
  <c r="P990" i="2" a="1"/>
  <c r="P990" i="2" s="1"/>
  <c r="P991" i="2" a="1"/>
  <c r="P991" i="2" s="1"/>
  <c r="P998" i="2" a="1"/>
  <c r="P998" i="2" s="1"/>
  <c r="P999" i="2" a="1"/>
  <c r="P999" i="2" s="1"/>
  <c r="P997" i="2" a="1"/>
  <c r="P997" i="2" s="1"/>
  <c r="P995" i="2" a="1"/>
  <c r="P995" i="2" s="1"/>
  <c r="P996" i="2" a="1"/>
  <c r="P996" i="2" s="1"/>
  <c r="P933" i="2" a="1"/>
  <c r="P933" i="2" s="1"/>
  <c r="P934" i="2" a="1"/>
  <c r="P934" i="2" s="1"/>
  <c r="P935" i="2" a="1"/>
  <c r="P935" i="2" s="1"/>
  <c r="P930" i="2" a="1"/>
  <c r="P930" i="2" s="1"/>
  <c r="P931" i="2" a="1"/>
  <c r="P931" i="2" s="1"/>
  <c r="P932" i="2" a="1"/>
  <c r="P932" i="2" s="1"/>
  <c r="P936" i="2" a="1"/>
  <c r="P936" i="2" s="1"/>
  <c r="P940" i="2" a="1"/>
  <c r="P940" i="2" s="1"/>
  <c r="P941" i="2" a="1"/>
  <c r="P941" i="2" s="1"/>
  <c r="P942" i="2" a="1"/>
  <c r="P942" i="2" s="1"/>
  <c r="P937" i="2" a="1"/>
  <c r="P937" i="2" s="1"/>
  <c r="P938" i="2" a="1"/>
  <c r="P938" i="2" s="1"/>
  <c r="P939" i="2" a="1"/>
  <c r="P939" i="2" s="1"/>
  <c r="P929" i="2" a="1"/>
  <c r="P929" i="2" s="1"/>
  <c r="P919" i="2" a="1"/>
  <c r="P919" i="2" s="1"/>
  <c r="P920" i="2" a="1"/>
  <c r="P920" i="2" s="1"/>
  <c r="P921" i="2" a="1"/>
  <c r="P921" i="2" s="1"/>
  <c r="P916" i="2" a="1"/>
  <c r="P916" i="2" s="1"/>
  <c r="P917" i="2" a="1"/>
  <c r="P917" i="2" s="1"/>
  <c r="P918" i="2" a="1"/>
  <c r="P918" i="2" s="1"/>
  <c r="P922" i="2" a="1"/>
  <c r="P922" i="2" s="1"/>
  <c r="P926" i="2" a="1"/>
  <c r="P926" i="2" s="1"/>
  <c r="P927" i="2" a="1"/>
  <c r="P927" i="2" s="1"/>
  <c r="P928" i="2" a="1"/>
  <c r="P928" i="2" s="1"/>
  <c r="P923" i="2" a="1"/>
  <c r="P923" i="2" s="1"/>
  <c r="P924" i="2" a="1"/>
  <c r="P924" i="2" s="1"/>
  <c r="P925" i="2" a="1"/>
  <c r="P925" i="2" s="1"/>
  <c r="P960" i="2" a="1"/>
  <c r="P960" i="2" s="1"/>
  <c r="P961" i="2" a="1"/>
  <c r="P961" i="2" s="1"/>
  <c r="P962" i="2" a="1"/>
  <c r="P962" i="2" s="1"/>
  <c r="P957" i="2" a="1"/>
  <c r="P957" i="2" s="1"/>
  <c r="P958" i="2" a="1"/>
  <c r="P958" i="2" s="1"/>
  <c r="P959" i="2" a="1"/>
  <c r="P959" i="2" s="1"/>
  <c r="P963" i="2" a="1"/>
  <c r="P963" i="2" s="1"/>
  <c r="P967" i="2" a="1"/>
  <c r="P967" i="2" s="1"/>
  <c r="P968" i="2" a="1"/>
  <c r="P968" i="2" s="1"/>
  <c r="P969" i="2" a="1"/>
  <c r="P969" i="2" s="1"/>
  <c r="P964" i="2" a="1"/>
  <c r="P964" i="2" s="1"/>
  <c r="P965" i="2" a="1"/>
  <c r="P965" i="2" s="1"/>
  <c r="P966" i="2" a="1"/>
  <c r="P966" i="2" s="1"/>
  <c r="P956" i="2" a="1"/>
  <c r="P956" i="2" s="1"/>
  <c r="P946" i="2" a="1"/>
  <c r="P946" i="2" s="1"/>
  <c r="P947" i="2" a="1"/>
  <c r="P947" i="2" s="1"/>
  <c r="P948" i="2" a="1"/>
  <c r="P948" i="2" s="1"/>
  <c r="P943" i="2" a="1"/>
  <c r="P943" i="2" s="1"/>
  <c r="P944" i="2" a="1"/>
  <c r="P944" i="2" s="1"/>
  <c r="P945" i="2" a="1"/>
  <c r="P945" i="2" s="1"/>
  <c r="P949" i="2" a="1"/>
  <c r="P949" i="2" s="1"/>
  <c r="P953" i="2" a="1"/>
  <c r="P953" i="2" s="1"/>
  <c r="P954" i="2" a="1"/>
  <c r="P954" i="2" s="1"/>
  <c r="P955" i="2" a="1"/>
  <c r="P955" i="2" s="1"/>
  <c r="P950" i="2" a="1"/>
  <c r="P950" i="2" s="1"/>
  <c r="P951" i="2" a="1"/>
  <c r="P951" i="2" s="1"/>
  <c r="P952" i="2" a="1"/>
  <c r="P952" i="2" s="1"/>
  <c r="P887" i="2" a="1"/>
  <c r="P887" i="2" s="1"/>
  <c r="P888" i="2" a="1"/>
  <c r="P888" i="2" s="1"/>
  <c r="P886" i="2" a="1"/>
  <c r="P886" i="2" s="1"/>
  <c r="P884" i="2" a="1"/>
  <c r="P884" i="2" s="1"/>
  <c r="P885" i="2" a="1"/>
  <c r="P885" i="2" s="1"/>
  <c r="P892" i="2" a="1"/>
  <c r="P892" i="2" s="1"/>
  <c r="P893" i="2" a="1"/>
  <c r="P893" i="2" s="1"/>
  <c r="P891" i="2" a="1"/>
  <c r="P891" i="2" s="1"/>
  <c r="P889" i="2" a="1"/>
  <c r="P889" i="2" s="1"/>
  <c r="P890" i="2" a="1"/>
  <c r="P890" i="2" s="1"/>
  <c r="P883" i="2" a="1"/>
  <c r="P883" i="2" s="1"/>
  <c r="P876" i="2" a="1"/>
  <c r="P876" i="2" s="1"/>
  <c r="P877" i="2" a="1"/>
  <c r="P877" i="2" s="1"/>
  <c r="P875" i="2" a="1"/>
  <c r="P875" i="2" s="1"/>
  <c r="P873" i="2" a="1"/>
  <c r="P873" i="2" s="1"/>
  <c r="P874" i="2" a="1"/>
  <c r="P874" i="2" s="1"/>
  <c r="P881" i="2" a="1"/>
  <c r="P881" i="2" s="1"/>
  <c r="P882" i="2" a="1"/>
  <c r="P882" i="2" s="1"/>
  <c r="P880" i="2" a="1"/>
  <c r="P880" i="2" s="1"/>
  <c r="P878" i="2" a="1"/>
  <c r="P878" i="2" s="1"/>
  <c r="P879" i="2" a="1"/>
  <c r="P879" i="2" s="1"/>
  <c r="P894" i="2" a="1"/>
  <c r="P894" i="2" s="1"/>
  <c r="P909" i="2" a="1"/>
  <c r="P909" i="2" s="1"/>
  <c r="P910" i="2" a="1"/>
  <c r="P910" i="2" s="1"/>
  <c r="P908" i="2" a="1"/>
  <c r="P908" i="2" s="1"/>
  <c r="P906" i="2" a="1"/>
  <c r="P906" i="2" s="1"/>
  <c r="P907" i="2" a="1"/>
  <c r="P907" i="2" s="1"/>
  <c r="P914" i="2" a="1"/>
  <c r="P914" i="2" s="1"/>
  <c r="P915" i="2" a="1"/>
  <c r="P915" i="2" s="1"/>
  <c r="P913" i="2" a="1"/>
  <c r="P913" i="2" s="1"/>
  <c r="P911" i="2" a="1"/>
  <c r="P911" i="2" s="1"/>
  <c r="P912" i="2" a="1"/>
  <c r="P912" i="2" s="1"/>
  <c r="P905" i="2" a="1"/>
  <c r="P905" i="2" s="1"/>
  <c r="P898" i="2" a="1"/>
  <c r="P898" i="2" s="1"/>
  <c r="P899" i="2" a="1"/>
  <c r="P899" i="2" s="1"/>
  <c r="P897" i="2" a="1"/>
  <c r="P897" i="2" s="1"/>
  <c r="P895" i="2" a="1"/>
  <c r="P895" i="2" s="1"/>
  <c r="P896" i="2" a="1"/>
  <c r="P896" i="2" s="1"/>
  <c r="P903" i="2" a="1"/>
  <c r="P903" i="2" s="1"/>
  <c r="P904" i="2" a="1"/>
  <c r="P904" i="2" s="1"/>
  <c r="P902" i="2" a="1"/>
  <c r="P902" i="2" s="1"/>
  <c r="P900" i="2" a="1"/>
  <c r="P900" i="2" s="1"/>
  <c r="P901" i="2" a="1"/>
  <c r="P901" i="2" s="1"/>
  <c r="P835" i="2" a="1"/>
  <c r="P835" i="2" s="1"/>
  <c r="P836" i="2" a="1"/>
  <c r="P836" i="2" s="1"/>
  <c r="P837" i="2" a="1"/>
  <c r="P837" i="2" s="1"/>
  <c r="P834" i="2" a="1"/>
  <c r="P834" i="2" s="1"/>
  <c r="P831" i="2" a="1"/>
  <c r="P831" i="2" s="1"/>
  <c r="P832" i="2" a="1"/>
  <c r="P832" i="2" s="1"/>
  <c r="P833" i="2" a="1"/>
  <c r="P833" i="2" s="1"/>
  <c r="P842" i="2" a="1"/>
  <c r="P842" i="2" s="1"/>
  <c r="P843" i="2" a="1"/>
  <c r="P843" i="2" s="1"/>
  <c r="P844" i="2" a="1"/>
  <c r="P844" i="2" s="1"/>
  <c r="P841" i="2" a="1"/>
  <c r="P841" i="2" s="1"/>
  <c r="P838" i="2" a="1"/>
  <c r="P838" i="2" s="1"/>
  <c r="P839" i="2" a="1"/>
  <c r="P839" i="2" s="1"/>
  <c r="P840" i="2" a="1"/>
  <c r="P840" i="2" s="1"/>
  <c r="P821" i="2" a="1"/>
  <c r="P821" i="2" s="1"/>
  <c r="P822" i="2" a="1"/>
  <c r="P822" i="2" s="1"/>
  <c r="P823" i="2" a="1"/>
  <c r="P823" i="2" s="1"/>
  <c r="P820" i="2" a="1"/>
  <c r="P820" i="2" s="1"/>
  <c r="P817" i="2" a="1"/>
  <c r="P817" i="2" s="1"/>
  <c r="P818" i="2" a="1"/>
  <c r="P818" i="2" s="1"/>
  <c r="P819" i="2" a="1"/>
  <c r="P819" i="2" s="1"/>
  <c r="P828" i="2" a="1"/>
  <c r="P828" i="2" s="1"/>
  <c r="P829" i="2" a="1"/>
  <c r="P829" i="2" s="1"/>
  <c r="P830" i="2" a="1"/>
  <c r="P830" i="2" s="1"/>
  <c r="P827" i="2" a="1"/>
  <c r="P827" i="2" s="1"/>
  <c r="P824" i="2" a="1"/>
  <c r="P824" i="2" s="1"/>
  <c r="P825" i="2" a="1"/>
  <c r="P825" i="2" s="1"/>
  <c r="P826" i="2" a="1"/>
  <c r="P826" i="2" s="1"/>
  <c r="P863" i="2" a="1"/>
  <c r="P863" i="2" s="1"/>
  <c r="P864" i="2" a="1"/>
  <c r="P864" i="2" s="1"/>
  <c r="P865" i="2" a="1"/>
  <c r="P865" i="2" s="1"/>
  <c r="P862" i="2" a="1"/>
  <c r="P862" i="2" s="1"/>
  <c r="P859" i="2" a="1"/>
  <c r="P859" i="2" s="1"/>
  <c r="P860" i="2" a="1"/>
  <c r="P860" i="2" s="1"/>
  <c r="P861" i="2" a="1"/>
  <c r="P861" i="2" s="1"/>
  <c r="P870" i="2" a="1"/>
  <c r="P870" i="2" s="1"/>
  <c r="P871" i="2" a="1"/>
  <c r="P871" i="2" s="1"/>
  <c r="P872" i="2" a="1"/>
  <c r="P872" i="2" s="1"/>
  <c r="P869" i="2" a="1"/>
  <c r="P869" i="2" s="1"/>
  <c r="P866" i="2" a="1"/>
  <c r="P866" i="2" s="1"/>
  <c r="P867" i="2" a="1"/>
  <c r="P867" i="2" s="1"/>
  <c r="P868" i="2" a="1"/>
  <c r="P868" i="2" s="1"/>
  <c r="P849" i="2" a="1"/>
  <c r="P849" i="2" s="1"/>
  <c r="P850" i="2" a="1"/>
  <c r="P850" i="2" s="1"/>
  <c r="P851" i="2" a="1"/>
  <c r="P851" i="2" s="1"/>
  <c r="P848" i="2" a="1"/>
  <c r="P848" i="2" s="1"/>
  <c r="P845" i="2" a="1"/>
  <c r="P845" i="2" s="1"/>
  <c r="P846" i="2" a="1"/>
  <c r="P846" i="2" s="1"/>
  <c r="P847" i="2" a="1"/>
  <c r="P847" i="2" s="1"/>
  <c r="P856" i="2" a="1"/>
  <c r="P856" i="2" s="1"/>
  <c r="P857" i="2" a="1"/>
  <c r="P857" i="2" s="1"/>
  <c r="P858" i="2" a="1"/>
  <c r="P858" i="2" s="1"/>
  <c r="P855" i="2" a="1"/>
  <c r="P855" i="2" s="1"/>
  <c r="P852" i="2" a="1"/>
  <c r="P852" i="2" s="1"/>
  <c r="P853" i="2" a="1"/>
  <c r="P853" i="2" s="1"/>
  <c r="P854" i="2" a="1"/>
  <c r="P854" i="2" s="1"/>
  <c r="P775" i="2" a="1"/>
  <c r="P775" i="2" s="1"/>
  <c r="P776" i="2" a="1"/>
  <c r="P776" i="2" s="1"/>
  <c r="P777" i="2" a="1"/>
  <c r="P777" i="2" s="1"/>
  <c r="P774" i="2" a="1"/>
  <c r="P774" i="2" s="1"/>
  <c r="P771" i="2" a="1"/>
  <c r="P771" i="2" s="1"/>
  <c r="P772" i="2" a="1"/>
  <c r="P772" i="2" s="1"/>
  <c r="P773" i="2" a="1"/>
  <c r="P773" i="2" s="1"/>
  <c r="P778" i="2" a="1"/>
  <c r="P778" i="2" s="1"/>
  <c r="P783" i="2" a="1"/>
  <c r="P783" i="2" s="1"/>
  <c r="P784" i="2" a="1"/>
  <c r="P784" i="2" s="1"/>
  <c r="P785" i="2" a="1"/>
  <c r="P785" i="2" s="1"/>
  <c r="P782" i="2" a="1"/>
  <c r="P782" i="2" s="1"/>
  <c r="P779" i="2" a="1"/>
  <c r="P779" i="2" s="1"/>
  <c r="P780" i="2" a="1"/>
  <c r="P780" i="2" s="1"/>
  <c r="P781" i="2" a="1"/>
  <c r="P781" i="2" s="1"/>
  <c r="P770" i="2" a="1"/>
  <c r="P770" i="2" s="1"/>
  <c r="P759" i="2" a="1"/>
  <c r="P759" i="2" s="1"/>
  <c r="P760" i="2" a="1"/>
  <c r="P760" i="2" s="1"/>
  <c r="P761" i="2" a="1"/>
  <c r="P761" i="2" s="1"/>
  <c r="P758" i="2" a="1"/>
  <c r="P758" i="2" s="1"/>
  <c r="P755" i="2" a="1"/>
  <c r="P755" i="2" s="1"/>
  <c r="P756" i="2" a="1"/>
  <c r="P756" i="2" s="1"/>
  <c r="P757" i="2" a="1"/>
  <c r="P757" i="2" s="1"/>
  <c r="P762" i="2" a="1"/>
  <c r="P762" i="2" s="1"/>
  <c r="P767" i="2" a="1"/>
  <c r="P767" i="2" s="1"/>
  <c r="P768" i="2" a="1"/>
  <c r="P768" i="2" s="1"/>
  <c r="P769" i="2" a="1"/>
  <c r="P769" i="2" s="1"/>
  <c r="P766" i="2" a="1"/>
  <c r="P766" i="2" s="1"/>
  <c r="P763" i="2" a="1"/>
  <c r="P763" i="2" s="1"/>
  <c r="P764" i="2" a="1"/>
  <c r="P764" i="2" s="1"/>
  <c r="P765" i="2" a="1"/>
  <c r="P765" i="2" s="1"/>
  <c r="P806" i="2" a="1"/>
  <c r="P806" i="2" s="1"/>
  <c r="P807" i="2" a="1"/>
  <c r="P807" i="2" s="1"/>
  <c r="P808" i="2" a="1"/>
  <c r="P808" i="2" s="1"/>
  <c r="P805" i="2" a="1"/>
  <c r="P805" i="2" s="1"/>
  <c r="P802" i="2" a="1"/>
  <c r="P802" i="2" s="1"/>
  <c r="P803" i="2" a="1"/>
  <c r="P803" i="2" s="1"/>
  <c r="P804" i="2" a="1"/>
  <c r="P804" i="2" s="1"/>
  <c r="P809" i="2" a="1"/>
  <c r="P809" i="2" s="1"/>
  <c r="P814" i="2" a="1"/>
  <c r="P814" i="2" s="1"/>
  <c r="P815" i="2" a="1"/>
  <c r="P815" i="2" s="1"/>
  <c r="P816" i="2" a="1"/>
  <c r="P816" i="2" s="1"/>
  <c r="P813" i="2" a="1"/>
  <c r="P813" i="2" s="1"/>
  <c r="P810" i="2" a="1"/>
  <c r="P810" i="2" s="1"/>
  <c r="P811" i="2" a="1"/>
  <c r="P811" i="2" s="1"/>
  <c r="P812" i="2" a="1"/>
  <c r="P812" i="2" s="1"/>
  <c r="P801" i="2" a="1"/>
  <c r="P801" i="2" s="1"/>
  <c r="P790" i="2" a="1"/>
  <c r="P790" i="2" s="1"/>
  <c r="P791" i="2" a="1"/>
  <c r="P791" i="2" s="1"/>
  <c r="P792" i="2" a="1"/>
  <c r="P792" i="2" s="1"/>
  <c r="P789" i="2" a="1"/>
  <c r="P789" i="2" s="1"/>
  <c r="P786" i="2" a="1"/>
  <c r="P786" i="2" s="1"/>
  <c r="P787" i="2" a="1"/>
  <c r="P787" i="2" s="1"/>
  <c r="P788" i="2" a="1"/>
  <c r="P788" i="2" s="1"/>
  <c r="P793" i="2" a="1"/>
  <c r="P793" i="2" s="1"/>
  <c r="P798" i="2" a="1"/>
  <c r="P798" i="2" s="1"/>
  <c r="P799" i="2" a="1"/>
  <c r="P799" i="2" s="1"/>
  <c r="P800" i="2" a="1"/>
  <c r="P800" i="2" s="1"/>
  <c r="P797" i="2" a="1"/>
  <c r="P797" i="2" s="1"/>
  <c r="P794" i="2" a="1"/>
  <c r="P794" i="2" s="1"/>
  <c r="P795" i="2" a="1"/>
  <c r="P795" i="2" s="1"/>
  <c r="P796" i="2" a="1"/>
  <c r="P796" i="2" s="1"/>
  <c r="P643" i="2" a="1"/>
  <c r="P643" i="2" s="1"/>
  <c r="P644" i="2" a="1"/>
  <c r="P644" i="2" s="1"/>
  <c r="P642" i="2" a="1"/>
  <c r="P642" i="2" s="1"/>
  <c r="P640" i="2" a="1"/>
  <c r="P640" i="2" s="1"/>
  <c r="P641" i="2" a="1"/>
  <c r="P641" i="2" s="1"/>
  <c r="P648" i="2" a="1"/>
  <c r="P648" i="2" s="1"/>
  <c r="P649" i="2" a="1"/>
  <c r="P649" i="2" s="1"/>
  <c r="P647" i="2" a="1"/>
  <c r="P647" i="2" s="1"/>
  <c r="P645" i="2" a="1"/>
  <c r="P645" i="2" s="1"/>
  <c r="P646" i="2" a="1"/>
  <c r="P646" i="2" s="1"/>
  <c r="P639" i="2" a="1"/>
  <c r="P639" i="2" s="1"/>
  <c r="P632" i="2" a="1"/>
  <c r="P632" i="2" s="1"/>
  <c r="P633" i="2" a="1"/>
  <c r="P633" i="2" s="1"/>
  <c r="P631" i="2" a="1"/>
  <c r="P631" i="2" s="1"/>
  <c r="P629" i="2" a="1"/>
  <c r="P629" i="2" s="1"/>
  <c r="P630" i="2" a="1"/>
  <c r="P630" i="2" s="1"/>
  <c r="P637" i="2" a="1"/>
  <c r="P637" i="2" s="1"/>
  <c r="P638" i="2" a="1"/>
  <c r="P638" i="2" s="1"/>
  <c r="P636" i="2" a="1"/>
  <c r="P636" i="2" s="1"/>
  <c r="P634" i="2" a="1"/>
  <c r="P634" i="2" s="1"/>
  <c r="P635" i="2" a="1"/>
  <c r="P635" i="2" s="1"/>
  <c r="P664" i="2" a="1"/>
  <c r="P664" i="2" s="1"/>
  <c r="P665" i="2" a="1"/>
  <c r="P665" i="2" s="1"/>
  <c r="P663" i="2" a="1"/>
  <c r="P663" i="2" s="1"/>
  <c r="P661" i="2" a="1"/>
  <c r="P661" i="2" s="1"/>
  <c r="P662" i="2" a="1"/>
  <c r="P662" i="2" s="1"/>
  <c r="P669" i="2" a="1"/>
  <c r="P669" i="2" s="1"/>
  <c r="P670" i="2" a="1"/>
  <c r="P670" i="2" s="1"/>
  <c r="P668" i="2" a="1"/>
  <c r="P668" i="2" s="1"/>
  <c r="P666" i="2" a="1"/>
  <c r="P666" i="2" s="1"/>
  <c r="P667" i="2" a="1"/>
  <c r="P667" i="2" s="1"/>
  <c r="P660" i="2" a="1"/>
  <c r="P660" i="2" s="1"/>
  <c r="P653" i="2" a="1"/>
  <c r="P653" i="2" s="1"/>
  <c r="P654" i="2" a="1"/>
  <c r="P654" i="2" s="1"/>
  <c r="P652" i="2" a="1"/>
  <c r="P652" i="2" s="1"/>
  <c r="P650" i="2" a="1"/>
  <c r="P650" i="2" s="1"/>
  <c r="P651" i="2" a="1"/>
  <c r="P651" i="2" s="1"/>
  <c r="P658" i="2" a="1"/>
  <c r="P658" i="2" s="1"/>
  <c r="P659" i="2" a="1"/>
  <c r="P659" i="2" s="1"/>
  <c r="P657" i="2" a="1"/>
  <c r="P657" i="2" s="1"/>
  <c r="P655" i="2" a="1"/>
  <c r="P655" i="2" s="1"/>
  <c r="P656" i="2" a="1"/>
  <c r="P656" i="2" s="1"/>
  <c r="P601" i="2" a="1"/>
  <c r="P601" i="2" s="1"/>
  <c r="P602" i="2" a="1"/>
  <c r="P602" i="2" s="1"/>
  <c r="P600" i="2" a="1"/>
  <c r="P600" i="2" s="1"/>
  <c r="P598" i="2" a="1"/>
  <c r="P598" i="2" s="1"/>
  <c r="P599" i="2" a="1"/>
  <c r="P599" i="2" s="1"/>
  <c r="P606" i="2" a="1"/>
  <c r="P606" i="2" s="1"/>
  <c r="P607" i="2" a="1"/>
  <c r="P607" i="2" s="1"/>
  <c r="P605" i="2" a="1"/>
  <c r="P605" i="2" s="1"/>
  <c r="P603" i="2" a="1"/>
  <c r="P603" i="2" s="1"/>
  <c r="P604" i="2" a="1"/>
  <c r="P604" i="2" s="1"/>
  <c r="P597" i="2" a="1"/>
  <c r="P597" i="2" s="1"/>
  <c r="P590" i="2" a="1"/>
  <c r="P590" i="2" s="1"/>
  <c r="P591" i="2" a="1"/>
  <c r="P591" i="2" s="1"/>
  <c r="P589" i="2" a="1"/>
  <c r="P589" i="2" s="1"/>
  <c r="P587" i="2" a="1"/>
  <c r="P587" i="2" s="1"/>
  <c r="P588" i="2" a="1"/>
  <c r="P588" i="2" s="1"/>
  <c r="P595" i="2" a="1"/>
  <c r="P595" i="2" s="1"/>
  <c r="P596" i="2" a="1"/>
  <c r="P596" i="2" s="1"/>
  <c r="P594" i="2" a="1"/>
  <c r="P594" i="2" s="1"/>
  <c r="P592" i="2" a="1"/>
  <c r="P592" i="2" s="1"/>
  <c r="P593" i="2" a="1"/>
  <c r="P593" i="2" s="1"/>
  <c r="P622" i="2" a="1"/>
  <c r="P622" i="2" s="1"/>
  <c r="P623" i="2" a="1"/>
  <c r="P623" i="2" s="1"/>
  <c r="P621" i="2" a="1"/>
  <c r="P621" i="2" s="1"/>
  <c r="P619" i="2" a="1"/>
  <c r="P619" i="2" s="1"/>
  <c r="P620" i="2" a="1"/>
  <c r="P620" i="2" s="1"/>
  <c r="P627" i="2" a="1"/>
  <c r="P627" i="2" s="1"/>
  <c r="P628" i="2" a="1"/>
  <c r="P628" i="2" s="1"/>
  <c r="P626" i="2" a="1"/>
  <c r="P626" i="2" s="1"/>
  <c r="P624" i="2" a="1"/>
  <c r="P624" i="2" s="1"/>
  <c r="P625" i="2" a="1"/>
  <c r="P625" i="2" s="1"/>
  <c r="P618" i="2" a="1"/>
  <c r="P618" i="2" s="1"/>
  <c r="P611" i="2" a="1"/>
  <c r="P611" i="2" s="1"/>
  <c r="P612" i="2" a="1"/>
  <c r="P612" i="2" s="1"/>
  <c r="P610" i="2" a="1"/>
  <c r="P610" i="2" s="1"/>
  <c r="P608" i="2" a="1"/>
  <c r="P608" i="2" s="1"/>
  <c r="P609" i="2" a="1"/>
  <c r="P609" i="2" s="1"/>
  <c r="P616" i="2" a="1"/>
  <c r="P616" i="2" s="1"/>
  <c r="P617" i="2" a="1"/>
  <c r="P617" i="2" s="1"/>
  <c r="P615" i="2" a="1"/>
  <c r="P615" i="2" s="1"/>
  <c r="P613" i="2" a="1"/>
  <c r="P613" i="2" s="1"/>
  <c r="P614" i="2" a="1"/>
  <c r="P614" i="2" s="1"/>
  <c r="P727" i="2" a="1"/>
  <c r="P727" i="2" s="1"/>
  <c r="P728" i="2" a="1"/>
  <c r="P728" i="2" s="1"/>
  <c r="P726" i="2" a="1"/>
  <c r="P726" i="2" s="1"/>
  <c r="P724" i="2" a="1"/>
  <c r="P724" i="2" s="1"/>
  <c r="P725" i="2" a="1"/>
  <c r="P725" i="2" s="1"/>
  <c r="P732" i="2" a="1"/>
  <c r="P732" i="2" s="1"/>
  <c r="P733" i="2" a="1"/>
  <c r="P733" i="2" s="1"/>
  <c r="P731" i="2" a="1"/>
  <c r="P731" i="2" s="1"/>
  <c r="P729" i="2" a="1"/>
  <c r="P729" i="2" s="1"/>
  <c r="P730" i="2" a="1"/>
  <c r="P730" i="2" s="1"/>
  <c r="P723" i="2" a="1"/>
  <c r="P723" i="2" s="1"/>
  <c r="P716" i="2" a="1"/>
  <c r="P716" i="2" s="1"/>
  <c r="P717" i="2" a="1"/>
  <c r="P717" i="2" s="1"/>
  <c r="P715" i="2" a="1"/>
  <c r="P715" i="2" s="1"/>
  <c r="P713" i="2" a="1"/>
  <c r="P713" i="2" s="1"/>
  <c r="P714" i="2" a="1"/>
  <c r="P714" i="2" s="1"/>
  <c r="P721" i="2" a="1"/>
  <c r="P721" i="2" s="1"/>
  <c r="P722" i="2" a="1"/>
  <c r="P722" i="2" s="1"/>
  <c r="P720" i="2" a="1"/>
  <c r="P720" i="2" s="1"/>
  <c r="P718" i="2" a="1"/>
  <c r="P718" i="2" s="1"/>
  <c r="P719" i="2" a="1"/>
  <c r="P719" i="2" s="1"/>
  <c r="P748" i="2" a="1"/>
  <c r="P748" i="2" s="1"/>
  <c r="P749" i="2" a="1"/>
  <c r="P749" i="2" s="1"/>
  <c r="P747" i="2" a="1"/>
  <c r="P747" i="2" s="1"/>
  <c r="P745" i="2" a="1"/>
  <c r="P745" i="2" s="1"/>
  <c r="P746" i="2" a="1"/>
  <c r="P746" i="2" s="1"/>
  <c r="P753" i="2" a="1"/>
  <c r="P753" i="2" s="1"/>
  <c r="P754" i="2" a="1"/>
  <c r="P754" i="2" s="1"/>
  <c r="P752" i="2" a="1"/>
  <c r="P752" i="2" s="1"/>
  <c r="P750" i="2" a="1"/>
  <c r="P750" i="2" s="1"/>
  <c r="P751" i="2" a="1"/>
  <c r="P751" i="2" s="1"/>
  <c r="P744" i="2" a="1"/>
  <c r="P744" i="2" s="1"/>
  <c r="P737" i="2" a="1"/>
  <c r="P737" i="2" s="1"/>
  <c r="P738" i="2" a="1"/>
  <c r="P738" i="2" s="1"/>
  <c r="P736" i="2" a="1"/>
  <c r="P736" i="2" s="1"/>
  <c r="P734" i="2" a="1"/>
  <c r="P734" i="2" s="1"/>
  <c r="P735" i="2" a="1"/>
  <c r="P735" i="2" s="1"/>
  <c r="P742" i="2" a="1"/>
  <c r="P742" i="2" s="1"/>
  <c r="P743" i="2" a="1"/>
  <c r="P743" i="2" s="1"/>
  <c r="P741" i="2" a="1"/>
  <c r="P741" i="2" s="1"/>
  <c r="P739" i="2" a="1"/>
  <c r="P739" i="2" s="1"/>
  <c r="P740" i="2" a="1"/>
  <c r="P740" i="2" s="1"/>
  <c r="P685" i="2" a="1"/>
  <c r="P685" i="2" s="1"/>
  <c r="P686" i="2" a="1"/>
  <c r="P686" i="2" s="1"/>
  <c r="P684" i="2" a="1"/>
  <c r="P684" i="2" s="1"/>
  <c r="P682" i="2" a="1"/>
  <c r="P682" i="2" s="1"/>
  <c r="P683" i="2" a="1"/>
  <c r="P683" i="2" s="1"/>
  <c r="P690" i="2" a="1"/>
  <c r="P690" i="2" s="1"/>
  <c r="P691" i="2" a="1"/>
  <c r="P691" i="2" s="1"/>
  <c r="P689" i="2" a="1"/>
  <c r="P689" i="2" s="1"/>
  <c r="P687" i="2" a="1"/>
  <c r="P687" i="2" s="1"/>
  <c r="P688" i="2" a="1"/>
  <c r="P688" i="2" s="1"/>
  <c r="P681" i="2" a="1"/>
  <c r="P681" i="2" s="1"/>
  <c r="P674" i="2" a="1"/>
  <c r="P674" i="2" s="1"/>
  <c r="P675" i="2" a="1"/>
  <c r="P675" i="2" s="1"/>
  <c r="P673" i="2" a="1"/>
  <c r="P673" i="2" s="1"/>
  <c r="P671" i="2" a="1"/>
  <c r="P671" i="2" s="1"/>
  <c r="P672" i="2" a="1"/>
  <c r="P672" i="2" s="1"/>
  <c r="P679" i="2" a="1"/>
  <c r="P679" i="2" s="1"/>
  <c r="P680" i="2" a="1"/>
  <c r="P680" i="2" s="1"/>
  <c r="P678" i="2" a="1"/>
  <c r="P678" i="2" s="1"/>
  <c r="P676" i="2" a="1"/>
  <c r="P676" i="2" s="1"/>
  <c r="P677" i="2" a="1"/>
  <c r="P677" i="2" s="1"/>
  <c r="P706" i="2" a="1"/>
  <c r="P706" i="2" s="1"/>
  <c r="P707" i="2" a="1"/>
  <c r="P707" i="2" s="1"/>
  <c r="P705" i="2" a="1"/>
  <c r="P705" i="2" s="1"/>
  <c r="P703" i="2" a="1"/>
  <c r="P703" i="2" s="1"/>
  <c r="P704" i="2" a="1"/>
  <c r="P704" i="2" s="1"/>
  <c r="P711" i="2" a="1"/>
  <c r="P711" i="2" s="1"/>
  <c r="P712" i="2" a="1"/>
  <c r="P712" i="2" s="1"/>
  <c r="P710" i="2" a="1"/>
  <c r="P710" i="2" s="1"/>
  <c r="P708" i="2" a="1"/>
  <c r="P708" i="2" s="1"/>
  <c r="P709" i="2" a="1"/>
  <c r="P709" i="2" s="1"/>
  <c r="P702" i="2" a="1"/>
  <c r="P702" i="2" s="1"/>
  <c r="P695" i="2" a="1"/>
  <c r="P695" i="2" s="1"/>
  <c r="P696" i="2" a="1"/>
  <c r="P696" i="2" s="1"/>
  <c r="P694" i="2" a="1"/>
  <c r="P694" i="2" s="1"/>
  <c r="P692" i="2" a="1"/>
  <c r="P692" i="2" s="1"/>
  <c r="P693" i="2" a="1"/>
  <c r="P693" i="2" s="1"/>
  <c r="P700" i="2" a="1"/>
  <c r="P700" i="2" s="1"/>
  <c r="P701" i="2" a="1"/>
  <c r="P701" i="2" s="1"/>
  <c r="P699" i="2" a="1"/>
  <c r="P699" i="2" s="1"/>
  <c r="P697" i="2" a="1"/>
  <c r="P697" i="2" s="1"/>
  <c r="P698" i="2" a="1"/>
  <c r="P698" i="2" s="1"/>
  <c r="P550" i="2" a="1"/>
  <c r="P550" i="2" s="1"/>
  <c r="P551" i="2" a="1"/>
  <c r="P551" i="2" s="1"/>
  <c r="P552" i="2" a="1"/>
  <c r="P552" i="2" s="1"/>
  <c r="P547" i="2" a="1"/>
  <c r="P547" i="2" s="1"/>
  <c r="P548" i="2" a="1"/>
  <c r="P548" i="2" s="1"/>
  <c r="P549" i="2" a="1"/>
  <c r="P549" i="2" s="1"/>
  <c r="P553" i="2" a="1"/>
  <c r="P553" i="2" s="1"/>
  <c r="P557" i="2" a="1"/>
  <c r="P557" i="2" s="1"/>
  <c r="P558" i="2" a="1"/>
  <c r="P558" i="2" s="1"/>
  <c r="P559" i="2" a="1"/>
  <c r="P559" i="2" s="1"/>
  <c r="P554" i="2" a="1"/>
  <c r="P554" i="2" s="1"/>
  <c r="P555" i="2" a="1"/>
  <c r="P555" i="2" s="1"/>
  <c r="P556" i="2" a="1"/>
  <c r="P556" i="2" s="1"/>
  <c r="P537" i="2" a="1"/>
  <c r="P537" i="2" s="1"/>
  <c r="P538" i="2" a="1"/>
  <c r="P538" i="2" s="1"/>
  <c r="P539" i="2" a="1"/>
  <c r="P539" i="2" s="1"/>
  <c r="P534" i="2" a="1"/>
  <c r="P534" i="2" s="1"/>
  <c r="P535" i="2" a="1"/>
  <c r="P535" i="2" s="1"/>
  <c r="P536" i="2" a="1"/>
  <c r="P536" i="2" s="1"/>
  <c r="P540" i="2" a="1"/>
  <c r="P540" i="2" s="1"/>
  <c r="P544" i="2" a="1"/>
  <c r="P544" i="2" s="1"/>
  <c r="P545" i="2" a="1"/>
  <c r="P545" i="2" s="1"/>
  <c r="P546" i="2" a="1"/>
  <c r="P546" i="2" s="1"/>
  <c r="P541" i="2" a="1"/>
  <c r="P541" i="2" s="1"/>
  <c r="P542" i="2" a="1"/>
  <c r="P542" i="2" s="1"/>
  <c r="P543" i="2" a="1"/>
  <c r="P543" i="2" s="1"/>
  <c r="P560" i="2" a="1"/>
  <c r="P560" i="2" s="1"/>
  <c r="P577" i="2" a="1"/>
  <c r="P577" i="2" s="1"/>
  <c r="P578" i="2" a="1"/>
  <c r="P578" i="2" s="1"/>
  <c r="P579" i="2" a="1"/>
  <c r="P579" i="2" s="1"/>
  <c r="P574" i="2" a="1"/>
  <c r="P574" i="2" s="1"/>
  <c r="P575" i="2" a="1"/>
  <c r="P575" i="2" s="1"/>
  <c r="P576" i="2" a="1"/>
  <c r="P576" i="2" s="1"/>
  <c r="P580" i="2" a="1"/>
  <c r="P580" i="2" s="1"/>
  <c r="P584" i="2" a="1"/>
  <c r="P584" i="2" s="1"/>
  <c r="P585" i="2" a="1"/>
  <c r="P585" i="2" s="1"/>
  <c r="P586" i="2" a="1"/>
  <c r="P586" i="2" s="1"/>
  <c r="P581" i="2" a="1"/>
  <c r="P581" i="2" s="1"/>
  <c r="P582" i="2" a="1"/>
  <c r="P582" i="2" s="1"/>
  <c r="P583" i="2" a="1"/>
  <c r="P583" i="2" s="1"/>
  <c r="P564" i="2" a="1"/>
  <c r="P564" i="2" s="1"/>
  <c r="P565" i="2" a="1"/>
  <c r="P565" i="2" s="1"/>
  <c r="P566" i="2" a="1"/>
  <c r="P566" i="2" s="1"/>
  <c r="P561" i="2" a="1"/>
  <c r="P561" i="2" s="1"/>
  <c r="P562" i="2" a="1"/>
  <c r="P562" i="2" s="1"/>
  <c r="P563" i="2" a="1"/>
  <c r="P563" i="2" s="1"/>
  <c r="P567" i="2" a="1"/>
  <c r="P567" i="2" s="1"/>
  <c r="P571" i="2" a="1"/>
  <c r="P571" i="2" s="1"/>
  <c r="P572" i="2" a="1"/>
  <c r="P572" i="2" s="1"/>
  <c r="P573" i="2" a="1"/>
  <c r="P573" i="2" s="1"/>
  <c r="P568" i="2" a="1"/>
  <c r="P568" i="2" s="1"/>
  <c r="P569" i="2" a="1"/>
  <c r="P569" i="2" s="1"/>
  <c r="P570" i="2" a="1"/>
  <c r="P570" i="2" s="1"/>
  <c r="P532" i="2" a="1"/>
  <c r="P532" i="2" s="1"/>
  <c r="P533" i="2" a="1"/>
  <c r="P533" i="2" s="1"/>
  <c r="P503" i="2" a="1"/>
  <c r="P503" i="2" s="1"/>
  <c r="P504" i="2" a="1"/>
  <c r="P504" i="2" s="1"/>
  <c r="P502" i="2" a="1"/>
  <c r="P502" i="2" s="1"/>
  <c r="P500" i="2" a="1"/>
  <c r="P500" i="2" s="1"/>
  <c r="P501" i="2" a="1"/>
  <c r="P501" i="2" s="1"/>
  <c r="P508" i="2" a="1"/>
  <c r="P508" i="2" s="1"/>
  <c r="P509" i="2" a="1"/>
  <c r="P509" i="2" s="1"/>
  <c r="P507" i="2" a="1"/>
  <c r="P507" i="2" s="1"/>
  <c r="P505" i="2" a="1"/>
  <c r="P505" i="2" s="1"/>
  <c r="P506" i="2" a="1"/>
  <c r="P506" i="2" s="1"/>
  <c r="P499" i="2" a="1"/>
  <c r="P499" i="2" s="1"/>
  <c r="P492" i="2" a="1"/>
  <c r="P492" i="2" s="1"/>
  <c r="P493" i="2" a="1"/>
  <c r="P493" i="2" s="1"/>
  <c r="P491" i="2" a="1"/>
  <c r="P491" i="2" s="1"/>
  <c r="P489" i="2" a="1"/>
  <c r="P489" i="2" s="1"/>
  <c r="P490" i="2" a="1"/>
  <c r="P490" i="2" s="1"/>
  <c r="P497" i="2" a="1"/>
  <c r="P497" i="2" s="1"/>
  <c r="P498" i="2" a="1"/>
  <c r="P498" i="2" s="1"/>
  <c r="P496" i="2" a="1"/>
  <c r="P496" i="2" s="1"/>
  <c r="P494" i="2" a="1"/>
  <c r="P494" i="2" s="1"/>
  <c r="P495" i="2" a="1"/>
  <c r="P495" i="2" s="1"/>
  <c r="P510" i="2" a="1"/>
  <c r="P510" i="2" s="1"/>
  <c r="P525" i="2" a="1"/>
  <c r="P525" i="2" s="1"/>
  <c r="P526" i="2" a="1"/>
  <c r="P526" i="2" s="1"/>
  <c r="P524" i="2" a="1"/>
  <c r="P524" i="2" s="1"/>
  <c r="P522" i="2" a="1"/>
  <c r="P522" i="2" s="1"/>
  <c r="P523" i="2" a="1"/>
  <c r="P523" i="2" s="1"/>
  <c r="P530" i="2" a="1"/>
  <c r="P530" i="2" s="1"/>
  <c r="P531" i="2" a="1"/>
  <c r="P531" i="2" s="1"/>
  <c r="P529" i="2" a="1"/>
  <c r="P529" i="2" s="1"/>
  <c r="P527" i="2" a="1"/>
  <c r="P527" i="2" s="1"/>
  <c r="P528" i="2" a="1"/>
  <c r="P528" i="2" s="1"/>
  <c r="P521" i="2" a="1"/>
  <c r="P521" i="2" s="1"/>
  <c r="P514" i="2" a="1"/>
  <c r="P514" i="2" s="1"/>
  <c r="P515" i="2" a="1"/>
  <c r="P515" i="2" s="1"/>
  <c r="P513" i="2" a="1"/>
  <c r="P513" i="2" s="1"/>
  <c r="P511" i="2" a="1"/>
  <c r="P511" i="2" s="1"/>
  <c r="P512" i="2" a="1"/>
  <c r="P512" i="2" s="1"/>
  <c r="P519" i="2" a="1"/>
  <c r="P519" i="2" s="1"/>
  <c r="P520" i="2" a="1"/>
  <c r="P520" i="2" s="1"/>
  <c r="P518" i="2" a="1"/>
  <c r="P518" i="2" s="1"/>
  <c r="P516" i="2" a="1"/>
  <c r="P516" i="2" s="1"/>
  <c r="P517" i="2" a="1"/>
  <c r="P517" i="2" s="1"/>
  <c r="P456" i="2" a="1"/>
  <c r="P456" i="2" s="1"/>
  <c r="P457" i="2" a="1"/>
  <c r="P457" i="2" s="1"/>
  <c r="P458" i="2" a="1"/>
  <c r="P458" i="2" s="1"/>
  <c r="P453" i="2" a="1"/>
  <c r="P453" i="2" s="1"/>
  <c r="P454" i="2" a="1"/>
  <c r="P454" i="2" s="1"/>
  <c r="P455" i="2" a="1"/>
  <c r="P455" i="2" s="1"/>
  <c r="P462" i="2" a="1"/>
  <c r="P462" i="2" s="1"/>
  <c r="P463" i="2" a="1"/>
  <c r="P463" i="2" s="1"/>
  <c r="P464" i="2" a="1"/>
  <c r="P464" i="2" s="1"/>
  <c r="P459" i="2" a="1"/>
  <c r="P459" i="2" s="1"/>
  <c r="P460" i="2" a="1"/>
  <c r="P460" i="2" s="1"/>
  <c r="P461" i="2" a="1"/>
  <c r="P461" i="2" s="1"/>
  <c r="P444" i="2" a="1"/>
  <c r="P444" i="2" s="1"/>
  <c r="P445" i="2" a="1"/>
  <c r="P445" i="2" s="1"/>
  <c r="P446" i="2" a="1"/>
  <c r="P446" i="2" s="1"/>
  <c r="P441" i="2" a="1"/>
  <c r="P441" i="2" s="1"/>
  <c r="P442" i="2" a="1"/>
  <c r="P442" i="2" s="1"/>
  <c r="P443" i="2" a="1"/>
  <c r="P443" i="2" s="1"/>
  <c r="P450" i="2" a="1"/>
  <c r="P450" i="2" s="1"/>
  <c r="P451" i="2" a="1"/>
  <c r="P451" i="2" s="1"/>
  <c r="P452" i="2" a="1"/>
  <c r="P452" i="2" s="1"/>
  <c r="P447" i="2" a="1"/>
  <c r="P447" i="2" s="1"/>
  <c r="P448" i="2" a="1"/>
  <c r="P448" i="2" s="1"/>
  <c r="P449" i="2" a="1"/>
  <c r="P449" i="2" s="1"/>
  <c r="P480" i="2" a="1"/>
  <c r="P480" i="2" s="1"/>
  <c r="P481" i="2" a="1"/>
  <c r="P481" i="2" s="1"/>
  <c r="P482" i="2" a="1"/>
  <c r="P482" i="2" s="1"/>
  <c r="P477" i="2" a="1"/>
  <c r="P477" i="2" s="1"/>
  <c r="P478" i="2" a="1"/>
  <c r="P478" i="2" s="1"/>
  <c r="P479" i="2" a="1"/>
  <c r="P479" i="2" s="1"/>
  <c r="P486" i="2" a="1"/>
  <c r="P486" i="2" s="1"/>
  <c r="P487" i="2" a="1"/>
  <c r="P487" i="2" s="1"/>
  <c r="P488" i="2" a="1"/>
  <c r="P488" i="2" s="1"/>
  <c r="P483" i="2" a="1"/>
  <c r="P483" i="2" s="1"/>
  <c r="P484" i="2" a="1"/>
  <c r="P484" i="2" s="1"/>
  <c r="P485" i="2" a="1"/>
  <c r="P485" i="2" s="1"/>
  <c r="P468" i="2" a="1"/>
  <c r="P468" i="2" s="1"/>
  <c r="P469" i="2" a="1"/>
  <c r="P469" i="2" s="1"/>
  <c r="P470" i="2" a="1"/>
  <c r="P470" i="2" s="1"/>
  <c r="P465" i="2" a="1"/>
  <c r="P465" i="2" s="1"/>
  <c r="P466" i="2" a="1"/>
  <c r="P466" i="2" s="1"/>
  <c r="P467" i="2" a="1"/>
  <c r="P467" i="2" s="1"/>
  <c r="P474" i="2" a="1"/>
  <c r="P474" i="2" s="1"/>
  <c r="P475" i="2" a="1"/>
  <c r="P475" i="2" s="1"/>
  <c r="P476" i="2" a="1"/>
  <c r="P476" i="2" s="1"/>
  <c r="P471" i="2" a="1"/>
  <c r="P471" i="2" s="1"/>
  <c r="P472" i="2" a="1"/>
  <c r="P472" i="2" s="1"/>
  <c r="P473" i="2" a="1"/>
  <c r="P473" i="2" s="1"/>
  <c r="P388" i="2" a="1"/>
  <c r="P388" i="2" s="1"/>
  <c r="P387" i="2" a="1"/>
  <c r="P387" i="2" s="1"/>
  <c r="P390" i="2" a="1"/>
  <c r="P390" i="2" s="1"/>
  <c r="P389" i="2" a="1"/>
  <c r="P389" i="2" s="1"/>
  <c r="P386" i="2" a="1"/>
  <c r="P386" i="2" s="1"/>
  <c r="P383" i="2" a="1"/>
  <c r="P383" i="2" s="1"/>
  <c r="P382" i="2" a="1"/>
  <c r="P382" i="2" s="1"/>
  <c r="P385" i="2" a="1"/>
  <c r="P385" i="2" s="1"/>
  <c r="P384" i="2" a="1"/>
  <c r="P384" i="2" s="1"/>
  <c r="P391" i="2" a="1"/>
  <c r="P391" i="2" s="1"/>
  <c r="P398" i="2" a="1"/>
  <c r="P398" i="2" s="1"/>
  <c r="P397" i="2" a="1"/>
  <c r="P397" i="2" s="1"/>
  <c r="P400" i="2" a="1"/>
  <c r="P400" i="2" s="1"/>
  <c r="P399" i="2" a="1"/>
  <c r="P399" i="2" s="1"/>
  <c r="P396" i="2" a="1"/>
  <c r="P396" i="2" s="1"/>
  <c r="P393" i="2" a="1"/>
  <c r="P393" i="2" s="1"/>
  <c r="P392" i="2" a="1"/>
  <c r="P392" i="2" s="1"/>
  <c r="P395" i="2" a="1"/>
  <c r="P395" i="2" s="1"/>
  <c r="P394" i="2" a="1"/>
  <c r="P394" i="2" s="1"/>
  <c r="P381" i="2" a="1"/>
  <c r="P381" i="2" s="1"/>
  <c r="P368" i="2" a="1"/>
  <c r="P368" i="2" s="1"/>
  <c r="P367" i="2" a="1"/>
  <c r="P367" i="2" s="1"/>
  <c r="P370" i="2" a="1"/>
  <c r="P370" i="2" s="1"/>
  <c r="P369" i="2" a="1"/>
  <c r="P369" i="2" s="1"/>
  <c r="P366" i="2" a="1"/>
  <c r="P366" i="2" s="1"/>
  <c r="P363" i="2" a="1"/>
  <c r="P363" i="2" s="1"/>
  <c r="P362" i="2" a="1"/>
  <c r="P362" i="2" s="1"/>
  <c r="P365" i="2" a="1"/>
  <c r="P365" i="2" s="1"/>
  <c r="P364" i="2" a="1"/>
  <c r="P364" i="2" s="1"/>
  <c r="P371" i="2" a="1"/>
  <c r="P371" i="2" s="1"/>
  <c r="P378" i="2" a="1"/>
  <c r="P378" i="2" s="1"/>
  <c r="P377" i="2" a="1"/>
  <c r="P377" i="2" s="1"/>
  <c r="P380" i="2" a="1"/>
  <c r="P380" i="2" s="1"/>
  <c r="P379" i="2" a="1"/>
  <c r="P379" i="2" s="1"/>
  <c r="P376" i="2" a="1"/>
  <c r="P376" i="2" s="1"/>
  <c r="P373" i="2" a="1"/>
  <c r="P373" i="2" s="1"/>
  <c r="P372" i="2" a="1"/>
  <c r="P372" i="2" s="1"/>
  <c r="P375" i="2" a="1"/>
  <c r="P375" i="2" s="1"/>
  <c r="P374" i="2" a="1"/>
  <c r="P374" i="2" s="1"/>
  <c r="P401" i="2" a="1"/>
  <c r="P401" i="2" s="1"/>
  <c r="P428" i="2" a="1"/>
  <c r="P428" i="2" s="1"/>
  <c r="P427" i="2" a="1"/>
  <c r="P427" i="2" s="1"/>
  <c r="P430" i="2" a="1"/>
  <c r="P430" i="2" s="1"/>
  <c r="P429" i="2" a="1"/>
  <c r="P429" i="2" s="1"/>
  <c r="P426" i="2" a="1"/>
  <c r="P426" i="2" s="1"/>
  <c r="P423" i="2" a="1"/>
  <c r="P423" i="2" s="1"/>
  <c r="P422" i="2" a="1"/>
  <c r="P422" i="2" s="1"/>
  <c r="P425" i="2" a="1"/>
  <c r="P425" i="2" s="1"/>
  <c r="P424" i="2" a="1"/>
  <c r="P424" i="2" s="1"/>
  <c r="P431" i="2" a="1"/>
  <c r="P431" i="2" s="1"/>
  <c r="P438" i="2" a="1"/>
  <c r="P438" i="2" s="1"/>
  <c r="P437" i="2" a="1"/>
  <c r="P437" i="2" s="1"/>
  <c r="P440" i="2" a="1"/>
  <c r="P440" i="2" s="1"/>
  <c r="P439" i="2" a="1"/>
  <c r="P439" i="2" s="1"/>
  <c r="P436" i="2" a="1"/>
  <c r="P436" i="2" s="1"/>
  <c r="P433" i="2" a="1"/>
  <c r="P433" i="2" s="1"/>
  <c r="P432" i="2" a="1"/>
  <c r="P432" i="2" s="1"/>
  <c r="P435" i="2" a="1"/>
  <c r="P435" i="2" s="1"/>
  <c r="P434" i="2" a="1"/>
  <c r="P434" i="2" s="1"/>
  <c r="P421" i="2" a="1"/>
  <c r="P421" i="2" s="1"/>
  <c r="P408" i="2" a="1"/>
  <c r="P408" i="2" s="1"/>
  <c r="P407" i="2" a="1"/>
  <c r="P407" i="2" s="1"/>
  <c r="P410" i="2" a="1"/>
  <c r="P410" i="2" s="1"/>
  <c r="P409" i="2" a="1"/>
  <c r="P409" i="2" s="1"/>
  <c r="P406" i="2" a="1"/>
  <c r="P406" i="2" s="1"/>
  <c r="P403" i="2" a="1"/>
  <c r="P403" i="2" s="1"/>
  <c r="P402" i="2" a="1"/>
  <c r="P402" i="2" s="1"/>
  <c r="P405" i="2" a="1"/>
  <c r="P405" i="2" s="1"/>
  <c r="P404" i="2" a="1"/>
  <c r="P404" i="2" s="1"/>
  <c r="P412" i="2" a="1"/>
  <c r="P412" i="2" s="1"/>
  <c r="P418" i="2" a="1"/>
  <c r="P418" i="2" s="1"/>
  <c r="P417" i="2" a="1"/>
  <c r="P417" i="2" s="1"/>
  <c r="P420" i="2" a="1"/>
  <c r="P420" i="2" s="1"/>
  <c r="P419" i="2" a="1"/>
  <c r="P419" i="2" s="1"/>
  <c r="P416" i="2" a="1"/>
  <c r="P416" i="2" s="1"/>
  <c r="P413" i="2" a="1"/>
  <c r="P413" i="2" s="1"/>
  <c r="P411" i="2" a="1"/>
  <c r="P411" i="2" s="1"/>
  <c r="P415" i="2" a="1"/>
  <c r="P415" i="2" s="1"/>
  <c r="P414" i="2" a="1"/>
  <c r="P414" i="2" s="1"/>
  <c r="P308" i="2" a="1"/>
  <c r="P308" i="2" s="1"/>
  <c r="P307" i="2" a="1"/>
  <c r="P307" i="2" s="1"/>
  <c r="P309" i="2" a="1"/>
  <c r="P309" i="2" s="1"/>
  <c r="P311" i="2" a="1"/>
  <c r="P311" i="2" s="1"/>
  <c r="P310" i="2" a="1"/>
  <c r="P310" i="2" s="1"/>
  <c r="P303" i="2" a="1"/>
  <c r="P303" i="2" s="1"/>
  <c r="P302" i="2" a="1"/>
  <c r="P302" i="2" s="1"/>
  <c r="P304" i="2" a="1"/>
  <c r="P304" i="2" s="1"/>
  <c r="P306" i="2" a="1"/>
  <c r="P306" i="2" s="1"/>
  <c r="P305" i="2" a="1"/>
  <c r="P305" i="2" s="1"/>
  <c r="P318" i="2" a="1"/>
  <c r="P318" i="2" s="1"/>
  <c r="P317" i="2" a="1"/>
  <c r="P317" i="2" s="1"/>
  <c r="P319" i="2" a="1"/>
  <c r="P319" i="2" s="1"/>
  <c r="P321" i="2" a="1"/>
  <c r="P321" i="2" s="1"/>
  <c r="P320" i="2" a="1"/>
  <c r="P320" i="2" s="1"/>
  <c r="P313" i="2" a="1"/>
  <c r="P313" i="2" s="1"/>
  <c r="P312" i="2" a="1"/>
  <c r="P312" i="2" s="1"/>
  <c r="P314" i="2" a="1"/>
  <c r="P314" i="2" s="1"/>
  <c r="P316" i="2" a="1"/>
  <c r="P316" i="2" s="1"/>
  <c r="P315" i="2" a="1"/>
  <c r="P315" i="2" s="1"/>
  <c r="P288" i="2" a="1"/>
  <c r="P288" i="2" s="1"/>
  <c r="P287" i="2" a="1"/>
  <c r="P287" i="2" s="1"/>
  <c r="P289" i="2" a="1"/>
  <c r="P289" i="2" s="1"/>
  <c r="P291" i="2" a="1"/>
  <c r="P291" i="2" s="1"/>
  <c r="P290" i="2" a="1"/>
  <c r="P290" i="2" s="1"/>
  <c r="P283" i="2" a="1"/>
  <c r="P283" i="2" s="1"/>
  <c r="P282" i="2" a="1"/>
  <c r="P282" i="2" s="1"/>
  <c r="P284" i="2" a="1"/>
  <c r="P284" i="2" s="1"/>
  <c r="P286" i="2" a="1"/>
  <c r="P286" i="2" s="1"/>
  <c r="P285" i="2" a="1"/>
  <c r="P285" i="2" s="1"/>
  <c r="P298" i="2" a="1"/>
  <c r="P298" i="2" s="1"/>
  <c r="P297" i="2" a="1"/>
  <c r="P297" i="2" s="1"/>
  <c r="P299" i="2" a="1"/>
  <c r="P299" i="2" s="1"/>
  <c r="P301" i="2" a="1"/>
  <c r="P301" i="2" s="1"/>
  <c r="P300" i="2" a="1"/>
  <c r="P300" i="2" s="1"/>
  <c r="P293" i="2" a="1"/>
  <c r="P293" i="2" s="1"/>
  <c r="P292" i="2" a="1"/>
  <c r="P292" i="2" s="1"/>
  <c r="P294" i="2" a="1"/>
  <c r="P294" i="2" s="1"/>
  <c r="P296" i="2" a="1"/>
  <c r="P296" i="2" s="1"/>
  <c r="P295" i="2" a="1"/>
  <c r="P295" i="2" s="1"/>
  <c r="P348" i="2" a="1"/>
  <c r="P348" i="2" s="1"/>
  <c r="P347" i="2" a="1"/>
  <c r="P347" i="2" s="1"/>
  <c r="P349" i="2" a="1"/>
  <c r="P349" i="2" s="1"/>
  <c r="P351" i="2" a="1"/>
  <c r="P351" i="2" s="1"/>
  <c r="P350" i="2" a="1"/>
  <c r="P350" i="2" s="1"/>
  <c r="P343" i="2" a="1"/>
  <c r="P343" i="2" s="1"/>
  <c r="P342" i="2" a="1"/>
  <c r="P342" i="2" s="1"/>
  <c r="P344" i="2" a="1"/>
  <c r="P344" i="2" s="1"/>
  <c r="P346" i="2" a="1"/>
  <c r="P346" i="2" s="1"/>
  <c r="P345" i="2" a="1"/>
  <c r="P345" i="2" s="1"/>
  <c r="P358" i="2" a="1"/>
  <c r="P358" i="2" s="1"/>
  <c r="P357" i="2" a="1"/>
  <c r="P357" i="2" s="1"/>
  <c r="P359" i="2" a="1"/>
  <c r="P359" i="2" s="1"/>
  <c r="P361" i="2" a="1"/>
  <c r="P361" i="2" s="1"/>
  <c r="P360" i="2" a="1"/>
  <c r="P360" i="2" s="1"/>
  <c r="P353" i="2" a="1"/>
  <c r="P353" i="2" s="1"/>
  <c r="P352" i="2" a="1"/>
  <c r="P352" i="2" s="1"/>
  <c r="P354" i="2" a="1"/>
  <c r="P354" i="2" s="1"/>
  <c r="P356" i="2" a="1"/>
  <c r="P356" i="2" s="1"/>
  <c r="P355" i="2" a="1"/>
  <c r="P355" i="2" s="1"/>
  <c r="P328" i="2" a="1"/>
  <c r="P328" i="2" s="1"/>
  <c r="P327" i="2" a="1"/>
  <c r="P327" i="2" s="1"/>
  <c r="P329" i="2" a="1"/>
  <c r="P329" i="2" s="1"/>
  <c r="P331" i="2" a="1"/>
  <c r="P331" i="2" s="1"/>
  <c r="P330" i="2" a="1"/>
  <c r="P330" i="2" s="1"/>
  <c r="P323" i="2" a="1"/>
  <c r="P323" i="2" s="1"/>
  <c r="P322" i="2" a="1"/>
  <c r="P322" i="2" s="1"/>
  <c r="P324" i="2" a="1"/>
  <c r="P324" i="2" s="1"/>
  <c r="P326" i="2" a="1"/>
  <c r="P326" i="2" s="1"/>
  <c r="P325" i="2" a="1"/>
  <c r="P325" i="2" s="1"/>
  <c r="P338" i="2" a="1"/>
  <c r="P338" i="2" s="1"/>
  <c r="P337" i="2" a="1"/>
  <c r="P337" i="2" s="1"/>
  <c r="P339" i="2" a="1"/>
  <c r="P339" i="2" s="1"/>
  <c r="P341" i="2" a="1"/>
  <c r="P341" i="2" s="1"/>
  <c r="P340" i="2" a="1"/>
  <c r="P340" i="2" s="1"/>
  <c r="P333" i="2" a="1"/>
  <c r="P333" i="2" s="1"/>
  <c r="P332" i="2" a="1"/>
  <c r="P332" i="2" s="1"/>
  <c r="P334" i="2" a="1"/>
  <c r="P334" i="2" s="1"/>
  <c r="P336" i="2" a="1"/>
  <c r="P336" i="2" s="1"/>
  <c r="P335" i="2" a="1"/>
  <c r="P335" i="2" s="1"/>
  <c r="P229" i="2" a="1"/>
  <c r="P229" i="2" s="1"/>
  <c r="P228" i="2" a="1"/>
  <c r="P228" i="2" s="1"/>
  <c r="P231" i="2" a="1"/>
  <c r="P231" i="2" s="1"/>
  <c r="P230" i="2" a="1"/>
  <c r="P230" i="2" s="1"/>
  <c r="P227" i="2" a="1"/>
  <c r="P227" i="2" s="1"/>
  <c r="P224" i="2" a="1"/>
  <c r="P224" i="2" s="1"/>
  <c r="P223" i="2" a="1"/>
  <c r="P223" i="2" s="1"/>
  <c r="P226" i="2" a="1"/>
  <c r="P226" i="2" s="1"/>
  <c r="P225" i="2" a="1"/>
  <c r="P225" i="2" s="1"/>
  <c r="P232" i="2" a="1"/>
  <c r="P232" i="2" s="1"/>
  <c r="P239" i="2" a="1"/>
  <c r="P239" i="2" s="1"/>
  <c r="P238" i="2" a="1"/>
  <c r="P238" i="2" s="1"/>
  <c r="P241" i="2" a="1"/>
  <c r="P241" i="2" s="1"/>
  <c r="P240" i="2" a="1"/>
  <c r="P240" i="2" s="1"/>
  <c r="P237" i="2" a="1"/>
  <c r="P237" i="2" s="1"/>
  <c r="P234" i="2" a="1"/>
  <c r="P234" i="2" s="1"/>
  <c r="P233" i="2" a="1"/>
  <c r="P233" i="2" s="1"/>
  <c r="P236" i="2" a="1"/>
  <c r="P236" i="2" s="1"/>
  <c r="P235" i="2" a="1"/>
  <c r="P235" i="2" s="1"/>
  <c r="P222" i="2" a="1"/>
  <c r="P222" i="2" s="1"/>
  <c r="P209" i="2" a="1"/>
  <c r="P209" i="2" s="1"/>
  <c r="P208" i="2" a="1"/>
  <c r="P208" i="2" s="1"/>
  <c r="P211" i="2" a="1"/>
  <c r="P211" i="2" s="1"/>
  <c r="P210" i="2" a="1"/>
  <c r="P210" i="2" s="1"/>
  <c r="P207" i="2" a="1"/>
  <c r="P207" i="2" s="1"/>
  <c r="P204" i="2" a="1"/>
  <c r="P204" i="2" s="1"/>
  <c r="P203" i="2" a="1"/>
  <c r="P203" i="2" s="1"/>
  <c r="P206" i="2" a="1"/>
  <c r="P206" i="2" s="1"/>
  <c r="P205" i="2" a="1"/>
  <c r="P205" i="2" s="1"/>
  <c r="P212" i="2" a="1"/>
  <c r="P212" i="2" s="1"/>
  <c r="P219" i="2" a="1"/>
  <c r="P219" i="2" s="1"/>
  <c r="P218" i="2" a="1"/>
  <c r="P218" i="2" s="1"/>
  <c r="P221" i="2" a="1"/>
  <c r="P221" i="2" s="1"/>
  <c r="P220" i="2" a="1"/>
  <c r="P220" i="2" s="1"/>
  <c r="P217" i="2" a="1"/>
  <c r="P217" i="2" s="1"/>
  <c r="P214" i="2" a="1"/>
  <c r="P214" i="2" s="1"/>
  <c r="P213" i="2" a="1"/>
  <c r="P213" i="2" s="1"/>
  <c r="P216" i="2" a="1"/>
  <c r="P216" i="2" s="1"/>
  <c r="P215" i="2" a="1"/>
  <c r="P215" i="2" s="1"/>
  <c r="P242" i="2" a="1"/>
  <c r="P242" i="2" s="1"/>
  <c r="P269" i="2" a="1"/>
  <c r="P269" i="2" s="1"/>
  <c r="P268" i="2" a="1"/>
  <c r="P268" i="2" s="1"/>
  <c r="P271" i="2" a="1"/>
  <c r="P271" i="2" s="1"/>
  <c r="P270" i="2" a="1"/>
  <c r="P270" i="2" s="1"/>
  <c r="P267" i="2" a="1"/>
  <c r="P267" i="2" s="1"/>
  <c r="P264" i="2" a="1"/>
  <c r="P264" i="2" s="1"/>
  <c r="P263" i="2" a="1"/>
  <c r="P263" i="2" s="1"/>
  <c r="P266" i="2" a="1"/>
  <c r="P266" i="2" s="1"/>
  <c r="P265" i="2" a="1"/>
  <c r="P265" i="2" s="1"/>
  <c r="P272" i="2" a="1"/>
  <c r="P272" i="2" s="1"/>
  <c r="P279" i="2" a="1"/>
  <c r="P279" i="2" s="1"/>
  <c r="P278" i="2" a="1"/>
  <c r="P278" i="2" s="1"/>
  <c r="P281" i="2" a="1"/>
  <c r="P281" i="2" s="1"/>
  <c r="P280" i="2" a="1"/>
  <c r="P280" i="2" s="1"/>
  <c r="P277" i="2" a="1"/>
  <c r="P277" i="2" s="1"/>
  <c r="P274" i="2" a="1"/>
  <c r="P274" i="2" s="1"/>
  <c r="P273" i="2" a="1"/>
  <c r="P273" i="2" s="1"/>
  <c r="P276" i="2" a="1"/>
  <c r="P276" i="2" s="1"/>
  <c r="P275" i="2" a="1"/>
  <c r="P275" i="2" s="1"/>
  <c r="P262" i="2" a="1"/>
  <c r="P262" i="2" s="1"/>
  <c r="P249" i="2" a="1"/>
  <c r="P249" i="2" s="1"/>
  <c r="P248" i="2" a="1"/>
  <c r="P248" i="2" s="1"/>
  <c r="P251" i="2" a="1"/>
  <c r="P251" i="2" s="1"/>
  <c r="P250" i="2" a="1"/>
  <c r="P250" i="2" s="1"/>
  <c r="P247" i="2" a="1"/>
  <c r="P247" i="2" s="1"/>
  <c r="P244" i="2" a="1"/>
  <c r="P244" i="2" s="1"/>
  <c r="P243" i="2" a="1"/>
  <c r="P243" i="2" s="1"/>
  <c r="P246" i="2" a="1"/>
  <c r="P246" i="2" s="1"/>
  <c r="P245" i="2" a="1"/>
  <c r="P245" i="2" s="1"/>
  <c r="P252" i="2" a="1"/>
  <c r="P252" i="2" s="1"/>
  <c r="P259" i="2" a="1"/>
  <c r="P259" i="2" s="1"/>
  <c r="P258" i="2" a="1"/>
  <c r="P258" i="2" s="1"/>
  <c r="P261" i="2" a="1"/>
  <c r="P261" i="2" s="1"/>
  <c r="P260" i="2" a="1"/>
  <c r="P260" i="2" s="1"/>
  <c r="P257" i="2" a="1"/>
  <c r="P257" i="2" s="1"/>
  <c r="P254" i="2" a="1"/>
  <c r="P254" i="2" s="1"/>
  <c r="P253" i="2" a="1"/>
  <c r="P253" i="2" s="1"/>
  <c r="P256" i="2" a="1"/>
  <c r="P256" i="2" s="1"/>
  <c r="P255" i="2" a="1"/>
  <c r="P255" i="2" s="1"/>
  <c r="P145" i="2" a="1"/>
  <c r="P145" i="2" s="1"/>
  <c r="P144" i="2" a="1"/>
  <c r="P144" i="2" s="1"/>
  <c r="P146" i="2" a="1"/>
  <c r="P146" i="2" s="1"/>
  <c r="P148" i="2" a="1"/>
  <c r="P148" i="2" s="1"/>
  <c r="P147" i="2" a="1"/>
  <c r="P147" i="2" s="1"/>
  <c r="P140" i="2" a="1"/>
  <c r="P140" i="2" s="1"/>
  <c r="P139" i="2" a="1"/>
  <c r="P139" i="2" s="1"/>
  <c r="P141" i="2" a="1"/>
  <c r="P141" i="2" s="1"/>
  <c r="P143" i="2" a="1"/>
  <c r="P143" i="2" s="1"/>
  <c r="P142" i="2" a="1"/>
  <c r="P142" i="2" s="1"/>
  <c r="P149" i="2" a="1"/>
  <c r="P149" i="2" s="1"/>
  <c r="P156" i="2" a="1"/>
  <c r="P156" i="2" s="1"/>
  <c r="P155" i="2" a="1"/>
  <c r="P155" i="2" s="1"/>
  <c r="P157" i="2" a="1"/>
  <c r="P157" i="2" s="1"/>
  <c r="P159" i="2" a="1"/>
  <c r="P159" i="2" s="1"/>
  <c r="P158" i="2" a="1"/>
  <c r="P158" i="2" s="1"/>
  <c r="P151" i="2" a="1"/>
  <c r="P151" i="2" s="1"/>
  <c r="P150" i="2" a="1"/>
  <c r="P150" i="2" s="1"/>
  <c r="P152" i="2" a="1"/>
  <c r="P152" i="2" s="1"/>
  <c r="P154" i="2" a="1"/>
  <c r="P154" i="2" s="1"/>
  <c r="P153" i="2" a="1"/>
  <c r="P153" i="2" s="1"/>
  <c r="P138" i="2" a="1"/>
  <c r="P138" i="2" s="1"/>
  <c r="P123" i="2" a="1"/>
  <c r="P123" i="2" s="1"/>
  <c r="P122" i="2" a="1"/>
  <c r="P122" i="2" s="1"/>
  <c r="P124" i="2" a="1"/>
  <c r="P124" i="2" s="1"/>
  <c r="P126" i="2" a="1"/>
  <c r="P126" i="2" s="1"/>
  <c r="P125" i="2" a="1"/>
  <c r="P125" i="2" s="1"/>
  <c r="P118" i="2" a="1"/>
  <c r="P118" i="2" s="1"/>
  <c r="P117" i="2" a="1"/>
  <c r="P117" i="2" s="1"/>
  <c r="P119" i="2" a="1"/>
  <c r="P119" i="2" s="1"/>
  <c r="P121" i="2" a="1"/>
  <c r="P121" i="2" s="1"/>
  <c r="P120" i="2" a="1"/>
  <c r="P120" i="2" s="1"/>
  <c r="P127" i="2" a="1"/>
  <c r="P127" i="2" s="1"/>
  <c r="P134" i="2" a="1"/>
  <c r="P134" i="2" s="1"/>
  <c r="P133" i="2" a="1"/>
  <c r="P133" i="2" s="1"/>
  <c r="P135" i="2" a="1"/>
  <c r="P135" i="2" s="1"/>
  <c r="P137" i="2" a="1"/>
  <c r="P137" i="2" s="1"/>
  <c r="P136" i="2" a="1"/>
  <c r="P136" i="2" s="1"/>
  <c r="P129" i="2" a="1"/>
  <c r="P129" i="2" s="1"/>
  <c r="P128" i="2" a="1"/>
  <c r="P128" i="2" s="1"/>
  <c r="P130" i="2" a="1"/>
  <c r="P130" i="2" s="1"/>
  <c r="P132" i="2" a="1"/>
  <c r="P132" i="2" s="1"/>
  <c r="P131" i="2" a="1"/>
  <c r="P131" i="2" s="1"/>
  <c r="P188" i="2" a="1"/>
  <c r="P188" i="2" s="1"/>
  <c r="P187" i="2" a="1"/>
  <c r="P187" i="2" s="1"/>
  <c r="P189" i="2" a="1"/>
  <c r="P189" i="2" s="1"/>
  <c r="P191" i="2" a="1"/>
  <c r="P191" i="2" s="1"/>
  <c r="P190" i="2" a="1"/>
  <c r="P190" i="2" s="1"/>
  <c r="P183" i="2" a="1"/>
  <c r="P183" i="2" s="1"/>
  <c r="P182" i="2" a="1"/>
  <c r="P182" i="2" s="1"/>
  <c r="P184" i="2" a="1"/>
  <c r="P184" i="2" s="1"/>
  <c r="P186" i="2" a="1"/>
  <c r="P186" i="2" s="1"/>
  <c r="P185" i="2" a="1"/>
  <c r="P185" i="2" s="1"/>
  <c r="P192" i="2" a="1"/>
  <c r="P192" i="2" s="1"/>
  <c r="P199" i="2" a="1"/>
  <c r="P199" i="2" s="1"/>
  <c r="P198" i="2" a="1"/>
  <c r="P198" i="2" s="1"/>
  <c r="P200" i="2" a="1"/>
  <c r="P200" i="2" s="1"/>
  <c r="P202" i="2" a="1"/>
  <c r="P202" i="2" s="1"/>
  <c r="P201" i="2" a="1"/>
  <c r="P201" i="2" s="1"/>
  <c r="P194" i="2" a="1"/>
  <c r="P194" i="2" s="1"/>
  <c r="P193" i="2" a="1"/>
  <c r="P193" i="2" s="1"/>
  <c r="P195" i="2" a="1"/>
  <c r="P195" i="2" s="1"/>
  <c r="P197" i="2" a="1"/>
  <c r="P197" i="2" s="1"/>
  <c r="P196" i="2" a="1"/>
  <c r="P196" i="2" s="1"/>
  <c r="P181" i="2" a="1"/>
  <c r="P181" i="2" s="1"/>
  <c r="P166" i="2" a="1"/>
  <c r="P166" i="2" s="1"/>
  <c r="P165" i="2" a="1"/>
  <c r="P165" i="2" s="1"/>
  <c r="P167" i="2" a="1"/>
  <c r="P167" i="2" s="1"/>
  <c r="P169" i="2" a="1"/>
  <c r="P169" i="2" s="1"/>
  <c r="P168" i="2" a="1"/>
  <c r="P168" i="2" s="1"/>
  <c r="P161" i="2" a="1"/>
  <c r="P161" i="2" s="1"/>
  <c r="P160" i="2" a="1"/>
  <c r="P160" i="2" s="1"/>
  <c r="P162" i="2" a="1"/>
  <c r="P162" i="2" s="1"/>
  <c r="P164" i="2" a="1"/>
  <c r="P164" i="2" s="1"/>
  <c r="P163" i="2" a="1"/>
  <c r="P163" i="2" s="1"/>
  <c r="P170" i="2" a="1"/>
  <c r="P170" i="2" s="1"/>
  <c r="P177" i="2" a="1"/>
  <c r="P177" i="2" s="1"/>
  <c r="P176" i="2" a="1"/>
  <c r="P176" i="2" s="1"/>
  <c r="P178" i="2" a="1"/>
  <c r="P178" i="2" s="1"/>
  <c r="P180" i="2" a="1"/>
  <c r="P180" i="2" s="1"/>
  <c r="P179" i="2" a="1"/>
  <c r="P179" i="2" s="1"/>
  <c r="P172" i="2" a="1"/>
  <c r="P172" i="2" s="1"/>
  <c r="P171" i="2" a="1"/>
  <c r="P171" i="2" s="1"/>
  <c r="P173" i="2" a="1"/>
  <c r="P173" i="2" s="1"/>
  <c r="P175" i="2" a="1"/>
  <c r="P175" i="2" s="1"/>
  <c r="P174" i="2" a="1"/>
  <c r="P174" i="2" s="1"/>
  <c r="P80" i="2" a="1"/>
  <c r="P80" i="2" s="1"/>
  <c r="P81" i="2" a="1"/>
  <c r="P81" i="2" s="1"/>
  <c r="P82" i="2" a="1"/>
  <c r="P82" i="2" s="1"/>
  <c r="P77" i="2" a="1"/>
  <c r="P77" i="2" s="1"/>
  <c r="P78" i="2" a="1"/>
  <c r="P78" i="2" s="1"/>
  <c r="P79" i="2" a="1"/>
  <c r="P79" i="2" s="1"/>
  <c r="P83" i="2" a="1"/>
  <c r="P83" i="2" s="1"/>
  <c r="P87" i="2" a="1"/>
  <c r="P87" i="2" s="1"/>
  <c r="P88" i="2" a="1"/>
  <c r="P88" i="2" s="1"/>
  <c r="P89" i="2" a="1"/>
  <c r="P89" i="2" s="1"/>
  <c r="P84" i="2" a="1"/>
  <c r="P84" i="2" s="1"/>
  <c r="P85" i="2" a="1"/>
  <c r="P85" i="2" s="1"/>
  <c r="P86" i="2" a="1"/>
  <c r="P86" i="2" s="1"/>
  <c r="P67" i="2" a="1"/>
  <c r="P67" i="2" s="1"/>
  <c r="P68" i="2" a="1"/>
  <c r="P68" i="2" s="1"/>
  <c r="P69" i="2" a="1"/>
  <c r="P69" i="2" s="1"/>
  <c r="P64" i="2" a="1"/>
  <c r="P64" i="2" s="1"/>
  <c r="P65" i="2" a="1"/>
  <c r="P65" i="2" s="1"/>
  <c r="P66" i="2" a="1"/>
  <c r="P66" i="2" s="1"/>
  <c r="P70" i="2" a="1"/>
  <c r="P70" i="2" s="1"/>
  <c r="P74" i="2" a="1"/>
  <c r="P74" i="2" s="1"/>
  <c r="P75" i="2" a="1"/>
  <c r="P75" i="2" s="1"/>
  <c r="P76" i="2" a="1"/>
  <c r="P76" i="2" s="1"/>
  <c r="P71" i="2" a="1"/>
  <c r="P71" i="2" s="1"/>
  <c r="P72" i="2" a="1"/>
  <c r="P72" i="2" s="1"/>
  <c r="P73" i="2" a="1"/>
  <c r="P73" i="2" s="1"/>
  <c r="P90" i="2" a="1"/>
  <c r="P90" i="2" s="1"/>
  <c r="P107" i="2" a="1"/>
  <c r="P107" i="2" s="1"/>
  <c r="P108" i="2" a="1"/>
  <c r="P108" i="2" s="1"/>
  <c r="P109" i="2" a="1"/>
  <c r="P109" i="2" s="1"/>
  <c r="P104" i="2" a="1"/>
  <c r="P104" i="2" s="1"/>
  <c r="P105" i="2" a="1"/>
  <c r="P105" i="2" s="1"/>
  <c r="P106" i="2" a="1"/>
  <c r="P106" i="2" s="1"/>
  <c r="P110" i="2" a="1"/>
  <c r="P110" i="2" s="1"/>
  <c r="P114" i="2" a="1"/>
  <c r="P114" i="2" s="1"/>
  <c r="P115" i="2" a="1"/>
  <c r="P115" i="2" s="1"/>
  <c r="P116" i="2" a="1"/>
  <c r="P116" i="2" s="1"/>
  <c r="P111" i="2" a="1"/>
  <c r="P111" i="2" s="1"/>
  <c r="P112" i="2" a="1"/>
  <c r="P112" i="2" s="1"/>
  <c r="P113" i="2" a="1"/>
  <c r="P113" i="2" s="1"/>
  <c r="P94" i="2" a="1"/>
  <c r="P94" i="2" s="1"/>
  <c r="P95" i="2" a="1"/>
  <c r="P95" i="2" s="1"/>
  <c r="P96" i="2" a="1"/>
  <c r="P96" i="2" s="1"/>
  <c r="P91" i="2" a="1"/>
  <c r="P91" i="2" s="1"/>
  <c r="P92" i="2" a="1"/>
  <c r="P92" i="2" s="1"/>
  <c r="P93" i="2" a="1"/>
  <c r="P93" i="2" s="1"/>
  <c r="P97" i="2" a="1"/>
  <c r="P97" i="2" s="1"/>
  <c r="P101" i="2" a="1"/>
  <c r="P101" i="2" s="1"/>
  <c r="P102" i="2" a="1"/>
  <c r="P102" i="2" s="1"/>
  <c r="P103" i="2" a="1"/>
  <c r="P103" i="2" s="1"/>
  <c r="P98" i="2" a="1"/>
  <c r="P98" i="2" s="1"/>
  <c r="P99" i="2" a="1"/>
  <c r="P99" i="2" s="1"/>
  <c r="P100" i="2" a="1"/>
  <c r="P100" i="2" s="1"/>
  <c r="P25" i="2" a="1"/>
  <c r="P25" i="2" s="1"/>
  <c r="P26" i="2" a="1"/>
  <c r="P26" i="2" s="1"/>
  <c r="P27" i="2" a="1"/>
  <c r="P27" i="2" s="1"/>
  <c r="P24" i="2" a="1"/>
  <c r="P24" i="2" s="1"/>
  <c r="P21" i="2" a="1"/>
  <c r="P21" i="2" s="1"/>
  <c r="P22" i="2" a="1"/>
  <c r="P22" i="2" s="1"/>
  <c r="P23" i="2" a="1"/>
  <c r="P23" i="2" s="1"/>
  <c r="P32" i="2" a="1"/>
  <c r="P32" i="2" s="1"/>
  <c r="P33" i="2" a="1"/>
  <c r="P33" i="2" s="1"/>
  <c r="P34" i="2" a="1"/>
  <c r="P34" i="2" s="1"/>
  <c r="P31" i="2" a="1"/>
  <c r="P31" i="2" s="1"/>
  <c r="P28" i="2" a="1"/>
  <c r="P28" i="2" s="1"/>
  <c r="P29" i="2" a="1"/>
  <c r="P29" i="2" s="1"/>
  <c r="P30" i="2" a="1"/>
  <c r="P30" i="2" s="1"/>
  <c r="P20" i="2" a="1"/>
  <c r="P20" i="2" s="1"/>
  <c r="P10" i="2" a="1"/>
  <c r="P10" i="2" s="1"/>
  <c r="P11" i="2" a="1"/>
  <c r="P11" i="2" s="1"/>
  <c r="P12" i="2" a="1"/>
  <c r="P12" i="2" s="1"/>
  <c r="P9" i="2" a="1"/>
  <c r="P9" i="2" s="1"/>
  <c r="P6" i="2" a="1"/>
  <c r="P6" i="2" s="1"/>
  <c r="P7" i="2" a="1"/>
  <c r="P7" i="2" s="1"/>
  <c r="P8" i="2" a="1"/>
  <c r="P8" i="2" s="1"/>
  <c r="P17" i="2" a="1"/>
  <c r="P17" i="2" s="1"/>
  <c r="P18" i="2" a="1"/>
  <c r="P18" i="2" s="1"/>
  <c r="P19" i="2" a="1"/>
  <c r="P19" i="2" s="1"/>
  <c r="P16" i="2" a="1"/>
  <c r="P16" i="2" s="1"/>
  <c r="P13" i="2" a="1"/>
  <c r="P13" i="2" s="1"/>
  <c r="P14" i="2" a="1"/>
  <c r="P14" i="2" s="1"/>
  <c r="P15" i="2" a="1"/>
  <c r="P15" i="2" s="1"/>
  <c r="P54" i="2" a="1"/>
  <c r="P54" i="2" s="1"/>
  <c r="P55" i="2" a="1"/>
  <c r="P55" i="2" s="1"/>
  <c r="P56" i="2" a="1"/>
  <c r="P56" i="2" s="1"/>
  <c r="P53" i="2" a="1"/>
  <c r="P53" i="2" s="1"/>
  <c r="P50" i="2" a="1"/>
  <c r="P50" i="2" s="1"/>
  <c r="P51" i="2" a="1"/>
  <c r="P51" i="2" s="1"/>
  <c r="P52" i="2" a="1"/>
  <c r="P52" i="2" s="1"/>
  <c r="P61" i="2" a="1"/>
  <c r="P61" i="2" s="1"/>
  <c r="P62" i="2" a="1"/>
  <c r="P62" i="2" s="1"/>
  <c r="P63" i="2" a="1"/>
  <c r="P63" i="2" s="1"/>
  <c r="P60" i="2" a="1"/>
  <c r="P60" i="2" s="1"/>
  <c r="P57" i="2" a="1"/>
  <c r="P57" i="2" s="1"/>
  <c r="P58" i="2" a="1"/>
  <c r="P58" i="2" s="1"/>
  <c r="P59" i="2" a="1"/>
  <c r="P59" i="2" s="1"/>
  <c r="P49" i="2" a="1"/>
  <c r="P49" i="2" s="1"/>
  <c r="P39" i="2" a="1"/>
  <c r="P39" i="2" s="1"/>
  <c r="P40" i="2" a="1"/>
  <c r="P40" i="2" s="1"/>
  <c r="P41" i="2" a="1"/>
  <c r="P41" i="2" s="1"/>
  <c r="P38" i="2" a="1"/>
  <c r="P38" i="2" s="1"/>
  <c r="P35" i="2" a="1"/>
  <c r="P35" i="2" s="1"/>
  <c r="P36" i="2" a="1"/>
  <c r="P36" i="2" s="1"/>
  <c r="P37" i="2" a="1"/>
  <c r="P37" i="2" s="1"/>
  <c r="P46" i="2" a="1"/>
  <c r="P46" i="2" s="1"/>
  <c r="P47" i="2" a="1"/>
  <c r="P47" i="2" s="1"/>
  <c r="P48" i="2" a="1"/>
  <c r="P48" i="2" s="1"/>
  <c r="P45" i="2" a="1"/>
  <c r="P45" i="2" s="1"/>
  <c r="P42" i="2" a="1"/>
  <c r="P42" i="2" s="1"/>
  <c r="P43" i="2" a="1"/>
  <c r="P43" i="2" s="1"/>
  <c r="P44" i="2" a="1"/>
  <c r="P44" i="2" s="1"/>
  <c r="P3" i="2" a="1"/>
  <c r="P3" i="2" s="1"/>
  <c r="P2" i="2" a="1"/>
  <c r="P2" i="2" s="1"/>
  <c r="P5" i="2" a="1"/>
  <c r="P5" i="2" s="1"/>
  <c r="P4" i="2" a="1"/>
  <c r="P4" i="2" s="1"/>
  <c r="U1065" i="2" a="1"/>
  <c r="U1065" i="2" s="1"/>
  <c r="U1063" i="2" a="1"/>
  <c r="U1063" i="2" s="1"/>
  <c r="U1064" i="2" a="1"/>
  <c r="U1064" i="2" s="1"/>
  <c r="U1040" i="2" a="1"/>
  <c r="U1040" i="2" s="1"/>
  <c r="U1041" i="2" a="1"/>
  <c r="U1041" i="2" s="1"/>
  <c r="U1038" i="2" a="1"/>
  <c r="U1038" i="2" s="1"/>
  <c r="U1039" i="2" a="1"/>
  <c r="U1039" i="2" s="1"/>
  <c r="U1044" i="2" a="1"/>
  <c r="U1044" i="2" s="1"/>
  <c r="U1045" i="2" a="1"/>
  <c r="U1045" i="2" s="1"/>
  <c r="U1043" i="2" a="1"/>
  <c r="U1043" i="2" s="1"/>
  <c r="U1042" i="2" a="1"/>
  <c r="U1042" i="2" s="1"/>
  <c r="U1037" i="2" a="1"/>
  <c r="U1037" i="2" s="1"/>
  <c r="U1031" i="2" a="1"/>
  <c r="U1031" i="2" s="1"/>
  <c r="U1032" i="2" a="1"/>
  <c r="U1032" i="2" s="1"/>
  <c r="U1029" i="2" a="1"/>
  <c r="U1029" i="2" s="1"/>
  <c r="U1030" i="2" a="1"/>
  <c r="U1030" i="2" s="1"/>
  <c r="U1035" i="2" a="1"/>
  <c r="U1035" i="2" s="1"/>
  <c r="U1036" i="2" a="1"/>
  <c r="U1036" i="2" s="1"/>
  <c r="U1033" i="2" a="1"/>
  <c r="U1033" i="2" s="1"/>
  <c r="U1034" i="2" a="1"/>
  <c r="U1034" i="2" s="1"/>
  <c r="U1057" i="2" a="1"/>
  <c r="U1057" i="2" s="1"/>
  <c r="U1058" i="2" a="1"/>
  <c r="U1058" i="2" s="1"/>
  <c r="U1055" i="2" a="1"/>
  <c r="U1055" i="2" s="1"/>
  <c r="U1056" i="2" a="1"/>
  <c r="U1056" i="2" s="1"/>
  <c r="U1061" i="2" a="1"/>
  <c r="U1061" i="2" s="1"/>
  <c r="U1062" i="2" a="1"/>
  <c r="U1062" i="2" s="1"/>
  <c r="U1059" i="2" a="1"/>
  <c r="U1059" i="2" s="1"/>
  <c r="U1060" i="2" a="1"/>
  <c r="U1060" i="2" s="1"/>
  <c r="U1054" i="2" a="1"/>
  <c r="U1054" i="2" s="1"/>
  <c r="U1048" i="2" a="1"/>
  <c r="U1048" i="2" s="1"/>
  <c r="U1049" i="2" a="1"/>
  <c r="U1049" i="2" s="1"/>
  <c r="U1046" i="2" a="1"/>
  <c r="U1046" i="2" s="1"/>
  <c r="U1047" i="2" a="1"/>
  <c r="U1047" i="2" s="1"/>
  <c r="U1052" i="2" a="1"/>
  <c r="U1052" i="2" s="1"/>
  <c r="U1053" i="2" a="1"/>
  <c r="U1053" i="2" s="1"/>
  <c r="U1050" i="2" a="1"/>
  <c r="U1050" i="2" s="1"/>
  <c r="U1051" i="2" a="1"/>
  <c r="U1051" i="2" s="1"/>
  <c r="U1016" i="2" a="1"/>
  <c r="U1016" i="2" s="1"/>
  <c r="U1015" i="2" a="1"/>
  <c r="U1015" i="2" s="1"/>
  <c r="U1018" i="2" a="1"/>
  <c r="U1018" i="2" s="1"/>
  <c r="U1017" i="2" a="1"/>
  <c r="U1017" i="2" s="1"/>
  <c r="U1014" i="2" a="1"/>
  <c r="U1014" i="2" s="1"/>
  <c r="U1011" i="2" a="1"/>
  <c r="U1011" i="2" s="1"/>
  <c r="U1010" i="2" a="1"/>
  <c r="U1010" i="2" s="1"/>
  <c r="U1013" i="2" a="1"/>
  <c r="U1013" i="2" s="1"/>
  <c r="U1012" i="2" a="1"/>
  <c r="U1012" i="2" s="1"/>
  <c r="U1019" i="2" a="1"/>
  <c r="U1019" i="2" s="1"/>
  <c r="U1026" i="2" a="1"/>
  <c r="U1026" i="2" s="1"/>
  <c r="U1025" i="2" a="1"/>
  <c r="U1025" i="2" s="1"/>
  <c r="U1028" i="2" a="1"/>
  <c r="U1028" i="2" s="1"/>
  <c r="U1027" i="2" a="1"/>
  <c r="U1027" i="2" s="1"/>
  <c r="U1024" i="2" a="1"/>
  <c r="U1024" i="2" s="1"/>
  <c r="U1021" i="2" a="1"/>
  <c r="U1021" i="2" s="1"/>
  <c r="U1020" i="2" a="1"/>
  <c r="U1020" i="2" s="1"/>
  <c r="U1023" i="2" a="1"/>
  <c r="U1023" i="2" s="1"/>
  <c r="U1022" i="2" a="1"/>
  <c r="U1022" i="2" s="1"/>
  <c r="U983" i="2" a="1"/>
  <c r="U983" i="2" s="1"/>
  <c r="U984" i="2" a="1"/>
  <c r="U984" i="2" s="1"/>
  <c r="U982" i="2" a="1"/>
  <c r="U982" i="2" s="1"/>
  <c r="U980" i="2" a="1"/>
  <c r="U980" i="2" s="1"/>
  <c r="U981" i="2" a="1"/>
  <c r="U981" i="2" s="1"/>
  <c r="U988" i="2" a="1"/>
  <c r="U988" i="2" s="1"/>
  <c r="U989" i="2" a="1"/>
  <c r="U989" i="2" s="1"/>
  <c r="U987" i="2" a="1"/>
  <c r="U987" i="2" s="1"/>
  <c r="U985" i="2" a="1"/>
  <c r="U985" i="2" s="1"/>
  <c r="U986" i="2" a="1"/>
  <c r="U986" i="2" s="1"/>
  <c r="U973" i="2" a="1"/>
  <c r="U973" i="2" s="1"/>
  <c r="U974" i="2" a="1"/>
  <c r="U974" i="2" s="1"/>
  <c r="U972" i="2" a="1"/>
  <c r="U972" i="2" s="1"/>
  <c r="U970" i="2" a="1"/>
  <c r="U970" i="2" s="1"/>
  <c r="U971" i="2" a="1"/>
  <c r="U971" i="2" s="1"/>
  <c r="U978" i="2" a="1"/>
  <c r="U978" i="2" s="1"/>
  <c r="U979" i="2" a="1"/>
  <c r="U979" i="2" s="1"/>
  <c r="U977" i="2" a="1"/>
  <c r="U977" i="2" s="1"/>
  <c r="U975" i="2" a="1"/>
  <c r="U975" i="2" s="1"/>
  <c r="U976" i="2" a="1"/>
  <c r="U976" i="2" s="1"/>
  <c r="U1003" i="2" a="1"/>
  <c r="U1003" i="2" s="1"/>
  <c r="U1004" i="2" a="1"/>
  <c r="U1004" i="2" s="1"/>
  <c r="U1002" i="2" a="1"/>
  <c r="U1002" i="2" s="1"/>
  <c r="U1000" i="2" a="1"/>
  <c r="U1000" i="2" s="1"/>
  <c r="U1001" i="2" a="1"/>
  <c r="U1001" i="2" s="1"/>
  <c r="U1008" i="2" a="1"/>
  <c r="U1008" i="2" s="1"/>
  <c r="U1009" i="2" a="1"/>
  <c r="U1009" i="2" s="1"/>
  <c r="U1007" i="2" a="1"/>
  <c r="U1007" i="2" s="1"/>
  <c r="U1005" i="2" a="1"/>
  <c r="U1005" i="2" s="1"/>
  <c r="U1006" i="2" a="1"/>
  <c r="U1006" i="2" s="1"/>
  <c r="U993" i="2" a="1"/>
  <c r="U993" i="2" s="1"/>
  <c r="U994" i="2" a="1"/>
  <c r="U994" i="2" s="1"/>
  <c r="U992" i="2" a="1"/>
  <c r="U992" i="2" s="1"/>
  <c r="U990" i="2" a="1"/>
  <c r="U990" i="2" s="1"/>
  <c r="U991" i="2" a="1"/>
  <c r="U991" i="2" s="1"/>
  <c r="U998" i="2" a="1"/>
  <c r="U998" i="2" s="1"/>
  <c r="U999" i="2" a="1"/>
  <c r="U999" i="2" s="1"/>
  <c r="U997" i="2" a="1"/>
  <c r="U997" i="2" s="1"/>
  <c r="U995" i="2" a="1"/>
  <c r="U995" i="2" s="1"/>
  <c r="U996" i="2" a="1"/>
  <c r="U996" i="2" s="1"/>
  <c r="U933" i="2" a="1"/>
  <c r="U933" i="2" s="1"/>
  <c r="U934" i="2" a="1"/>
  <c r="U934" i="2" s="1"/>
  <c r="U935" i="2" a="1"/>
  <c r="U935" i="2" s="1"/>
  <c r="U930" i="2" a="1"/>
  <c r="U930" i="2" s="1"/>
  <c r="U931" i="2" a="1"/>
  <c r="U931" i="2" s="1"/>
  <c r="U932" i="2" a="1"/>
  <c r="U932" i="2" s="1"/>
  <c r="U936" i="2" a="1"/>
  <c r="U936" i="2" s="1"/>
  <c r="U940" i="2" a="1"/>
  <c r="U940" i="2" s="1"/>
  <c r="U941" i="2" a="1"/>
  <c r="U941" i="2" s="1"/>
  <c r="U942" i="2" a="1"/>
  <c r="U942" i="2" s="1"/>
  <c r="U937" i="2" a="1"/>
  <c r="U937" i="2" s="1"/>
  <c r="U938" i="2" a="1"/>
  <c r="U938" i="2" s="1"/>
  <c r="U939" i="2" a="1"/>
  <c r="U939" i="2" s="1"/>
  <c r="U929" i="2" a="1"/>
  <c r="U929" i="2" s="1"/>
  <c r="U919" i="2" a="1"/>
  <c r="U919" i="2" s="1"/>
  <c r="U920" i="2" a="1"/>
  <c r="U920" i="2" s="1"/>
  <c r="U921" i="2" a="1"/>
  <c r="U921" i="2" s="1"/>
  <c r="U916" i="2" a="1"/>
  <c r="U916" i="2" s="1"/>
  <c r="U917" i="2" a="1"/>
  <c r="U917" i="2" s="1"/>
  <c r="U918" i="2" a="1"/>
  <c r="U918" i="2" s="1"/>
  <c r="U922" i="2" a="1"/>
  <c r="U922" i="2" s="1"/>
  <c r="U926" i="2" a="1"/>
  <c r="U926" i="2" s="1"/>
  <c r="U927" i="2" a="1"/>
  <c r="U927" i="2" s="1"/>
  <c r="U928" i="2" a="1"/>
  <c r="U928" i="2" s="1"/>
  <c r="U923" i="2" a="1"/>
  <c r="U923" i="2" s="1"/>
  <c r="U924" i="2" a="1"/>
  <c r="U924" i="2" s="1"/>
  <c r="U925" i="2" a="1"/>
  <c r="U925" i="2" s="1"/>
  <c r="U960" i="2" a="1"/>
  <c r="U960" i="2" s="1"/>
  <c r="U961" i="2" a="1"/>
  <c r="U961" i="2" s="1"/>
  <c r="U962" i="2" a="1"/>
  <c r="U962" i="2" s="1"/>
  <c r="U957" i="2" a="1"/>
  <c r="U957" i="2" s="1"/>
  <c r="U958" i="2" a="1"/>
  <c r="U958" i="2" s="1"/>
  <c r="U959" i="2" a="1"/>
  <c r="U959" i="2" s="1"/>
  <c r="U963" i="2" a="1"/>
  <c r="U963" i="2" s="1"/>
  <c r="U967" i="2" a="1"/>
  <c r="U967" i="2" s="1"/>
  <c r="U968" i="2" a="1"/>
  <c r="U968" i="2" s="1"/>
  <c r="U969" i="2" a="1"/>
  <c r="U969" i="2" s="1"/>
  <c r="U964" i="2" a="1"/>
  <c r="U964" i="2" s="1"/>
  <c r="U965" i="2" a="1"/>
  <c r="U965" i="2" s="1"/>
  <c r="U966" i="2" a="1"/>
  <c r="U966" i="2" s="1"/>
  <c r="U956" i="2" a="1"/>
  <c r="U956" i="2" s="1"/>
  <c r="U946" i="2" a="1"/>
  <c r="U946" i="2" s="1"/>
  <c r="U947" i="2" a="1"/>
  <c r="U947" i="2" s="1"/>
  <c r="U948" i="2" a="1"/>
  <c r="U948" i="2" s="1"/>
  <c r="U943" i="2" a="1"/>
  <c r="U943" i="2" s="1"/>
  <c r="U944" i="2" a="1"/>
  <c r="U944" i="2" s="1"/>
  <c r="U945" i="2" a="1"/>
  <c r="U945" i="2" s="1"/>
  <c r="U949" i="2" a="1"/>
  <c r="U949" i="2" s="1"/>
  <c r="U953" i="2" a="1"/>
  <c r="U953" i="2" s="1"/>
  <c r="U954" i="2" a="1"/>
  <c r="U954" i="2" s="1"/>
  <c r="U955" i="2" a="1"/>
  <c r="U955" i="2" s="1"/>
  <c r="U950" i="2" a="1"/>
  <c r="U950" i="2" s="1"/>
  <c r="U951" i="2" a="1"/>
  <c r="U951" i="2" s="1"/>
  <c r="U952" i="2" a="1"/>
  <c r="U952" i="2" s="1"/>
  <c r="U887" i="2" a="1"/>
  <c r="U887" i="2" s="1"/>
  <c r="U888" i="2" a="1"/>
  <c r="U888" i="2" s="1"/>
  <c r="U886" i="2" a="1"/>
  <c r="U886" i="2" s="1"/>
  <c r="U884" i="2" a="1"/>
  <c r="U884" i="2" s="1"/>
  <c r="U885" i="2" a="1"/>
  <c r="U885" i="2" s="1"/>
  <c r="U892" i="2" a="1"/>
  <c r="U892" i="2" s="1"/>
  <c r="U893" i="2" a="1"/>
  <c r="U893" i="2" s="1"/>
  <c r="U891" i="2" a="1"/>
  <c r="U891" i="2" s="1"/>
  <c r="U889" i="2" a="1"/>
  <c r="U889" i="2" s="1"/>
  <c r="U890" i="2" a="1"/>
  <c r="U890" i="2" s="1"/>
  <c r="U883" i="2" a="1"/>
  <c r="U883" i="2" s="1"/>
  <c r="U876" i="2" a="1"/>
  <c r="U876" i="2" s="1"/>
  <c r="U877" i="2" a="1"/>
  <c r="U877" i="2" s="1"/>
  <c r="U875" i="2" a="1"/>
  <c r="U875" i="2" s="1"/>
  <c r="U873" i="2" a="1"/>
  <c r="U873" i="2" s="1"/>
  <c r="U874" i="2" a="1"/>
  <c r="U874" i="2" s="1"/>
  <c r="U881" i="2" a="1"/>
  <c r="U881" i="2" s="1"/>
  <c r="U882" i="2" a="1"/>
  <c r="U882" i="2" s="1"/>
  <c r="U880" i="2" a="1"/>
  <c r="U880" i="2" s="1"/>
  <c r="U878" i="2" a="1"/>
  <c r="U878" i="2" s="1"/>
  <c r="U879" i="2" a="1"/>
  <c r="U879" i="2" s="1"/>
  <c r="U894" i="2" a="1"/>
  <c r="U894" i="2" s="1"/>
  <c r="U909" i="2" a="1"/>
  <c r="U909" i="2" s="1"/>
  <c r="U910" i="2" a="1"/>
  <c r="U910" i="2" s="1"/>
  <c r="U908" i="2" a="1"/>
  <c r="U908" i="2" s="1"/>
  <c r="U906" i="2" a="1"/>
  <c r="U906" i="2" s="1"/>
  <c r="U907" i="2" a="1"/>
  <c r="U907" i="2" s="1"/>
  <c r="U914" i="2" a="1"/>
  <c r="U914" i="2" s="1"/>
  <c r="U915" i="2" a="1"/>
  <c r="U915" i="2" s="1"/>
  <c r="U913" i="2" a="1"/>
  <c r="U913" i="2" s="1"/>
  <c r="U911" i="2" a="1"/>
  <c r="U911" i="2" s="1"/>
  <c r="U912" i="2" a="1"/>
  <c r="U912" i="2" s="1"/>
  <c r="U905" i="2" a="1"/>
  <c r="U905" i="2" s="1"/>
  <c r="U898" i="2" a="1"/>
  <c r="U898" i="2" s="1"/>
  <c r="U899" i="2" a="1"/>
  <c r="U899" i="2" s="1"/>
  <c r="U897" i="2" a="1"/>
  <c r="U897" i="2" s="1"/>
  <c r="U895" i="2" a="1"/>
  <c r="U895" i="2" s="1"/>
  <c r="U896" i="2" a="1"/>
  <c r="U896" i="2" s="1"/>
  <c r="U903" i="2" a="1"/>
  <c r="U903" i="2" s="1"/>
  <c r="U904" i="2" a="1"/>
  <c r="U904" i="2" s="1"/>
  <c r="U902" i="2" a="1"/>
  <c r="U902" i="2" s="1"/>
  <c r="U900" i="2" a="1"/>
  <c r="U900" i="2" s="1"/>
  <c r="U901" i="2" a="1"/>
  <c r="U901" i="2" s="1"/>
  <c r="U835" i="2" a="1"/>
  <c r="U835" i="2" s="1"/>
  <c r="U836" i="2" a="1"/>
  <c r="U836" i="2" s="1"/>
  <c r="U837" i="2" a="1"/>
  <c r="U837" i="2" s="1"/>
  <c r="U834" i="2" a="1"/>
  <c r="U834" i="2" s="1"/>
  <c r="U831" i="2" a="1"/>
  <c r="U831" i="2" s="1"/>
  <c r="U832" i="2" a="1"/>
  <c r="U832" i="2" s="1"/>
  <c r="U833" i="2" a="1"/>
  <c r="U833" i="2" s="1"/>
  <c r="U842" i="2" a="1"/>
  <c r="U842" i="2" s="1"/>
  <c r="U843" i="2" a="1"/>
  <c r="U843" i="2" s="1"/>
  <c r="U844" i="2" a="1"/>
  <c r="U844" i="2" s="1"/>
  <c r="U841" i="2" a="1"/>
  <c r="U841" i="2" s="1"/>
  <c r="U838" i="2" a="1"/>
  <c r="U838" i="2" s="1"/>
  <c r="U839" i="2" a="1"/>
  <c r="U839" i="2" s="1"/>
  <c r="U840" i="2" a="1"/>
  <c r="U840" i="2" s="1"/>
  <c r="U821" i="2" a="1"/>
  <c r="U821" i="2" s="1"/>
  <c r="U822" i="2" a="1"/>
  <c r="U822" i="2" s="1"/>
  <c r="U823" i="2" a="1"/>
  <c r="U823" i="2" s="1"/>
  <c r="U820" i="2" a="1"/>
  <c r="U820" i="2" s="1"/>
  <c r="U817" i="2" a="1"/>
  <c r="U817" i="2" s="1"/>
  <c r="U818" i="2" a="1"/>
  <c r="U818" i="2" s="1"/>
  <c r="U819" i="2" a="1"/>
  <c r="U819" i="2" s="1"/>
  <c r="U828" i="2" a="1"/>
  <c r="U828" i="2" s="1"/>
  <c r="U829" i="2" a="1"/>
  <c r="U829" i="2" s="1"/>
  <c r="U830" i="2" a="1"/>
  <c r="U830" i="2" s="1"/>
  <c r="U827" i="2" a="1"/>
  <c r="U827" i="2" s="1"/>
  <c r="U824" i="2" a="1"/>
  <c r="U824" i="2" s="1"/>
  <c r="U825" i="2" a="1"/>
  <c r="U825" i="2" s="1"/>
  <c r="U826" i="2" a="1"/>
  <c r="U826" i="2" s="1"/>
  <c r="U863" i="2" a="1"/>
  <c r="U863" i="2" s="1"/>
  <c r="U864" i="2" a="1"/>
  <c r="U864" i="2" s="1"/>
  <c r="U865" i="2" a="1"/>
  <c r="U865" i="2" s="1"/>
  <c r="U862" i="2" a="1"/>
  <c r="U862" i="2" s="1"/>
  <c r="U859" i="2" a="1"/>
  <c r="U859" i="2" s="1"/>
  <c r="U860" i="2" a="1"/>
  <c r="U860" i="2" s="1"/>
  <c r="U861" i="2" a="1"/>
  <c r="U861" i="2" s="1"/>
  <c r="U870" i="2" a="1"/>
  <c r="U870" i="2" s="1"/>
  <c r="U871" i="2" a="1"/>
  <c r="U871" i="2" s="1"/>
  <c r="U872" i="2" a="1"/>
  <c r="U872" i="2" s="1"/>
  <c r="U869" i="2" a="1"/>
  <c r="U869" i="2" s="1"/>
  <c r="U866" i="2" a="1"/>
  <c r="U866" i="2" s="1"/>
  <c r="U867" i="2" a="1"/>
  <c r="U867" i="2" s="1"/>
  <c r="U868" i="2" a="1"/>
  <c r="U868" i="2" s="1"/>
  <c r="U849" i="2" a="1"/>
  <c r="U849" i="2" s="1"/>
  <c r="U850" i="2" a="1"/>
  <c r="U850" i="2" s="1"/>
  <c r="U851" i="2" a="1"/>
  <c r="U851" i="2" s="1"/>
  <c r="U848" i="2" a="1"/>
  <c r="U848" i="2" s="1"/>
  <c r="U845" i="2" a="1"/>
  <c r="U845" i="2" s="1"/>
  <c r="U846" i="2" a="1"/>
  <c r="U846" i="2" s="1"/>
  <c r="U847" i="2" a="1"/>
  <c r="U847" i="2" s="1"/>
  <c r="U856" i="2" a="1"/>
  <c r="U856" i="2" s="1"/>
  <c r="U857" i="2" a="1"/>
  <c r="U857" i="2" s="1"/>
  <c r="U858" i="2" a="1"/>
  <c r="U858" i="2" s="1"/>
  <c r="U855" i="2" a="1"/>
  <c r="U855" i="2" s="1"/>
  <c r="U852" i="2" a="1"/>
  <c r="U852" i="2" s="1"/>
  <c r="U853" i="2" a="1"/>
  <c r="U853" i="2" s="1"/>
  <c r="U854" i="2" a="1"/>
  <c r="U854" i="2" s="1"/>
  <c r="U775" i="2" a="1"/>
  <c r="U775" i="2" s="1"/>
  <c r="U776" i="2" a="1"/>
  <c r="U776" i="2" s="1"/>
  <c r="U777" i="2" a="1"/>
  <c r="U777" i="2" s="1"/>
  <c r="U774" i="2" a="1"/>
  <c r="U774" i="2" s="1"/>
  <c r="U771" i="2" a="1"/>
  <c r="U771" i="2" s="1"/>
  <c r="U772" i="2" a="1"/>
  <c r="U772" i="2" s="1"/>
  <c r="U773" i="2" a="1"/>
  <c r="U773" i="2" s="1"/>
  <c r="U778" i="2" a="1"/>
  <c r="U778" i="2" s="1"/>
  <c r="U783" i="2" a="1"/>
  <c r="U783" i="2" s="1"/>
  <c r="U784" i="2" a="1"/>
  <c r="U784" i="2" s="1"/>
  <c r="U785" i="2" a="1"/>
  <c r="U785" i="2" s="1"/>
  <c r="U782" i="2" a="1"/>
  <c r="U782" i="2" s="1"/>
  <c r="U779" i="2" a="1"/>
  <c r="U779" i="2" s="1"/>
  <c r="U780" i="2" a="1"/>
  <c r="U780" i="2" s="1"/>
  <c r="U781" i="2" a="1"/>
  <c r="U781" i="2" s="1"/>
  <c r="U770" i="2" a="1"/>
  <c r="U770" i="2" s="1"/>
  <c r="U759" i="2" a="1"/>
  <c r="U759" i="2" s="1"/>
  <c r="U760" i="2" a="1"/>
  <c r="U760" i="2" s="1"/>
  <c r="U761" i="2" a="1"/>
  <c r="U761" i="2" s="1"/>
  <c r="U758" i="2" a="1"/>
  <c r="U758" i="2" s="1"/>
  <c r="U755" i="2" a="1"/>
  <c r="U755" i="2" s="1"/>
  <c r="U756" i="2" a="1"/>
  <c r="U756" i="2" s="1"/>
  <c r="U757" i="2" a="1"/>
  <c r="U757" i="2" s="1"/>
  <c r="U762" i="2" a="1"/>
  <c r="U762" i="2" s="1"/>
  <c r="U767" i="2" a="1"/>
  <c r="U767" i="2" s="1"/>
  <c r="U768" i="2" a="1"/>
  <c r="U768" i="2" s="1"/>
  <c r="U769" i="2" a="1"/>
  <c r="U769" i="2" s="1"/>
  <c r="U766" i="2" a="1"/>
  <c r="U766" i="2" s="1"/>
  <c r="U763" i="2" a="1"/>
  <c r="U763" i="2" s="1"/>
  <c r="U764" i="2" a="1"/>
  <c r="U764" i="2" s="1"/>
  <c r="U765" i="2" a="1"/>
  <c r="U765" i="2" s="1"/>
  <c r="U806" i="2" a="1"/>
  <c r="U806" i="2" s="1"/>
  <c r="U807" i="2" a="1"/>
  <c r="U807" i="2" s="1"/>
  <c r="U808" i="2" a="1"/>
  <c r="U808" i="2" s="1"/>
  <c r="U805" i="2" a="1"/>
  <c r="U805" i="2" s="1"/>
  <c r="U802" i="2" a="1"/>
  <c r="U802" i="2" s="1"/>
  <c r="U803" i="2" a="1"/>
  <c r="U803" i="2" s="1"/>
  <c r="U804" i="2" a="1"/>
  <c r="U804" i="2" s="1"/>
  <c r="U809" i="2" a="1"/>
  <c r="U809" i="2" s="1"/>
  <c r="U814" i="2" a="1"/>
  <c r="U814" i="2" s="1"/>
  <c r="U815" i="2" a="1"/>
  <c r="U815" i="2" s="1"/>
  <c r="U816" i="2" a="1"/>
  <c r="U816" i="2" s="1"/>
  <c r="U813" i="2" a="1"/>
  <c r="U813" i="2" s="1"/>
  <c r="U810" i="2" a="1"/>
  <c r="U810" i="2" s="1"/>
  <c r="U811" i="2" a="1"/>
  <c r="U811" i="2" s="1"/>
  <c r="U812" i="2" a="1"/>
  <c r="U812" i="2" s="1"/>
  <c r="U801" i="2" a="1"/>
  <c r="U801" i="2" s="1"/>
  <c r="U790" i="2" a="1"/>
  <c r="U790" i="2" s="1"/>
  <c r="U791" i="2" a="1"/>
  <c r="U791" i="2" s="1"/>
  <c r="U792" i="2" a="1"/>
  <c r="U792" i="2" s="1"/>
  <c r="U789" i="2" a="1"/>
  <c r="U789" i="2" s="1"/>
  <c r="U786" i="2" a="1"/>
  <c r="U786" i="2" s="1"/>
  <c r="U787" i="2" a="1"/>
  <c r="U787" i="2" s="1"/>
  <c r="U788" i="2" a="1"/>
  <c r="U788" i="2" s="1"/>
  <c r="U793" i="2" a="1"/>
  <c r="U793" i="2" s="1"/>
  <c r="U798" i="2" a="1"/>
  <c r="U798" i="2" s="1"/>
  <c r="U799" i="2" a="1"/>
  <c r="U799" i="2" s="1"/>
  <c r="U800" i="2" a="1"/>
  <c r="U800" i="2" s="1"/>
  <c r="U797" i="2" a="1"/>
  <c r="U797" i="2" s="1"/>
  <c r="U794" i="2" a="1"/>
  <c r="U794" i="2" s="1"/>
  <c r="U795" i="2" a="1"/>
  <c r="U795" i="2" s="1"/>
  <c r="U796" i="2" a="1"/>
  <c r="U796" i="2" s="1"/>
  <c r="U643" i="2" a="1"/>
  <c r="U643" i="2" s="1"/>
  <c r="U644" i="2" a="1"/>
  <c r="U644" i="2" s="1"/>
  <c r="U642" i="2" a="1"/>
  <c r="U642" i="2" s="1"/>
  <c r="U640" i="2" a="1"/>
  <c r="U640" i="2" s="1"/>
  <c r="U641" i="2" a="1"/>
  <c r="U641" i="2" s="1"/>
  <c r="U648" i="2" a="1"/>
  <c r="U648" i="2" s="1"/>
  <c r="U649" i="2" a="1"/>
  <c r="U649" i="2" s="1"/>
  <c r="U647" i="2" a="1"/>
  <c r="U647" i="2" s="1"/>
  <c r="U645" i="2" a="1"/>
  <c r="U645" i="2" s="1"/>
  <c r="U646" i="2" a="1"/>
  <c r="U646" i="2" s="1"/>
  <c r="U639" i="2" a="1"/>
  <c r="U639" i="2" s="1"/>
  <c r="U632" i="2" a="1"/>
  <c r="U632" i="2" s="1"/>
  <c r="U633" i="2" a="1"/>
  <c r="U633" i="2" s="1"/>
  <c r="U631" i="2" a="1"/>
  <c r="U631" i="2" s="1"/>
  <c r="U629" i="2" a="1"/>
  <c r="U629" i="2" s="1"/>
  <c r="U630" i="2" a="1"/>
  <c r="U630" i="2" s="1"/>
  <c r="U637" i="2" a="1"/>
  <c r="U637" i="2" s="1"/>
  <c r="U638" i="2" a="1"/>
  <c r="U638" i="2" s="1"/>
  <c r="U636" i="2" a="1"/>
  <c r="U636" i="2" s="1"/>
  <c r="U634" i="2" a="1"/>
  <c r="U634" i="2" s="1"/>
  <c r="U635" i="2" a="1"/>
  <c r="U635" i="2" s="1"/>
  <c r="U664" i="2" a="1"/>
  <c r="U664" i="2" s="1"/>
  <c r="U665" i="2" a="1"/>
  <c r="U665" i="2" s="1"/>
  <c r="U663" i="2" a="1"/>
  <c r="U663" i="2" s="1"/>
  <c r="U661" i="2" a="1"/>
  <c r="U661" i="2" s="1"/>
  <c r="U662" i="2" a="1"/>
  <c r="U662" i="2" s="1"/>
  <c r="U669" i="2" a="1"/>
  <c r="U669" i="2" s="1"/>
  <c r="U670" i="2" a="1"/>
  <c r="U670" i="2" s="1"/>
  <c r="U668" i="2" a="1"/>
  <c r="U668" i="2" s="1"/>
  <c r="U666" i="2" a="1"/>
  <c r="U666" i="2" s="1"/>
  <c r="U667" i="2" a="1"/>
  <c r="U667" i="2" s="1"/>
  <c r="U660" i="2" a="1"/>
  <c r="U660" i="2" s="1"/>
  <c r="U653" i="2" a="1"/>
  <c r="U653" i="2" s="1"/>
  <c r="U654" i="2" a="1"/>
  <c r="U654" i="2" s="1"/>
  <c r="U652" i="2" a="1"/>
  <c r="U652" i="2" s="1"/>
  <c r="U650" i="2" a="1"/>
  <c r="U650" i="2" s="1"/>
  <c r="U651" i="2" a="1"/>
  <c r="U651" i="2" s="1"/>
  <c r="U658" i="2" a="1"/>
  <c r="U658" i="2" s="1"/>
  <c r="U659" i="2" a="1"/>
  <c r="U659" i="2" s="1"/>
  <c r="U657" i="2" a="1"/>
  <c r="U657" i="2" s="1"/>
  <c r="U655" i="2" a="1"/>
  <c r="U655" i="2" s="1"/>
  <c r="U656" i="2" a="1"/>
  <c r="U656" i="2" s="1"/>
  <c r="U601" i="2" a="1"/>
  <c r="U601" i="2" s="1"/>
  <c r="U602" i="2" a="1"/>
  <c r="U602" i="2" s="1"/>
  <c r="U600" i="2" a="1"/>
  <c r="U600" i="2" s="1"/>
  <c r="U598" i="2" a="1"/>
  <c r="U598" i="2" s="1"/>
  <c r="U599" i="2" a="1"/>
  <c r="U599" i="2" s="1"/>
  <c r="U606" i="2" a="1"/>
  <c r="U606" i="2" s="1"/>
  <c r="U607" i="2" a="1"/>
  <c r="U607" i="2" s="1"/>
  <c r="U605" i="2" a="1"/>
  <c r="U605" i="2" s="1"/>
  <c r="U603" i="2" a="1"/>
  <c r="U603" i="2" s="1"/>
  <c r="U604" i="2" a="1"/>
  <c r="U604" i="2" s="1"/>
  <c r="U597" i="2" a="1"/>
  <c r="U597" i="2" s="1"/>
  <c r="U590" i="2" a="1"/>
  <c r="U590" i="2" s="1"/>
  <c r="U591" i="2" a="1"/>
  <c r="U591" i="2" s="1"/>
  <c r="U589" i="2" a="1"/>
  <c r="U589" i="2" s="1"/>
  <c r="U587" i="2" a="1"/>
  <c r="U587" i="2" s="1"/>
  <c r="U588" i="2" a="1"/>
  <c r="U588" i="2" s="1"/>
  <c r="U595" i="2" a="1"/>
  <c r="U595" i="2" s="1"/>
  <c r="U596" i="2" a="1"/>
  <c r="U596" i="2" s="1"/>
  <c r="U594" i="2" a="1"/>
  <c r="U594" i="2" s="1"/>
  <c r="U592" i="2" a="1"/>
  <c r="U592" i="2" s="1"/>
  <c r="U593" i="2" a="1"/>
  <c r="U593" i="2" s="1"/>
  <c r="U622" i="2" a="1"/>
  <c r="U622" i="2" s="1"/>
  <c r="U623" i="2" a="1"/>
  <c r="U623" i="2" s="1"/>
  <c r="U621" i="2" a="1"/>
  <c r="U621" i="2" s="1"/>
  <c r="U619" i="2" a="1"/>
  <c r="U619" i="2" s="1"/>
  <c r="U620" i="2" a="1"/>
  <c r="U620" i="2" s="1"/>
  <c r="U627" i="2" a="1"/>
  <c r="U627" i="2" s="1"/>
  <c r="U628" i="2" a="1"/>
  <c r="U628" i="2" s="1"/>
  <c r="U626" i="2" a="1"/>
  <c r="U626" i="2" s="1"/>
  <c r="U624" i="2" a="1"/>
  <c r="U624" i="2" s="1"/>
  <c r="U625" i="2" a="1"/>
  <c r="U625" i="2" s="1"/>
  <c r="U618" i="2" a="1"/>
  <c r="U618" i="2" s="1"/>
  <c r="U611" i="2" a="1"/>
  <c r="U611" i="2" s="1"/>
  <c r="U612" i="2" a="1"/>
  <c r="U612" i="2" s="1"/>
  <c r="U610" i="2" a="1"/>
  <c r="U610" i="2" s="1"/>
  <c r="U608" i="2" a="1"/>
  <c r="U608" i="2" s="1"/>
  <c r="U609" i="2" a="1"/>
  <c r="U609" i="2" s="1"/>
  <c r="U616" i="2" a="1"/>
  <c r="U616" i="2" s="1"/>
  <c r="U617" i="2" a="1"/>
  <c r="U617" i="2" s="1"/>
  <c r="U615" i="2" a="1"/>
  <c r="U615" i="2" s="1"/>
  <c r="U613" i="2" a="1"/>
  <c r="U613" i="2" s="1"/>
  <c r="U614" i="2" a="1"/>
  <c r="U614" i="2" s="1"/>
  <c r="U727" i="2" a="1"/>
  <c r="U727" i="2" s="1"/>
  <c r="U728" i="2" a="1"/>
  <c r="U728" i="2" s="1"/>
  <c r="U726" i="2" a="1"/>
  <c r="U726" i="2" s="1"/>
  <c r="U724" i="2" a="1"/>
  <c r="U724" i="2" s="1"/>
  <c r="U725" i="2" a="1"/>
  <c r="U725" i="2" s="1"/>
  <c r="U732" i="2" a="1"/>
  <c r="U732" i="2" s="1"/>
  <c r="U733" i="2" a="1"/>
  <c r="U733" i="2" s="1"/>
  <c r="U731" i="2" a="1"/>
  <c r="U731" i="2" s="1"/>
  <c r="U729" i="2" a="1"/>
  <c r="U729" i="2" s="1"/>
  <c r="U730" i="2" a="1"/>
  <c r="U730" i="2" s="1"/>
  <c r="U723" i="2" a="1"/>
  <c r="U723" i="2" s="1"/>
  <c r="U716" i="2" a="1"/>
  <c r="U716" i="2" s="1"/>
  <c r="U717" i="2" a="1"/>
  <c r="U717" i="2" s="1"/>
  <c r="U715" i="2" a="1"/>
  <c r="U715" i="2" s="1"/>
  <c r="U713" i="2" a="1"/>
  <c r="U713" i="2" s="1"/>
  <c r="U714" i="2" a="1"/>
  <c r="U714" i="2" s="1"/>
  <c r="U721" i="2" a="1"/>
  <c r="U721" i="2" s="1"/>
  <c r="U722" i="2" a="1"/>
  <c r="U722" i="2" s="1"/>
  <c r="U720" i="2" a="1"/>
  <c r="U720" i="2" s="1"/>
  <c r="U718" i="2" a="1"/>
  <c r="U718" i="2" s="1"/>
  <c r="U719" i="2" a="1"/>
  <c r="U719" i="2" s="1"/>
  <c r="U748" i="2" a="1"/>
  <c r="U748" i="2" s="1"/>
  <c r="U749" i="2" a="1"/>
  <c r="U749" i="2" s="1"/>
  <c r="U747" i="2" a="1"/>
  <c r="U747" i="2" s="1"/>
  <c r="U745" i="2" a="1"/>
  <c r="U745" i="2" s="1"/>
  <c r="U746" i="2" a="1"/>
  <c r="U746" i="2" s="1"/>
  <c r="U753" i="2" a="1"/>
  <c r="U753" i="2" s="1"/>
  <c r="U754" i="2" a="1"/>
  <c r="U754" i="2" s="1"/>
  <c r="U752" i="2" a="1"/>
  <c r="U752" i="2" s="1"/>
  <c r="U750" i="2" a="1"/>
  <c r="U750" i="2" s="1"/>
  <c r="U751" i="2" a="1"/>
  <c r="U751" i="2" s="1"/>
  <c r="U744" i="2" a="1"/>
  <c r="U744" i="2" s="1"/>
  <c r="U737" i="2" a="1"/>
  <c r="U737" i="2" s="1"/>
  <c r="U738" i="2" a="1"/>
  <c r="U738" i="2" s="1"/>
  <c r="U736" i="2" a="1"/>
  <c r="U736" i="2" s="1"/>
  <c r="U734" i="2" a="1"/>
  <c r="U734" i="2" s="1"/>
  <c r="U735" i="2" a="1"/>
  <c r="U735" i="2" s="1"/>
  <c r="U742" i="2" a="1"/>
  <c r="U742" i="2" s="1"/>
  <c r="U743" i="2" a="1"/>
  <c r="U743" i="2" s="1"/>
  <c r="U741" i="2" a="1"/>
  <c r="U741" i="2" s="1"/>
  <c r="U739" i="2" a="1"/>
  <c r="U739" i="2" s="1"/>
  <c r="U740" i="2" a="1"/>
  <c r="U740" i="2" s="1"/>
  <c r="U685" i="2" a="1"/>
  <c r="U685" i="2" s="1"/>
  <c r="U686" i="2" a="1"/>
  <c r="U686" i="2" s="1"/>
  <c r="U684" i="2" a="1"/>
  <c r="U684" i="2" s="1"/>
  <c r="U682" i="2" a="1"/>
  <c r="U682" i="2" s="1"/>
  <c r="U683" i="2" a="1"/>
  <c r="U683" i="2" s="1"/>
  <c r="U690" i="2" a="1"/>
  <c r="U690" i="2" s="1"/>
  <c r="U691" i="2" a="1"/>
  <c r="U691" i="2" s="1"/>
  <c r="U689" i="2" a="1"/>
  <c r="U689" i="2" s="1"/>
  <c r="U687" i="2" a="1"/>
  <c r="U687" i="2" s="1"/>
  <c r="U688" i="2" a="1"/>
  <c r="U688" i="2" s="1"/>
  <c r="U681" i="2" a="1"/>
  <c r="U681" i="2" s="1"/>
  <c r="U674" i="2" a="1"/>
  <c r="U674" i="2" s="1"/>
  <c r="U675" i="2" a="1"/>
  <c r="U675" i="2" s="1"/>
  <c r="U673" i="2" a="1"/>
  <c r="U673" i="2" s="1"/>
  <c r="U671" i="2" a="1"/>
  <c r="U671" i="2" s="1"/>
  <c r="U672" i="2" a="1"/>
  <c r="U672" i="2" s="1"/>
  <c r="U679" i="2" a="1"/>
  <c r="U679" i="2" s="1"/>
  <c r="U680" i="2" a="1"/>
  <c r="U680" i="2" s="1"/>
  <c r="U678" i="2" a="1"/>
  <c r="U678" i="2" s="1"/>
  <c r="U676" i="2" a="1"/>
  <c r="U676" i="2" s="1"/>
  <c r="U677" i="2" a="1"/>
  <c r="U677" i="2" s="1"/>
  <c r="U706" i="2" a="1"/>
  <c r="U706" i="2" s="1"/>
  <c r="U707" i="2" a="1"/>
  <c r="U707" i="2" s="1"/>
  <c r="U705" i="2" a="1"/>
  <c r="U705" i="2" s="1"/>
  <c r="U703" i="2" a="1"/>
  <c r="U703" i="2" s="1"/>
  <c r="U704" i="2" a="1"/>
  <c r="U704" i="2" s="1"/>
  <c r="U711" i="2" a="1"/>
  <c r="U711" i="2" s="1"/>
  <c r="U712" i="2" a="1"/>
  <c r="U712" i="2" s="1"/>
  <c r="U710" i="2" a="1"/>
  <c r="U710" i="2" s="1"/>
  <c r="U708" i="2" a="1"/>
  <c r="U708" i="2" s="1"/>
  <c r="U709" i="2" a="1"/>
  <c r="U709" i="2" s="1"/>
  <c r="U702" i="2" a="1"/>
  <c r="U702" i="2" s="1"/>
  <c r="U695" i="2" a="1"/>
  <c r="U695" i="2" s="1"/>
  <c r="U696" i="2" a="1"/>
  <c r="U696" i="2" s="1"/>
  <c r="U694" i="2" a="1"/>
  <c r="U694" i="2" s="1"/>
  <c r="U692" i="2" a="1"/>
  <c r="U692" i="2" s="1"/>
  <c r="U693" i="2" a="1"/>
  <c r="U693" i="2" s="1"/>
  <c r="U700" i="2" a="1"/>
  <c r="U700" i="2" s="1"/>
  <c r="U701" i="2" a="1"/>
  <c r="U701" i="2" s="1"/>
  <c r="U699" i="2" a="1"/>
  <c r="U699" i="2" s="1"/>
  <c r="U697" i="2" a="1"/>
  <c r="U697" i="2" s="1"/>
  <c r="U698" i="2" a="1"/>
  <c r="U698" i="2" s="1"/>
  <c r="U550" i="2" a="1"/>
  <c r="U550" i="2" s="1"/>
  <c r="U551" i="2" a="1"/>
  <c r="U551" i="2" s="1"/>
  <c r="U552" i="2" a="1"/>
  <c r="U552" i="2" s="1"/>
  <c r="U547" i="2" a="1"/>
  <c r="U547" i="2" s="1"/>
  <c r="U548" i="2" a="1"/>
  <c r="U548" i="2" s="1"/>
  <c r="U549" i="2" a="1"/>
  <c r="U549" i="2" s="1"/>
  <c r="U553" i="2" a="1"/>
  <c r="U553" i="2" s="1"/>
  <c r="U557" i="2" a="1"/>
  <c r="U557" i="2" s="1"/>
  <c r="U558" i="2" a="1"/>
  <c r="U558" i="2" s="1"/>
  <c r="U559" i="2" a="1"/>
  <c r="U559" i="2" s="1"/>
  <c r="U554" i="2" a="1"/>
  <c r="U554" i="2" s="1"/>
  <c r="U555" i="2" a="1"/>
  <c r="U555" i="2" s="1"/>
  <c r="U556" i="2" a="1"/>
  <c r="U556" i="2" s="1"/>
  <c r="U537" i="2" a="1"/>
  <c r="U537" i="2" s="1"/>
  <c r="U538" i="2" a="1"/>
  <c r="U538" i="2" s="1"/>
  <c r="U539" i="2" a="1"/>
  <c r="U539" i="2" s="1"/>
  <c r="U534" i="2" a="1"/>
  <c r="U534" i="2" s="1"/>
  <c r="U535" i="2" a="1"/>
  <c r="U535" i="2" s="1"/>
  <c r="U536" i="2" a="1"/>
  <c r="U536" i="2" s="1"/>
  <c r="U540" i="2" a="1"/>
  <c r="U540" i="2" s="1"/>
  <c r="U544" i="2" a="1"/>
  <c r="U544" i="2" s="1"/>
  <c r="U545" i="2" a="1"/>
  <c r="U545" i="2" s="1"/>
  <c r="U546" i="2" a="1"/>
  <c r="U546" i="2" s="1"/>
  <c r="U541" i="2" a="1"/>
  <c r="U541" i="2" s="1"/>
  <c r="U542" i="2" a="1"/>
  <c r="U542" i="2" s="1"/>
  <c r="U543" i="2" a="1"/>
  <c r="U543" i="2" s="1"/>
  <c r="U560" i="2" a="1"/>
  <c r="U560" i="2" s="1"/>
  <c r="U577" i="2" a="1"/>
  <c r="U577" i="2" s="1"/>
  <c r="U578" i="2" a="1"/>
  <c r="U578" i="2" s="1"/>
  <c r="U579" i="2" a="1"/>
  <c r="U579" i="2" s="1"/>
  <c r="U574" i="2" a="1"/>
  <c r="U574" i="2" s="1"/>
  <c r="U575" i="2" a="1"/>
  <c r="U575" i="2" s="1"/>
  <c r="U576" i="2" a="1"/>
  <c r="U576" i="2" s="1"/>
  <c r="U580" i="2" a="1"/>
  <c r="U580" i="2" s="1"/>
  <c r="U584" i="2" a="1"/>
  <c r="U584" i="2" s="1"/>
  <c r="U585" i="2" a="1"/>
  <c r="U585" i="2" s="1"/>
  <c r="U586" i="2" a="1"/>
  <c r="U586" i="2" s="1"/>
  <c r="U581" i="2" a="1"/>
  <c r="U581" i="2" s="1"/>
  <c r="U582" i="2" a="1"/>
  <c r="U582" i="2" s="1"/>
  <c r="U583" i="2" a="1"/>
  <c r="U583" i="2" s="1"/>
  <c r="U564" i="2" a="1"/>
  <c r="U564" i="2" s="1"/>
  <c r="U565" i="2" a="1"/>
  <c r="U565" i="2" s="1"/>
  <c r="U566" i="2" a="1"/>
  <c r="U566" i="2" s="1"/>
  <c r="U561" i="2" a="1"/>
  <c r="U561" i="2" s="1"/>
  <c r="U562" i="2" a="1"/>
  <c r="U562" i="2" s="1"/>
  <c r="U563" i="2" a="1"/>
  <c r="U563" i="2" s="1"/>
  <c r="U567" i="2" a="1"/>
  <c r="U567" i="2" s="1"/>
  <c r="U571" i="2" a="1"/>
  <c r="U571" i="2" s="1"/>
  <c r="U572" i="2" a="1"/>
  <c r="U572" i="2" s="1"/>
  <c r="U573" i="2" a="1"/>
  <c r="U573" i="2" s="1"/>
  <c r="U568" i="2" a="1"/>
  <c r="U568" i="2" s="1"/>
  <c r="U569" i="2" a="1"/>
  <c r="U569" i="2" s="1"/>
  <c r="U570" i="2" a="1"/>
  <c r="U570" i="2" s="1"/>
  <c r="U532" i="2" a="1"/>
  <c r="U532" i="2" s="1"/>
  <c r="U533" i="2" a="1"/>
  <c r="U533" i="2" s="1"/>
  <c r="U503" i="2" a="1"/>
  <c r="U503" i="2" s="1"/>
  <c r="U504" i="2" a="1"/>
  <c r="U504" i="2" s="1"/>
  <c r="U502" i="2" a="1"/>
  <c r="U502" i="2" s="1"/>
  <c r="U500" i="2" a="1"/>
  <c r="U500" i="2" s="1"/>
  <c r="U501" i="2" a="1"/>
  <c r="U501" i="2" s="1"/>
  <c r="U508" i="2" a="1"/>
  <c r="U508" i="2" s="1"/>
  <c r="U509" i="2" a="1"/>
  <c r="U509" i="2" s="1"/>
  <c r="U507" i="2" a="1"/>
  <c r="U507" i="2" s="1"/>
  <c r="U505" i="2" a="1"/>
  <c r="U505" i="2" s="1"/>
  <c r="U506" i="2" a="1"/>
  <c r="U506" i="2" s="1"/>
  <c r="U499" i="2" a="1"/>
  <c r="U499" i="2" s="1"/>
  <c r="U492" i="2" a="1"/>
  <c r="U492" i="2" s="1"/>
  <c r="U493" i="2" a="1"/>
  <c r="U493" i="2" s="1"/>
  <c r="U491" i="2" a="1"/>
  <c r="U491" i="2" s="1"/>
  <c r="U489" i="2" a="1"/>
  <c r="U489" i="2" s="1"/>
  <c r="U490" i="2" a="1"/>
  <c r="U490" i="2" s="1"/>
  <c r="U497" i="2" a="1"/>
  <c r="U497" i="2" s="1"/>
  <c r="U498" i="2" a="1"/>
  <c r="U498" i="2" s="1"/>
  <c r="U496" i="2" a="1"/>
  <c r="U496" i="2" s="1"/>
  <c r="U494" i="2" a="1"/>
  <c r="U494" i="2" s="1"/>
  <c r="U495" i="2" a="1"/>
  <c r="U495" i="2" s="1"/>
  <c r="U510" i="2" a="1"/>
  <c r="U510" i="2" s="1"/>
  <c r="U525" i="2" a="1"/>
  <c r="U525" i="2" s="1"/>
  <c r="U526" i="2" a="1"/>
  <c r="U526" i="2" s="1"/>
  <c r="U524" i="2" a="1"/>
  <c r="U524" i="2" s="1"/>
  <c r="U522" i="2" a="1"/>
  <c r="U522" i="2" s="1"/>
  <c r="U523" i="2" a="1"/>
  <c r="U523" i="2" s="1"/>
  <c r="U530" i="2" a="1"/>
  <c r="U530" i="2" s="1"/>
  <c r="U531" i="2" a="1"/>
  <c r="U531" i="2" s="1"/>
  <c r="U529" i="2" a="1"/>
  <c r="U529" i="2" s="1"/>
  <c r="U527" i="2" a="1"/>
  <c r="U527" i="2" s="1"/>
  <c r="U528" i="2" a="1"/>
  <c r="U528" i="2" s="1"/>
  <c r="U521" i="2" a="1"/>
  <c r="U521" i="2" s="1"/>
  <c r="U514" i="2" a="1"/>
  <c r="U514" i="2" s="1"/>
  <c r="U515" i="2" a="1"/>
  <c r="U515" i="2" s="1"/>
  <c r="U513" i="2" a="1"/>
  <c r="U513" i="2" s="1"/>
  <c r="U511" i="2" a="1"/>
  <c r="U511" i="2" s="1"/>
  <c r="U512" i="2" a="1"/>
  <c r="U512" i="2" s="1"/>
  <c r="U519" i="2" a="1"/>
  <c r="U519" i="2" s="1"/>
  <c r="U520" i="2" a="1"/>
  <c r="U520" i="2" s="1"/>
  <c r="U518" i="2" a="1"/>
  <c r="U518" i="2" s="1"/>
  <c r="U516" i="2" a="1"/>
  <c r="U516" i="2" s="1"/>
  <c r="U517" i="2" a="1"/>
  <c r="U517" i="2" s="1"/>
  <c r="U456" i="2" a="1"/>
  <c r="U456" i="2" s="1"/>
  <c r="U457" i="2" a="1"/>
  <c r="U457" i="2" s="1"/>
  <c r="U458" i="2" a="1"/>
  <c r="U458" i="2" s="1"/>
  <c r="U453" i="2" a="1"/>
  <c r="U453" i="2" s="1"/>
  <c r="U454" i="2" a="1"/>
  <c r="U454" i="2" s="1"/>
  <c r="U455" i="2" a="1"/>
  <c r="U455" i="2" s="1"/>
  <c r="U462" i="2" a="1"/>
  <c r="U462" i="2" s="1"/>
  <c r="U463" i="2" a="1"/>
  <c r="U463" i="2" s="1"/>
  <c r="U464" i="2" a="1"/>
  <c r="U464" i="2" s="1"/>
  <c r="U459" i="2" a="1"/>
  <c r="U459" i="2" s="1"/>
  <c r="U460" i="2" a="1"/>
  <c r="U460" i="2" s="1"/>
  <c r="U461" i="2" a="1"/>
  <c r="U461" i="2" s="1"/>
  <c r="U444" i="2" a="1"/>
  <c r="U444" i="2" s="1"/>
  <c r="U445" i="2" a="1"/>
  <c r="U445" i="2" s="1"/>
  <c r="U446" i="2" a="1"/>
  <c r="U446" i="2" s="1"/>
  <c r="U441" i="2" a="1"/>
  <c r="U441" i="2" s="1"/>
  <c r="U442" i="2" a="1"/>
  <c r="U442" i="2" s="1"/>
  <c r="U443" i="2" a="1"/>
  <c r="U443" i="2" s="1"/>
  <c r="U450" i="2" a="1"/>
  <c r="U450" i="2" s="1"/>
  <c r="U451" i="2" a="1"/>
  <c r="U451" i="2" s="1"/>
  <c r="U452" i="2" a="1"/>
  <c r="U452" i="2" s="1"/>
  <c r="U447" i="2" a="1"/>
  <c r="U447" i="2" s="1"/>
  <c r="U448" i="2" a="1"/>
  <c r="U448" i="2" s="1"/>
  <c r="U449" i="2" a="1"/>
  <c r="U449" i="2" s="1"/>
  <c r="U480" i="2" a="1"/>
  <c r="U480" i="2" s="1"/>
  <c r="U481" i="2" a="1"/>
  <c r="U481" i="2" s="1"/>
  <c r="U482" i="2" a="1"/>
  <c r="U482" i="2" s="1"/>
  <c r="U477" i="2" a="1"/>
  <c r="U477" i="2" s="1"/>
  <c r="U478" i="2" a="1"/>
  <c r="U478" i="2" s="1"/>
  <c r="U479" i="2" a="1"/>
  <c r="U479" i="2" s="1"/>
  <c r="U486" i="2" a="1"/>
  <c r="U486" i="2" s="1"/>
  <c r="U487" i="2" a="1"/>
  <c r="U487" i="2" s="1"/>
  <c r="U488" i="2" a="1"/>
  <c r="U488" i="2" s="1"/>
  <c r="U483" i="2" a="1"/>
  <c r="U483" i="2" s="1"/>
  <c r="U484" i="2" a="1"/>
  <c r="U484" i="2" s="1"/>
  <c r="U485" i="2" a="1"/>
  <c r="U485" i="2" s="1"/>
  <c r="U468" i="2" a="1"/>
  <c r="U468" i="2" s="1"/>
  <c r="U469" i="2" a="1"/>
  <c r="U469" i="2" s="1"/>
  <c r="U470" i="2" a="1"/>
  <c r="U470" i="2" s="1"/>
  <c r="U465" i="2" a="1"/>
  <c r="U465" i="2" s="1"/>
  <c r="U466" i="2" a="1"/>
  <c r="U466" i="2" s="1"/>
  <c r="U467" i="2" a="1"/>
  <c r="U467" i="2" s="1"/>
  <c r="U474" i="2" a="1"/>
  <c r="U474" i="2" s="1"/>
  <c r="U475" i="2" a="1"/>
  <c r="U475" i="2" s="1"/>
  <c r="U476" i="2" a="1"/>
  <c r="U476" i="2" s="1"/>
  <c r="U471" i="2" a="1"/>
  <c r="U471" i="2" s="1"/>
  <c r="U472" i="2" a="1"/>
  <c r="U472" i="2" s="1"/>
  <c r="U473" i="2" a="1"/>
  <c r="U473" i="2" s="1"/>
  <c r="U388" i="2" a="1"/>
  <c r="U388" i="2" s="1"/>
  <c r="U387" i="2" a="1"/>
  <c r="U387" i="2" s="1"/>
  <c r="U390" i="2" a="1"/>
  <c r="U390" i="2" s="1"/>
  <c r="U389" i="2" a="1"/>
  <c r="U389" i="2" s="1"/>
  <c r="U386" i="2" a="1"/>
  <c r="U386" i="2" s="1"/>
  <c r="U383" i="2" a="1"/>
  <c r="U383" i="2" s="1"/>
  <c r="U382" i="2" a="1"/>
  <c r="U382" i="2" s="1"/>
  <c r="U385" i="2" a="1"/>
  <c r="U385" i="2" s="1"/>
  <c r="U384" i="2" a="1"/>
  <c r="U384" i="2" s="1"/>
  <c r="U391" i="2" a="1"/>
  <c r="U391" i="2" s="1"/>
  <c r="U398" i="2" a="1"/>
  <c r="U398" i="2" s="1"/>
  <c r="U397" i="2" a="1"/>
  <c r="U397" i="2" s="1"/>
  <c r="U400" i="2" a="1"/>
  <c r="U400" i="2" s="1"/>
  <c r="U399" i="2" a="1"/>
  <c r="U399" i="2" s="1"/>
  <c r="U396" i="2" a="1"/>
  <c r="U396" i="2" s="1"/>
  <c r="U393" i="2" a="1"/>
  <c r="U393" i="2" s="1"/>
  <c r="U392" i="2" a="1"/>
  <c r="U392" i="2" s="1"/>
  <c r="U395" i="2" a="1"/>
  <c r="U395" i="2" s="1"/>
  <c r="U394" i="2" a="1"/>
  <c r="U394" i="2" s="1"/>
  <c r="U381" i="2" a="1"/>
  <c r="U381" i="2" s="1"/>
  <c r="U368" i="2" a="1"/>
  <c r="U368" i="2" s="1"/>
  <c r="U367" i="2" a="1"/>
  <c r="U367" i="2" s="1"/>
  <c r="U370" i="2" a="1"/>
  <c r="U370" i="2" s="1"/>
  <c r="U369" i="2" a="1"/>
  <c r="U369" i="2" s="1"/>
  <c r="U366" i="2" a="1"/>
  <c r="U366" i="2" s="1"/>
  <c r="U363" i="2" a="1"/>
  <c r="U363" i="2" s="1"/>
  <c r="U362" i="2" a="1"/>
  <c r="U362" i="2" s="1"/>
  <c r="U365" i="2" a="1"/>
  <c r="U365" i="2" s="1"/>
  <c r="U364" i="2" a="1"/>
  <c r="U364" i="2" s="1"/>
  <c r="U371" i="2" a="1"/>
  <c r="U371" i="2" s="1"/>
  <c r="U378" i="2" a="1"/>
  <c r="U378" i="2" s="1"/>
  <c r="U377" i="2" a="1"/>
  <c r="U377" i="2" s="1"/>
  <c r="U380" i="2" a="1"/>
  <c r="U380" i="2" s="1"/>
  <c r="U379" i="2" a="1"/>
  <c r="U379" i="2" s="1"/>
  <c r="U376" i="2" a="1"/>
  <c r="U376" i="2" s="1"/>
  <c r="U373" i="2" a="1"/>
  <c r="U373" i="2" s="1"/>
  <c r="U372" i="2" a="1"/>
  <c r="U372" i="2" s="1"/>
  <c r="U375" i="2" a="1"/>
  <c r="U375" i="2" s="1"/>
  <c r="U374" i="2" a="1"/>
  <c r="U374" i="2" s="1"/>
  <c r="U401" i="2" a="1"/>
  <c r="U401" i="2" s="1"/>
  <c r="U428" i="2" a="1"/>
  <c r="U428" i="2" s="1"/>
  <c r="U427" i="2" a="1"/>
  <c r="U427" i="2" s="1"/>
  <c r="U430" i="2" a="1"/>
  <c r="U430" i="2" s="1"/>
  <c r="U429" i="2" a="1"/>
  <c r="U429" i="2" s="1"/>
  <c r="U426" i="2" a="1"/>
  <c r="U426" i="2" s="1"/>
  <c r="U423" i="2" a="1"/>
  <c r="U423" i="2" s="1"/>
  <c r="U422" i="2" a="1"/>
  <c r="U422" i="2" s="1"/>
  <c r="U425" i="2" a="1"/>
  <c r="U425" i="2" s="1"/>
  <c r="U424" i="2" a="1"/>
  <c r="U424" i="2" s="1"/>
  <c r="U431" i="2" a="1"/>
  <c r="U431" i="2" s="1"/>
  <c r="U438" i="2" a="1"/>
  <c r="U438" i="2" s="1"/>
  <c r="U437" i="2" a="1"/>
  <c r="U437" i="2" s="1"/>
  <c r="U440" i="2" a="1"/>
  <c r="U440" i="2" s="1"/>
  <c r="U439" i="2" a="1"/>
  <c r="U439" i="2" s="1"/>
  <c r="U436" i="2" a="1"/>
  <c r="U436" i="2" s="1"/>
  <c r="U433" i="2" a="1"/>
  <c r="U433" i="2" s="1"/>
  <c r="U432" i="2" a="1"/>
  <c r="U432" i="2" s="1"/>
  <c r="U435" i="2" a="1"/>
  <c r="U435" i="2" s="1"/>
  <c r="U434" i="2" a="1"/>
  <c r="U434" i="2" s="1"/>
  <c r="U421" i="2" a="1"/>
  <c r="U421" i="2" s="1"/>
  <c r="U408" i="2" a="1"/>
  <c r="U408" i="2" s="1"/>
  <c r="U407" i="2" a="1"/>
  <c r="U407" i="2" s="1"/>
  <c r="U410" i="2" a="1"/>
  <c r="U410" i="2" s="1"/>
  <c r="U409" i="2" a="1"/>
  <c r="U409" i="2" s="1"/>
  <c r="U406" i="2" a="1"/>
  <c r="U406" i="2" s="1"/>
  <c r="U403" i="2" a="1"/>
  <c r="U403" i="2" s="1"/>
  <c r="U402" i="2" a="1"/>
  <c r="U402" i="2" s="1"/>
  <c r="U405" i="2" a="1"/>
  <c r="U405" i="2" s="1"/>
  <c r="U404" i="2" a="1"/>
  <c r="U404" i="2" s="1"/>
  <c r="U412" i="2" a="1"/>
  <c r="U412" i="2" s="1"/>
  <c r="U418" i="2" a="1"/>
  <c r="U418" i="2" s="1"/>
  <c r="U417" i="2" a="1"/>
  <c r="U417" i="2" s="1"/>
  <c r="U420" i="2" a="1"/>
  <c r="U420" i="2" s="1"/>
  <c r="U419" i="2" a="1"/>
  <c r="U419" i="2" s="1"/>
  <c r="U416" i="2" a="1"/>
  <c r="U416" i="2" s="1"/>
  <c r="U413" i="2" a="1"/>
  <c r="U413" i="2" s="1"/>
  <c r="U411" i="2" a="1"/>
  <c r="U411" i="2" s="1"/>
  <c r="U415" i="2" a="1"/>
  <c r="U415" i="2" s="1"/>
  <c r="U414" i="2" a="1"/>
  <c r="U414" i="2" s="1"/>
  <c r="U308" i="2" a="1"/>
  <c r="U308" i="2" s="1"/>
  <c r="U307" i="2" a="1"/>
  <c r="U307" i="2" s="1"/>
  <c r="U309" i="2" a="1"/>
  <c r="U309" i="2" s="1"/>
  <c r="U311" i="2" a="1"/>
  <c r="U311" i="2" s="1"/>
  <c r="U310" i="2" a="1"/>
  <c r="U310" i="2" s="1"/>
  <c r="U303" i="2" a="1"/>
  <c r="U303" i="2" s="1"/>
  <c r="U302" i="2" a="1"/>
  <c r="U302" i="2" s="1"/>
  <c r="U304" i="2" a="1"/>
  <c r="U304" i="2" s="1"/>
  <c r="U306" i="2" a="1"/>
  <c r="U306" i="2" s="1"/>
  <c r="U305" i="2" a="1"/>
  <c r="U305" i="2" s="1"/>
  <c r="U318" i="2" a="1"/>
  <c r="U318" i="2" s="1"/>
  <c r="U317" i="2" a="1"/>
  <c r="U317" i="2" s="1"/>
  <c r="U319" i="2" a="1"/>
  <c r="U319" i="2" s="1"/>
  <c r="U321" i="2" a="1"/>
  <c r="U321" i="2" s="1"/>
  <c r="U320" i="2" a="1"/>
  <c r="U320" i="2" s="1"/>
  <c r="U313" i="2" a="1"/>
  <c r="U313" i="2" s="1"/>
  <c r="U312" i="2" a="1"/>
  <c r="U312" i="2" s="1"/>
  <c r="U314" i="2" a="1"/>
  <c r="U314" i="2" s="1"/>
  <c r="U316" i="2" a="1"/>
  <c r="U316" i="2" s="1"/>
  <c r="U315" i="2" a="1"/>
  <c r="U315" i="2" s="1"/>
  <c r="U288" i="2" a="1"/>
  <c r="U288" i="2" s="1"/>
  <c r="U287" i="2" a="1"/>
  <c r="U287" i="2" s="1"/>
  <c r="U289" i="2" a="1"/>
  <c r="U289" i="2" s="1"/>
  <c r="U291" i="2" a="1"/>
  <c r="U291" i="2" s="1"/>
  <c r="U290" i="2" a="1"/>
  <c r="U290" i="2" s="1"/>
  <c r="U283" i="2" a="1"/>
  <c r="U283" i="2" s="1"/>
  <c r="U282" i="2" a="1"/>
  <c r="U282" i="2" s="1"/>
  <c r="U284" i="2" a="1"/>
  <c r="U284" i="2" s="1"/>
  <c r="U286" i="2" a="1"/>
  <c r="U286" i="2" s="1"/>
  <c r="U285" i="2" a="1"/>
  <c r="U285" i="2" s="1"/>
  <c r="U298" i="2" a="1"/>
  <c r="U298" i="2" s="1"/>
  <c r="U297" i="2" a="1"/>
  <c r="U297" i="2" s="1"/>
  <c r="U299" i="2" a="1"/>
  <c r="U299" i="2" s="1"/>
  <c r="U301" i="2" a="1"/>
  <c r="U301" i="2" s="1"/>
  <c r="U300" i="2" a="1"/>
  <c r="U300" i="2" s="1"/>
  <c r="U293" i="2" a="1"/>
  <c r="U293" i="2" s="1"/>
  <c r="U292" i="2" a="1"/>
  <c r="U292" i="2" s="1"/>
  <c r="U294" i="2" a="1"/>
  <c r="U294" i="2" s="1"/>
  <c r="U296" i="2" a="1"/>
  <c r="U296" i="2" s="1"/>
  <c r="U295" i="2" a="1"/>
  <c r="U295" i="2" s="1"/>
  <c r="U348" i="2" a="1"/>
  <c r="U348" i="2" s="1"/>
  <c r="U347" i="2" a="1"/>
  <c r="U347" i="2" s="1"/>
  <c r="U349" i="2" a="1"/>
  <c r="U349" i="2" s="1"/>
  <c r="U351" i="2" a="1"/>
  <c r="U351" i="2" s="1"/>
  <c r="U350" i="2" a="1"/>
  <c r="U350" i="2" s="1"/>
  <c r="U343" i="2" a="1"/>
  <c r="U343" i="2" s="1"/>
  <c r="U342" i="2" a="1"/>
  <c r="U342" i="2" s="1"/>
  <c r="U344" i="2" a="1"/>
  <c r="U344" i="2" s="1"/>
  <c r="U346" i="2" a="1"/>
  <c r="U346" i="2" s="1"/>
  <c r="U345" i="2" a="1"/>
  <c r="U345" i="2" s="1"/>
  <c r="U358" i="2" a="1"/>
  <c r="U358" i="2" s="1"/>
  <c r="U357" i="2" a="1"/>
  <c r="U357" i="2" s="1"/>
  <c r="U359" i="2" a="1"/>
  <c r="U359" i="2" s="1"/>
  <c r="U361" i="2" a="1"/>
  <c r="U361" i="2" s="1"/>
  <c r="U360" i="2" a="1"/>
  <c r="U360" i="2" s="1"/>
  <c r="U353" i="2" a="1"/>
  <c r="U353" i="2" s="1"/>
  <c r="U352" i="2" a="1"/>
  <c r="U352" i="2" s="1"/>
  <c r="U354" i="2" a="1"/>
  <c r="U354" i="2" s="1"/>
  <c r="U356" i="2" a="1"/>
  <c r="U356" i="2" s="1"/>
  <c r="U355" i="2" a="1"/>
  <c r="U355" i="2" s="1"/>
  <c r="U328" i="2" a="1"/>
  <c r="U328" i="2" s="1"/>
  <c r="U327" i="2" a="1"/>
  <c r="U327" i="2" s="1"/>
  <c r="U329" i="2" a="1"/>
  <c r="U329" i="2" s="1"/>
  <c r="U331" i="2" a="1"/>
  <c r="U331" i="2" s="1"/>
  <c r="U330" i="2" a="1"/>
  <c r="U330" i="2" s="1"/>
  <c r="U323" i="2" a="1"/>
  <c r="U323" i="2" s="1"/>
  <c r="U322" i="2" a="1"/>
  <c r="U322" i="2" s="1"/>
  <c r="U324" i="2" a="1"/>
  <c r="U324" i="2" s="1"/>
  <c r="U326" i="2" a="1"/>
  <c r="U326" i="2" s="1"/>
  <c r="U325" i="2" a="1"/>
  <c r="U325" i="2" s="1"/>
  <c r="U338" i="2" a="1"/>
  <c r="U338" i="2" s="1"/>
  <c r="U337" i="2" a="1"/>
  <c r="U337" i="2" s="1"/>
  <c r="U339" i="2" a="1"/>
  <c r="U339" i="2" s="1"/>
  <c r="U341" i="2" a="1"/>
  <c r="U341" i="2" s="1"/>
  <c r="U340" i="2" a="1"/>
  <c r="U340" i="2" s="1"/>
  <c r="U333" i="2" a="1"/>
  <c r="U333" i="2" s="1"/>
  <c r="U332" i="2" a="1"/>
  <c r="U332" i="2" s="1"/>
  <c r="U334" i="2" a="1"/>
  <c r="U334" i="2" s="1"/>
  <c r="U336" i="2" a="1"/>
  <c r="U336" i="2" s="1"/>
  <c r="U335" i="2" a="1"/>
  <c r="U335" i="2" s="1"/>
  <c r="U229" i="2" a="1"/>
  <c r="U229" i="2" s="1"/>
  <c r="U228" i="2" a="1"/>
  <c r="U228" i="2" s="1"/>
  <c r="U231" i="2" a="1"/>
  <c r="U231" i="2" s="1"/>
  <c r="U230" i="2" a="1"/>
  <c r="U230" i="2" s="1"/>
  <c r="U227" i="2" a="1"/>
  <c r="U227" i="2" s="1"/>
  <c r="U224" i="2" a="1"/>
  <c r="U224" i="2" s="1"/>
  <c r="U223" i="2" a="1"/>
  <c r="U223" i="2" s="1"/>
  <c r="U226" i="2" a="1"/>
  <c r="U226" i="2" s="1"/>
  <c r="U225" i="2" a="1"/>
  <c r="U225" i="2" s="1"/>
  <c r="U232" i="2" a="1"/>
  <c r="U232" i="2" s="1"/>
  <c r="U239" i="2" a="1"/>
  <c r="U239" i="2" s="1"/>
  <c r="U238" i="2" a="1"/>
  <c r="U238" i="2" s="1"/>
  <c r="U241" i="2" a="1"/>
  <c r="U241" i="2" s="1"/>
  <c r="U240" i="2" a="1"/>
  <c r="U240" i="2" s="1"/>
  <c r="U237" i="2" a="1"/>
  <c r="U237" i="2" s="1"/>
  <c r="U234" i="2" a="1"/>
  <c r="U234" i="2" s="1"/>
  <c r="U233" i="2" a="1"/>
  <c r="U233" i="2" s="1"/>
  <c r="U236" i="2" a="1"/>
  <c r="U236" i="2" s="1"/>
  <c r="U235" i="2" a="1"/>
  <c r="U235" i="2" s="1"/>
  <c r="U222" i="2" a="1"/>
  <c r="U222" i="2" s="1"/>
  <c r="U209" i="2" a="1"/>
  <c r="U209" i="2" s="1"/>
  <c r="U208" i="2" a="1"/>
  <c r="U208" i="2" s="1"/>
  <c r="U211" i="2" a="1"/>
  <c r="U211" i="2" s="1"/>
  <c r="U210" i="2" a="1"/>
  <c r="U210" i="2" s="1"/>
  <c r="U207" i="2" a="1"/>
  <c r="U207" i="2" s="1"/>
  <c r="U204" i="2" a="1"/>
  <c r="U204" i="2" s="1"/>
  <c r="U203" i="2" a="1"/>
  <c r="U203" i="2" s="1"/>
  <c r="U206" i="2" a="1"/>
  <c r="U206" i="2" s="1"/>
  <c r="U205" i="2" a="1"/>
  <c r="U205" i="2" s="1"/>
  <c r="U212" i="2" a="1"/>
  <c r="U212" i="2" s="1"/>
  <c r="U219" i="2" a="1"/>
  <c r="U219" i="2" s="1"/>
  <c r="U218" i="2" a="1"/>
  <c r="U218" i="2" s="1"/>
  <c r="U221" i="2" a="1"/>
  <c r="U221" i="2" s="1"/>
  <c r="U220" i="2" a="1"/>
  <c r="U220" i="2" s="1"/>
  <c r="U217" i="2" a="1"/>
  <c r="U217" i="2" s="1"/>
  <c r="U214" i="2" a="1"/>
  <c r="U214" i="2" s="1"/>
  <c r="U213" i="2" a="1"/>
  <c r="U213" i="2" s="1"/>
  <c r="U216" i="2" a="1"/>
  <c r="U216" i="2" s="1"/>
  <c r="U215" i="2" a="1"/>
  <c r="U215" i="2" s="1"/>
  <c r="U242" i="2" a="1"/>
  <c r="U242" i="2" s="1"/>
  <c r="U269" i="2" a="1"/>
  <c r="U269" i="2" s="1"/>
  <c r="U268" i="2" a="1"/>
  <c r="U268" i="2" s="1"/>
  <c r="U271" i="2" a="1"/>
  <c r="U271" i="2" s="1"/>
  <c r="U270" i="2" a="1"/>
  <c r="U270" i="2" s="1"/>
  <c r="U267" i="2" a="1"/>
  <c r="U267" i="2" s="1"/>
  <c r="U264" i="2" a="1"/>
  <c r="U264" i="2" s="1"/>
  <c r="U263" i="2" a="1"/>
  <c r="U263" i="2" s="1"/>
  <c r="U266" i="2" a="1"/>
  <c r="U266" i="2" s="1"/>
  <c r="U265" i="2" a="1"/>
  <c r="U265" i="2" s="1"/>
  <c r="U272" i="2" a="1"/>
  <c r="U272" i="2" s="1"/>
  <c r="U279" i="2" a="1"/>
  <c r="U279" i="2" s="1"/>
  <c r="U278" i="2" a="1"/>
  <c r="U278" i="2" s="1"/>
  <c r="U281" i="2" a="1"/>
  <c r="U281" i="2" s="1"/>
  <c r="U280" i="2" a="1"/>
  <c r="U280" i="2" s="1"/>
  <c r="U277" i="2" a="1"/>
  <c r="U277" i="2" s="1"/>
  <c r="U274" i="2" a="1"/>
  <c r="U274" i="2" s="1"/>
  <c r="U273" i="2" a="1"/>
  <c r="U273" i="2" s="1"/>
  <c r="U276" i="2" a="1"/>
  <c r="U276" i="2" s="1"/>
  <c r="U275" i="2" a="1"/>
  <c r="U275" i="2" s="1"/>
  <c r="U262" i="2" a="1"/>
  <c r="U262" i="2" s="1"/>
  <c r="U249" i="2" a="1"/>
  <c r="U249" i="2" s="1"/>
  <c r="U248" i="2" a="1"/>
  <c r="U248" i="2" s="1"/>
  <c r="U251" i="2" a="1"/>
  <c r="U251" i="2" s="1"/>
  <c r="U250" i="2" a="1"/>
  <c r="U250" i="2" s="1"/>
  <c r="U247" i="2" a="1"/>
  <c r="U247" i="2" s="1"/>
  <c r="U244" i="2" a="1"/>
  <c r="U244" i="2" s="1"/>
  <c r="U243" i="2" a="1"/>
  <c r="U243" i="2" s="1"/>
  <c r="U246" i="2" a="1"/>
  <c r="U246" i="2" s="1"/>
  <c r="U245" i="2" a="1"/>
  <c r="U245" i="2" s="1"/>
  <c r="U252" i="2" a="1"/>
  <c r="U252" i="2" s="1"/>
  <c r="U259" i="2" a="1"/>
  <c r="U259" i="2" s="1"/>
  <c r="U258" i="2" a="1"/>
  <c r="U258" i="2" s="1"/>
  <c r="U261" i="2" a="1"/>
  <c r="U261" i="2" s="1"/>
  <c r="U260" i="2" a="1"/>
  <c r="U260" i="2" s="1"/>
  <c r="U257" i="2" a="1"/>
  <c r="U257" i="2" s="1"/>
  <c r="U254" i="2" a="1"/>
  <c r="U254" i="2" s="1"/>
  <c r="U253" i="2" a="1"/>
  <c r="U253" i="2" s="1"/>
  <c r="U256" i="2" a="1"/>
  <c r="U256" i="2" s="1"/>
  <c r="U255" i="2" a="1"/>
  <c r="U255" i="2" s="1"/>
  <c r="U145" i="2" a="1"/>
  <c r="U145" i="2" s="1"/>
  <c r="U144" i="2" a="1"/>
  <c r="U144" i="2" s="1"/>
  <c r="U146" i="2" a="1"/>
  <c r="U146" i="2" s="1"/>
  <c r="U148" i="2" a="1"/>
  <c r="U148" i="2" s="1"/>
  <c r="U147" i="2" a="1"/>
  <c r="U147" i="2" s="1"/>
  <c r="U140" i="2" a="1"/>
  <c r="U140" i="2" s="1"/>
  <c r="U139" i="2" a="1"/>
  <c r="U139" i="2" s="1"/>
  <c r="U141" i="2" a="1"/>
  <c r="U141" i="2" s="1"/>
  <c r="U143" i="2" a="1"/>
  <c r="U143" i="2" s="1"/>
  <c r="U142" i="2" a="1"/>
  <c r="U142" i="2" s="1"/>
  <c r="U149" i="2" a="1"/>
  <c r="U149" i="2" s="1"/>
  <c r="U156" i="2" a="1"/>
  <c r="U156" i="2" s="1"/>
  <c r="U155" i="2" a="1"/>
  <c r="U155" i="2" s="1"/>
  <c r="U157" i="2" a="1"/>
  <c r="U157" i="2" s="1"/>
  <c r="U159" i="2" a="1"/>
  <c r="U159" i="2" s="1"/>
  <c r="U158" i="2" a="1"/>
  <c r="U158" i="2" s="1"/>
  <c r="U151" i="2" a="1"/>
  <c r="U151" i="2" s="1"/>
  <c r="U150" i="2" a="1"/>
  <c r="U150" i="2" s="1"/>
  <c r="U152" i="2" a="1"/>
  <c r="U152" i="2" s="1"/>
  <c r="U154" i="2" a="1"/>
  <c r="U154" i="2" s="1"/>
  <c r="U153" i="2" a="1"/>
  <c r="U153" i="2" s="1"/>
  <c r="U138" i="2" a="1"/>
  <c r="U138" i="2" s="1"/>
  <c r="U123" i="2" a="1"/>
  <c r="U123" i="2" s="1"/>
  <c r="U122" i="2" a="1"/>
  <c r="U122" i="2" s="1"/>
  <c r="U124" i="2" a="1"/>
  <c r="U124" i="2" s="1"/>
  <c r="U126" i="2" a="1"/>
  <c r="U126" i="2" s="1"/>
  <c r="U125" i="2" a="1"/>
  <c r="U125" i="2" s="1"/>
  <c r="U118" i="2" a="1"/>
  <c r="U118" i="2" s="1"/>
  <c r="U117" i="2" a="1"/>
  <c r="U117" i="2" s="1"/>
  <c r="U119" i="2" a="1"/>
  <c r="U119" i="2" s="1"/>
  <c r="U121" i="2" a="1"/>
  <c r="U121" i="2" s="1"/>
  <c r="U120" i="2" a="1"/>
  <c r="U120" i="2" s="1"/>
  <c r="U127" i="2" a="1"/>
  <c r="U127" i="2" s="1"/>
  <c r="U134" i="2" a="1"/>
  <c r="U134" i="2" s="1"/>
  <c r="U133" i="2" a="1"/>
  <c r="U133" i="2" s="1"/>
  <c r="U135" i="2" a="1"/>
  <c r="U135" i="2" s="1"/>
  <c r="U137" i="2" a="1"/>
  <c r="U137" i="2" s="1"/>
  <c r="U136" i="2" a="1"/>
  <c r="U136" i="2" s="1"/>
  <c r="U129" i="2" a="1"/>
  <c r="U129" i="2" s="1"/>
  <c r="U128" i="2" a="1"/>
  <c r="U128" i="2" s="1"/>
  <c r="U130" i="2" a="1"/>
  <c r="U130" i="2" s="1"/>
  <c r="U132" i="2" a="1"/>
  <c r="U132" i="2" s="1"/>
  <c r="U131" i="2" a="1"/>
  <c r="U131" i="2" s="1"/>
  <c r="U188" i="2" a="1"/>
  <c r="U188" i="2" s="1"/>
  <c r="U187" i="2" a="1"/>
  <c r="U187" i="2" s="1"/>
  <c r="U189" i="2" a="1"/>
  <c r="U189" i="2" s="1"/>
  <c r="U191" i="2" a="1"/>
  <c r="U191" i="2" s="1"/>
  <c r="U190" i="2" a="1"/>
  <c r="U190" i="2" s="1"/>
  <c r="U183" i="2" a="1"/>
  <c r="U183" i="2" s="1"/>
  <c r="U182" i="2" a="1"/>
  <c r="U182" i="2" s="1"/>
  <c r="U184" i="2" a="1"/>
  <c r="U184" i="2" s="1"/>
  <c r="U186" i="2" a="1"/>
  <c r="U186" i="2" s="1"/>
  <c r="U185" i="2" a="1"/>
  <c r="U185" i="2" s="1"/>
  <c r="U192" i="2" a="1"/>
  <c r="U192" i="2" s="1"/>
  <c r="U199" i="2" a="1"/>
  <c r="U199" i="2" s="1"/>
  <c r="U198" i="2" a="1"/>
  <c r="U198" i="2" s="1"/>
  <c r="U200" i="2" a="1"/>
  <c r="U200" i="2" s="1"/>
  <c r="U202" i="2" a="1"/>
  <c r="U202" i="2" s="1"/>
  <c r="U201" i="2" a="1"/>
  <c r="U201" i="2" s="1"/>
  <c r="U194" i="2" a="1"/>
  <c r="U194" i="2" s="1"/>
  <c r="U193" i="2" a="1"/>
  <c r="U193" i="2" s="1"/>
  <c r="U195" i="2" a="1"/>
  <c r="U195" i="2" s="1"/>
  <c r="U197" i="2" a="1"/>
  <c r="U197" i="2" s="1"/>
  <c r="U196" i="2" a="1"/>
  <c r="U196" i="2" s="1"/>
  <c r="U181" i="2" a="1"/>
  <c r="U181" i="2" s="1"/>
  <c r="U166" i="2" a="1"/>
  <c r="U166" i="2" s="1"/>
  <c r="U165" i="2" a="1"/>
  <c r="U165" i="2" s="1"/>
  <c r="U167" i="2" a="1"/>
  <c r="U167" i="2" s="1"/>
  <c r="U169" i="2" a="1"/>
  <c r="U169" i="2" s="1"/>
  <c r="U168" i="2" a="1"/>
  <c r="U168" i="2" s="1"/>
  <c r="U161" i="2" a="1"/>
  <c r="U161" i="2" s="1"/>
  <c r="U160" i="2" a="1"/>
  <c r="U160" i="2" s="1"/>
  <c r="U162" i="2" a="1"/>
  <c r="U162" i="2" s="1"/>
  <c r="U164" i="2" a="1"/>
  <c r="U164" i="2" s="1"/>
  <c r="U163" i="2" a="1"/>
  <c r="U163" i="2" s="1"/>
  <c r="U170" i="2" a="1"/>
  <c r="U170" i="2" s="1"/>
  <c r="U177" i="2" a="1"/>
  <c r="U177" i="2" s="1"/>
  <c r="U176" i="2" a="1"/>
  <c r="U176" i="2" s="1"/>
  <c r="U178" i="2" a="1"/>
  <c r="U178" i="2" s="1"/>
  <c r="U180" i="2" a="1"/>
  <c r="U180" i="2" s="1"/>
  <c r="U179" i="2" a="1"/>
  <c r="U179" i="2" s="1"/>
  <c r="U172" i="2" a="1"/>
  <c r="U172" i="2" s="1"/>
  <c r="U171" i="2" a="1"/>
  <c r="U171" i="2" s="1"/>
  <c r="U173" i="2" a="1"/>
  <c r="U173" i="2" s="1"/>
  <c r="U175" i="2" a="1"/>
  <c r="U175" i="2" s="1"/>
  <c r="U174" i="2" a="1"/>
  <c r="U174" i="2" s="1"/>
  <c r="U80" i="2" a="1"/>
  <c r="U80" i="2" s="1"/>
  <c r="U81" i="2" a="1"/>
  <c r="U81" i="2" s="1"/>
  <c r="U82" i="2" a="1"/>
  <c r="U82" i="2" s="1"/>
  <c r="U77" i="2" a="1"/>
  <c r="U77" i="2" s="1"/>
  <c r="U78" i="2" a="1"/>
  <c r="U78" i="2" s="1"/>
  <c r="U79" i="2" a="1"/>
  <c r="U79" i="2" s="1"/>
  <c r="U83" i="2" a="1"/>
  <c r="U83" i="2" s="1"/>
  <c r="U87" i="2" a="1"/>
  <c r="U87" i="2" s="1"/>
  <c r="U88" i="2" a="1"/>
  <c r="U88" i="2" s="1"/>
  <c r="U89" i="2" a="1"/>
  <c r="U89" i="2" s="1"/>
  <c r="U84" i="2" a="1"/>
  <c r="U84" i="2" s="1"/>
  <c r="U85" i="2" a="1"/>
  <c r="U85" i="2" s="1"/>
  <c r="U86" i="2" a="1"/>
  <c r="U86" i="2" s="1"/>
  <c r="U67" i="2" a="1"/>
  <c r="U67" i="2" s="1"/>
  <c r="U68" i="2" a="1"/>
  <c r="U68" i="2" s="1"/>
  <c r="U69" i="2" a="1"/>
  <c r="U69" i="2" s="1"/>
  <c r="U64" i="2" a="1"/>
  <c r="U64" i="2" s="1"/>
  <c r="U65" i="2" a="1"/>
  <c r="U65" i="2" s="1"/>
  <c r="U66" i="2" a="1"/>
  <c r="U66" i="2" s="1"/>
  <c r="U70" i="2" a="1"/>
  <c r="U70" i="2" s="1"/>
  <c r="U74" i="2" a="1"/>
  <c r="U74" i="2" s="1"/>
  <c r="U75" i="2" a="1"/>
  <c r="U75" i="2" s="1"/>
  <c r="U76" i="2" a="1"/>
  <c r="U76" i="2" s="1"/>
  <c r="U71" i="2" a="1"/>
  <c r="U71" i="2" s="1"/>
  <c r="U72" i="2" a="1"/>
  <c r="U72" i="2" s="1"/>
  <c r="U73" i="2" a="1"/>
  <c r="U73" i="2" s="1"/>
  <c r="U90" i="2" a="1"/>
  <c r="U90" i="2" s="1"/>
  <c r="U107" i="2" a="1"/>
  <c r="U107" i="2" s="1"/>
  <c r="U108" i="2" a="1"/>
  <c r="U108" i="2" s="1"/>
  <c r="U109" i="2" a="1"/>
  <c r="U109" i="2" s="1"/>
  <c r="U104" i="2" a="1"/>
  <c r="U104" i="2" s="1"/>
  <c r="U105" i="2" a="1"/>
  <c r="U105" i="2" s="1"/>
  <c r="U106" i="2" a="1"/>
  <c r="U106" i="2" s="1"/>
  <c r="U110" i="2" a="1"/>
  <c r="U110" i="2" s="1"/>
  <c r="U114" i="2" a="1"/>
  <c r="U114" i="2" s="1"/>
  <c r="U115" i="2" a="1"/>
  <c r="U115" i="2" s="1"/>
  <c r="U116" i="2" a="1"/>
  <c r="U116" i="2" s="1"/>
  <c r="U111" i="2" a="1"/>
  <c r="U111" i="2" s="1"/>
  <c r="U112" i="2" a="1"/>
  <c r="U112" i="2" s="1"/>
  <c r="U113" i="2" a="1"/>
  <c r="U113" i="2" s="1"/>
  <c r="U94" i="2" a="1"/>
  <c r="U94" i="2" s="1"/>
  <c r="U95" i="2" a="1"/>
  <c r="U95" i="2" s="1"/>
  <c r="U96" i="2" a="1"/>
  <c r="U96" i="2" s="1"/>
  <c r="U91" i="2" a="1"/>
  <c r="U91" i="2" s="1"/>
  <c r="U92" i="2" a="1"/>
  <c r="U92" i="2" s="1"/>
  <c r="U93" i="2" a="1"/>
  <c r="U93" i="2" s="1"/>
  <c r="U97" i="2" a="1"/>
  <c r="U97" i="2" s="1"/>
  <c r="U101" i="2" a="1"/>
  <c r="U101" i="2" s="1"/>
  <c r="U102" i="2" a="1"/>
  <c r="U102" i="2" s="1"/>
  <c r="U103" i="2" a="1"/>
  <c r="U103" i="2" s="1"/>
  <c r="U98" i="2" a="1"/>
  <c r="U98" i="2" s="1"/>
  <c r="U99" i="2" a="1"/>
  <c r="U99" i="2" s="1"/>
  <c r="U100" i="2" a="1"/>
  <c r="U100" i="2" s="1"/>
  <c r="U25" i="2" a="1"/>
  <c r="U25" i="2" s="1"/>
  <c r="U26" i="2" a="1"/>
  <c r="U26" i="2" s="1"/>
  <c r="U27" i="2" a="1"/>
  <c r="U27" i="2" s="1"/>
  <c r="U24" i="2" a="1"/>
  <c r="U24" i="2" s="1"/>
  <c r="U21" i="2" a="1"/>
  <c r="U21" i="2" s="1"/>
  <c r="U22" i="2" a="1"/>
  <c r="U22" i="2" s="1"/>
  <c r="U23" i="2" a="1"/>
  <c r="U23" i="2" s="1"/>
  <c r="U32" i="2" a="1"/>
  <c r="U32" i="2" s="1"/>
  <c r="U33" i="2" a="1"/>
  <c r="U33" i="2" s="1"/>
  <c r="U34" i="2" a="1"/>
  <c r="U34" i="2" s="1"/>
  <c r="U31" i="2" a="1"/>
  <c r="U31" i="2" s="1"/>
  <c r="U28" i="2" a="1"/>
  <c r="U28" i="2" s="1"/>
  <c r="U29" i="2" a="1"/>
  <c r="U29" i="2" s="1"/>
  <c r="U30" i="2" a="1"/>
  <c r="U30" i="2" s="1"/>
  <c r="U20" i="2" a="1"/>
  <c r="U20" i="2" s="1"/>
  <c r="U10" i="2" a="1"/>
  <c r="U10" i="2" s="1"/>
  <c r="U11" i="2" a="1"/>
  <c r="U11" i="2" s="1"/>
  <c r="U12" i="2" a="1"/>
  <c r="U12" i="2" s="1"/>
  <c r="U9" i="2" a="1"/>
  <c r="U9" i="2" s="1"/>
  <c r="U6" i="2" a="1"/>
  <c r="U6" i="2" s="1"/>
  <c r="U7" i="2" a="1"/>
  <c r="U7" i="2" s="1"/>
  <c r="U8" i="2" a="1"/>
  <c r="U8" i="2" s="1"/>
  <c r="U17" i="2" a="1"/>
  <c r="U17" i="2" s="1"/>
  <c r="U18" i="2" a="1"/>
  <c r="U18" i="2" s="1"/>
  <c r="U19" i="2" a="1"/>
  <c r="U19" i="2" s="1"/>
  <c r="U16" i="2" a="1"/>
  <c r="U16" i="2" s="1"/>
  <c r="U13" i="2" a="1"/>
  <c r="U13" i="2" s="1"/>
  <c r="U14" i="2" a="1"/>
  <c r="U14" i="2" s="1"/>
  <c r="U15" i="2" a="1"/>
  <c r="U15" i="2" s="1"/>
  <c r="U54" i="2" a="1"/>
  <c r="U54" i="2" s="1"/>
  <c r="U55" i="2" a="1"/>
  <c r="U55" i="2" s="1"/>
  <c r="U56" i="2" a="1"/>
  <c r="U56" i="2" s="1"/>
  <c r="U53" i="2" a="1"/>
  <c r="U53" i="2" s="1"/>
  <c r="U50" i="2" a="1"/>
  <c r="U50" i="2" s="1"/>
  <c r="U51" i="2" a="1"/>
  <c r="U51" i="2" s="1"/>
  <c r="U52" i="2" a="1"/>
  <c r="U52" i="2" s="1"/>
  <c r="U61" i="2" a="1"/>
  <c r="U61" i="2" s="1"/>
  <c r="U62" i="2" a="1"/>
  <c r="U62" i="2" s="1"/>
  <c r="U63" i="2" a="1"/>
  <c r="U63" i="2" s="1"/>
  <c r="U60" i="2" a="1"/>
  <c r="U60" i="2" s="1"/>
  <c r="U57" i="2" a="1"/>
  <c r="U57" i="2" s="1"/>
  <c r="U58" i="2" a="1"/>
  <c r="U58" i="2" s="1"/>
  <c r="U59" i="2" a="1"/>
  <c r="U59" i="2" s="1"/>
  <c r="U49" i="2" a="1"/>
  <c r="U49" i="2" s="1"/>
  <c r="U39" i="2" a="1"/>
  <c r="U39" i="2" s="1"/>
  <c r="U40" i="2" a="1"/>
  <c r="U40" i="2" s="1"/>
  <c r="U41" i="2" a="1"/>
  <c r="U41" i="2" s="1"/>
  <c r="U38" i="2" a="1"/>
  <c r="U38" i="2" s="1"/>
  <c r="U35" i="2" a="1"/>
  <c r="U35" i="2" s="1"/>
  <c r="U36" i="2" a="1"/>
  <c r="U36" i="2" s="1"/>
  <c r="U37" i="2" a="1"/>
  <c r="U37" i="2" s="1"/>
  <c r="U46" i="2" a="1"/>
  <c r="U46" i="2" s="1"/>
  <c r="U47" i="2" a="1"/>
  <c r="U47" i="2" s="1"/>
  <c r="U48" i="2" a="1"/>
  <c r="U48" i="2" s="1"/>
  <c r="U45" i="2" a="1"/>
  <c r="U45" i="2" s="1"/>
  <c r="U42" i="2" a="1"/>
  <c r="U42" i="2" s="1"/>
  <c r="U43" i="2" a="1"/>
  <c r="U43" i="2" s="1"/>
  <c r="U44" i="2" a="1"/>
  <c r="U44" i="2" s="1"/>
  <c r="U3" i="2" a="1"/>
  <c r="U3" i="2" s="1"/>
  <c r="U2" i="2" a="1"/>
  <c r="U2" i="2" s="1"/>
  <c r="U5" i="2" a="1"/>
  <c r="U5" i="2" s="1"/>
  <c r="U4" i="2" a="1"/>
  <c r="U4" i="2" s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C71" i="5"/>
  <c r="C70" i="5"/>
  <c r="C69" i="5"/>
  <c r="C68" i="5"/>
  <c r="C67" i="5"/>
  <c r="C66" i="5"/>
  <c r="C65" i="5"/>
  <c r="C64" i="5"/>
  <c r="C63" i="5"/>
  <c r="C62" i="5"/>
  <c r="C61" i="5"/>
  <c r="C60" i="5"/>
  <c r="C58" i="5"/>
  <c r="C59" i="5"/>
  <c r="C57" i="5"/>
  <c r="C56" i="5"/>
  <c r="C55" i="5"/>
  <c r="C54" i="5"/>
  <c r="C53" i="5"/>
  <c r="C52" i="5"/>
  <c r="C51" i="5"/>
  <c r="C50" i="5"/>
  <c r="C48" i="5"/>
  <c r="C49" i="5"/>
  <c r="C47" i="5"/>
  <c r="C45" i="5"/>
  <c r="C46" i="5"/>
  <c r="C44" i="5"/>
  <c r="C43" i="5"/>
  <c r="C42" i="5"/>
  <c r="C41" i="5"/>
  <c r="C40" i="5"/>
  <c r="C39" i="5"/>
  <c r="C37" i="5"/>
  <c r="C38" i="5"/>
  <c r="C36" i="5"/>
  <c r="C35" i="5"/>
  <c r="C34" i="5"/>
  <c r="C32" i="5"/>
  <c r="C33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6" i="5"/>
  <c r="C17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F13" i="1"/>
  <c r="B13" i="1"/>
  <c r="C39" i="1"/>
  <c r="F9" i="1"/>
  <c r="J9" i="1"/>
  <c r="C19" i="1" l="1"/>
  <c r="C20" i="1"/>
  <c r="C21" i="1"/>
  <c r="C22" i="1"/>
  <c r="C23" i="1"/>
  <c r="C24" i="1"/>
  <c r="C25" i="1"/>
  <c r="C26" i="1"/>
  <c r="C27" i="1"/>
  <c r="C28" i="1"/>
  <c r="C29" i="1"/>
  <c r="C30" i="1"/>
  <c r="C31" i="1"/>
  <c r="C18" i="1"/>
  <c r="I18" i="1"/>
  <c r="I19" i="1"/>
  <c r="I20" i="1"/>
  <c r="I21" i="1"/>
  <c r="H18" i="1"/>
  <c r="H19" i="1"/>
  <c r="H20" i="1"/>
  <c r="H21" i="1"/>
  <c r="G18" i="1"/>
  <c r="G19" i="1"/>
  <c r="G20" i="1"/>
  <c r="G21" i="1"/>
  <c r="B9" i="1"/>
  <c r="J5" i="1"/>
  <c r="F5" i="1"/>
  <c r="B5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J13" i="1"/>
  <c r="L1" i="1"/>
  <c r="J18" i="1" l="1"/>
  <c r="K18" i="1"/>
  <c r="K21" i="1"/>
  <c r="K20" i="1"/>
  <c r="K19" i="1"/>
  <c r="J21" i="1"/>
  <c r="J20" i="1"/>
  <c r="J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tc={03BAF09C-47E6-42B2-84EB-169872FAE886}</author>
    <author>tc={E51989ED-E456-4866-90EC-63E43F924B2B}</author>
    <author>tc={ED101731-C46B-4209-80DC-3B809BB87808}</author>
    <author>tc={B80F20D5-5D6D-4A65-A5C2-5C5C8F2BA63A}</author>
    <author>tc={7120C833-C07E-47B9-AC17-9AD02076A825}</author>
    <author>tc={BC6C5185-76D2-4A4A-BE5E-2B157044BB63}</author>
    <author>tc={A9964296-3E54-492C-9A61-9CE1A09EC626}</author>
    <author>tc={7964529E-AC5E-4B90-921A-049BA86F22A0}</author>
    <author>tc={BEAB170C-8DA0-4BE5-B056-90BE94AD7473}</author>
    <author>tc={4F785C30-B014-426F-9189-179D162E7EED}</author>
    <author>tc={65094175-6C48-4D42-8281-4CD9BF425496}</author>
    <author>tc={D2E6CC80-2355-47E5-8C0D-9344F177BB9C}</author>
    <author>tc={03E50E5A-E719-4D78-BAB0-7D1A5858BC7F}</author>
    <author>tc={F0E76AE1-FBE0-4161-86D0-7E9C90937851}</author>
    <author>tc={2F5193E6-F48A-4FC1-960F-7F13EE3BE3E3}</author>
    <author>tc={0C5A0F89-2D8D-41C5-9779-2F71488D91FF}</author>
    <author>tc={8562AD70-1A89-4938-8606-4F65B0108A68}</author>
    <author>tc={886DFF7F-A6E5-495D-A5D6-93084634B27F}</author>
    <author>tc={497F800E-ED28-4A5D-AC87-DD3BB1758A65}</author>
    <author>tc={D42BAACD-1019-4AFC-8078-B120AEFAC806}</author>
    <author>tc={E9AD50D3-ED70-48F1-B537-8D2C8D1FB5E6}</author>
    <author>tc={2EBF72D8-5D51-4C4B-813F-83CC83F394D1}</author>
    <author>tc={CD6AEA67-CB2C-4DCC-A0BB-0DED263E687D}</author>
    <author>tc={E4E9E2EC-C890-4B36-BDF7-6FC049FA380B}</author>
    <author>tc={8AB74B34-DF59-4865-A793-096B58B30EA5}</author>
    <author>tc={44234E54-6E22-44E1-98DB-22D84F9E033A}</author>
    <author>tc={2BDDE73B-0DD6-4C86-916E-5473EB46354C}</author>
    <author>tc={CD1522DE-F80A-4B12-AB9E-AB383D7BD07D}</author>
    <author>tc={DF4ADDB3-9E7A-477D-954B-9B0BACFA7515}</author>
    <author>tc={830EFDAE-1B04-4537-B674-F3357017DF96}</author>
    <author>tc={B1DA5E40-FFB4-4972-AFD9-9072C7CDDDD1}</author>
    <author>tc={66A6BF98-C254-4DBD-96F5-62FC996B0573}</author>
    <author>tc={1932C3E2-3DC0-4B48-B7B2-D20DBF5C9828}</author>
    <author>tc={5E1AEDBE-7DED-4895-AB09-C10650349EA8}</author>
    <author>tc={19C1FEF9-CF23-4E05-AC23-DB408CC4678C}</author>
    <author>tc={5FFD3EDC-D034-4F31-B3E5-D9E3E6C4087F}</author>
    <author>tc={37C1B847-0326-4392-B1F1-168E5F59081A}</author>
    <author>tc={25030CC6-36C6-45D9-83FD-4A33E7182BA5}</author>
    <author>tc={6850B8EE-CCE3-4D4F-AC9A-C8085CAE5599}</author>
    <author>tc={68F5C4C5-C1E8-4585-A5EE-04C759CDE2AD}</author>
    <author>tc={F83AD4CA-A8E4-4EDF-8F0F-AFAF25F9F0D6}</author>
    <author>tc={CC85723C-695B-4FBE-94D3-C042CDBD5769}</author>
    <author>tc={80568037-B664-4E87-929A-7DA1A8DC1242}</author>
    <author>tc={5E68023F-0C4B-4C6C-BA9E-C650B74DB2F1}</author>
    <author>tc={2EBC6BD9-D576-41D5-A8EB-C9ECC3AEE5D2}</author>
    <author>tc={B5BB5C1A-1C5D-4FEB-9A6F-5F2F08E0C998}</author>
    <author>tc={135A0353-EB91-426B-A432-48B3A0C79F0A}</author>
    <author>tc={7ABCB353-2C7F-4DB2-840F-E508859746A9}</author>
    <author>tc={6544BA18-8DC9-4A74-A15D-03C1C53BAE16}</author>
    <author>tc={85E47FB0-9CDB-4259-AEB2-12D5FA80D4C6}</author>
    <author>tc={78976C5B-C4CA-45B2-B9B6-00CFFB12913D}</author>
    <author>tc={27F0241C-B7E8-489C-BFE0-9DF130374D6C}</author>
    <author>tc={235461C6-0FCC-47BA-B1D3-BA2DB567D7AD}</author>
    <author>tc={0A5B917C-A88F-46E6-9F2D-E955F85720B6}</author>
    <author>tc={1E13DC74-52E4-4A23-910D-97358923CC73}</author>
    <author>tc={9A8610B4-B014-4649-81E7-2743C73B23A4}</author>
    <author>tc={C91A78C9-7A77-48AE-B954-8FF4E8D8528A}</author>
    <author>tc={1C5F27D3-600E-4611-B324-54742C616A20}</author>
    <author>tc={6CB28ECC-2636-4B78-9FAD-D460D7EA9317}</author>
    <author>tc={6A3D70D4-3D61-45E1-8295-F80E9409F559}</author>
    <author>tc={7E8C3A51-518B-4A7F-89D7-72615F5C09A6}</author>
    <author>tc={0ECABCF6-D5F0-4F1F-9033-4D98C815AB49}</author>
    <author>tc={06B8945B-3E9A-40C0-8EB1-FCE89EBBAB28}</author>
    <author>tc={45FE18F2-A09C-44DE-839F-597C22FA3515}</author>
    <author>tc={EB4ACFBD-AA91-412B-9119-D96089057A8E}</author>
    <author>tc={708D3AF9-3064-4090-B257-4D72338A6853}</author>
    <author>tc={D5B65D03-D70B-4835-AF9B-21D79192040B}</author>
    <author>tc={FB0A09E7-ECDC-48F1-B0DC-5AE5561CAEEC}</author>
    <author>tc={F9474C82-A690-4585-AEA5-D73B23C488A3}</author>
    <author>tc={7F324D55-7BF7-470B-B36C-4F011FD9E39D}</author>
    <author>tc={F1C1C69B-1B0E-4DB8-BDE4-4E41EFC07DC2}</author>
    <author>tc={F07CBABB-D1C8-4AF5-AD4F-F5B6575F44B3}</author>
    <author>tc={D78F426B-7077-4FCB-84C1-FA12A0407A41}</author>
    <author>tc={6B9DD489-17BA-448C-BFA8-D265C1271DEC}</author>
    <author>tc={9DE11F16-A802-4637-8D6C-6E7600D6F039}</author>
    <author>tc={5B6B45FA-8059-4C3C-BD94-D1C1CA79E49E}</author>
    <author>tc={B3BAC2F0-0541-4018-9D09-027295158D4C}</author>
    <author>tc={CF488D4B-9E20-4A92-B27B-57559A97166C}</author>
    <author>tc={952B409D-B14C-488C-8762-F011144E7248}</author>
    <author>tc={B26CE63F-D7F7-49C5-93AE-6D19E44AF2A8}</author>
    <author>tc={E102F72D-8856-4D4D-986B-A8C07AAE69B5}</author>
    <author>tc={78505D8D-660F-43A9-98E2-0B0051040F5A}</author>
    <author>tc={551B74E8-207E-4728-91F1-DC186FC2F271}</author>
    <author>tc={6918F16B-538C-4641-A626-0019EAEB4634}</author>
    <author>tc={06598647-8A47-4AEE-AACF-5D593A39C91F}</author>
    <author>tc={0237658B-268E-4DFD-A80E-0A444CE33136}</author>
    <author>tc={346B17F0-BF6E-420B-98E5-FCB5302A3451}</author>
    <author>tc={5C0FDE2F-C29A-48AE-B2CC-A3D78D6763AA}</author>
    <author>tc={41EBF860-5E60-4D9F-B211-FFFA4BFB314D}</author>
    <author>tc={A13941C3-5020-45C7-94C2-770C7719C2FD}</author>
    <author>tc={8875AF83-1207-4E75-90FE-4C713302F2F0}</author>
    <author>tc={3CE7B082-C0B3-441B-AE81-300E911B0621}</author>
    <author>tc={B2D9582E-9E38-4179-B54D-FC7E21907E42}</author>
    <author>tc={81D051B4-8880-43CE-A5F5-3C75211A0F41}</author>
    <author>tc={D139F09E-9B72-4814-B6D1-A1494CC50F69}</author>
    <author>tc={AFC1818F-9E2C-473C-A1FF-A5348D92682F}</author>
    <author>tc={D4F8F622-C1F2-4ABE-8181-6B6943FC08BF}</author>
    <author>tc={E5C27938-A360-478D-90E5-55615D2E359A}</author>
    <author>tc={D45C9F74-9564-48EB-BBCA-0BDCFDB7591B}</author>
    <author>tc={A656046F-2E8A-4A8C-9F13-C1493F381823}</author>
    <author>tc={1555B4DE-6BD1-44FE-925F-C277111BD026}</author>
    <author>tc={C759459C-9D14-44D9-93A0-5300EB1F3B29}</author>
    <author>tc={0DF783E3-0B80-4BD2-B96F-4657E3C4BE19}</author>
    <author>tc={A3D793E4-48DA-46DE-8B7C-FAF6501652FC}</author>
    <author>tc={B6EABAA7-6C3C-426F-BA28-59336C58D5F0}</author>
    <author>tc={2D4549F9-10D0-4378-884D-F6A99A84CAE7}</author>
    <author>tc={BFA3E8ED-DB36-4FAB-A7D2-1AD1199CBBEC}</author>
    <author>tc={CAE19D90-DC86-40F7-96EE-C0D34B5BE09C}</author>
    <author>tc={2C4834A3-0AFB-41A5-A3A5-8D45D879A580}</author>
    <author>tc={32FF6967-9DBD-4260-9CCE-A51E029A69AC}</author>
    <author>tc={5F513EA3-1879-445C-BADD-E918AEE88FD3}</author>
    <author>tc={A73D940E-8A10-4363-B3C7-2F5C4E9BDA0B}</author>
    <author>tc={B57165E0-9E14-44B7-A50E-687E5786CBFD}</author>
    <author>tc={D32FCCA3-1487-4ECD-839F-5A6EAACB6AE6}</author>
    <author>tc={1A61161E-5443-4345-A179-C6CA856C72C1}</author>
    <author>tc={342D7B62-9D7C-4D1D-87DE-678A80373C0B}</author>
    <author>tc={A4DC2F1E-11CD-4A65-97D0-CF7DDA078A0F}</author>
    <author>tc={2A1945F4-986D-4136-B101-3554A780ABEA}</author>
    <author>tc={FFAAF6AD-442C-463D-B1C9-6FD13A1F4BC5}</author>
    <author>tc={6FF4C7EF-9A1C-4020-A71A-8F909C213632}</author>
    <author>tc={A5C296C0-3CD5-4DA1-BD08-3E3E9CDEA6C2}</author>
    <author>tc={3EF12EEB-FC21-427A-97F0-B96A4B20EC16}</author>
    <author>tc={8B7687BF-C3C0-4170-9986-D50CAAA914FF}</author>
    <author>tc={F6788230-444D-4028-A290-17F628C67166}</author>
    <author>tc={2E646C50-CFC5-4D90-9AC5-6D4C7BC329DE}</author>
  </authors>
  <commentList>
    <comment ref="F362" authorId="0" shapeId="0" xr:uid="{03BAF09C-47E6-42B2-84EB-169872FAE886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</t>
      </text>
    </comment>
    <comment ref="F365" authorId="1" shapeId="0" xr:uid="{E51989ED-E456-4866-90EC-63E43F924B2B}">
      <text>
        <t>[Threaded comment]
Your version of Excel allows you to read this threaded comment; however, any edits to it will get removed if the file is opened in a newer version of Excel. Learn more: https://go.microsoft.com/fwlink/?linkid=870924
Comment:
    Llamara a oficina para que se lo guarden hasta el viernes. NO tiene con quien dejar los niños.</t>
      </text>
    </comment>
    <comment ref="F383" authorId="2" shapeId="0" xr:uid="{ED101731-C46B-4209-80DC-3B809BB878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Contesta el esposo que no esta, se deja razón. </t>
      </text>
    </comment>
    <comment ref="F397" authorId="3" shapeId="0" xr:uid="{B80F20D5-5D6D-4A65-A5C2-5C5C8F2B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21/01 a las 8:00am</t>
      </text>
    </comment>
    <comment ref="F401" authorId="4" shapeId="0" xr:uid="{7120C833-C07E-47B9-AC17-9AD02076A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Numero inhabilitado - llamada terminada sin tono</t>
      </text>
    </comment>
    <comment ref="F442" authorId="5" shapeId="0" xr:uid="{BC6C5185-76D2-4A4A-BE5E-2B157044BB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 20/01</t>
      </text>
    </comment>
    <comment ref="F446" authorId="6" shapeId="0" xr:uid="{A9964296-3E54-492C-9A61-9CE1A09EC6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hoy 20/01 en la tarde, manda a la muchacha que se esta organizando jaja</t>
      </text>
    </comment>
    <comment ref="F448" authorId="7" shapeId="0" xr:uid="{7964529E-AC5E-4B90-921A-049BA86F22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envia plantilla por Whatsapp y se llama y dice recoger ahora a las 9:00am</t>
      </text>
    </comment>
    <comment ref="F454" authorId="8" shapeId="0" xr:uid="{BEAB170C-8DA0-4BE5-B056-90BE94AD74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contesta ni suena buzón solo repica - 3 intentos</t>
      </text>
    </comment>
    <comment ref="F470" authorId="9" shapeId="0" xr:uid="{4F785C30-B014-426F-9189-179D162E7E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Repica hasta buzón, no contesta 3 intentos</t>
      </text>
    </comment>
    <comment ref="F472" authorId="10" shapeId="0" xr:uid="{65094175-6C48-4D42-8281-4CD9BF4254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20Jan o miércoles en la mañana</t>
      </text>
    </comment>
    <comment ref="F474" authorId="11" shapeId="0" xr:uid="{D2E6CC80-2355-47E5-8C0D-9344F177BB9C}">
      <text>
        <t>[Threaded comment]
Your version of Excel allows you to read this threaded comment; however, any edits to it will get removed if the file is opened in a newer version of Excel. Learn more: https://go.microsoft.com/fwlink/?linkid=870924
Comment:
    Llamada se corta sin repicar / 3 intentos - ok recordatorio wpp</t>
      </text>
    </comment>
    <comment ref="F478" authorId="12" shapeId="0" xr:uid="{03E50E5A-E719-4D78-BAB0-7D1A5858BC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Telefono apagado, correo inmediato. </t>
      </text>
    </comment>
    <comment ref="F483" authorId="13" shapeId="0" xr:uid="{F0E76AE1-FBE0-4161-86D0-7E9C909378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21/01 - esta de viaje en Pasto</t>
      </text>
    </comment>
    <comment ref="F487" authorId="14" shapeId="0" xr:uid="{2F5193E6-F48A-4FC1-960F-7F13EE3BE3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Repica hasta buzon - 3 intentos </t>
      </text>
    </comment>
    <comment ref="F493" authorId="15" shapeId="0" xr:uid="{0C5A0F89-2D8D-41C5-9779-2F71488D91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21/01</t>
      </text>
    </comment>
    <comment ref="F494" authorId="16" shapeId="0" xr:uid="{8562AD70-1A89-4938-8606-4F65B010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21/01 - esta de viaje</t>
      </text>
    </comment>
    <comment ref="F498" authorId="17" shapeId="0" xr:uid="{886DFF7F-A6E5-495D-A5D6-93084634B27F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contacta y dice que es de vereda que esta semana va</t>
      </text>
    </comment>
    <comment ref="F500" authorId="18" shapeId="0" xr:uid="{497F800E-ED28-4A5D-AC87-DD3BB1758A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Repica hasta buzón - 3 intentos </t>
      </text>
    </comment>
    <comment ref="F505" authorId="19" shapeId="0" xr:uid="{D42BAACD-1019-4AFC-8078-B120AEFAC8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se encuentra, se deja razón. </t>
      </text>
    </comment>
    <comment ref="F506" authorId="20" shapeId="0" xr:uid="{E9AD50D3-ED70-48F1-B537-8D2C8D1FB5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Repica hasta buzón, no contesta 3 intentos</t>
      </text>
    </comment>
    <comment ref="F517" authorId="21" shapeId="0" xr:uid="{2EBF72D8-5D51-4C4B-813F-83CC83F394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 </t>
      </text>
    </comment>
    <comment ref="F518" authorId="22" shapeId="0" xr:uid="{CD6AEA67-CB2C-4DCC-A0BB-0DED263E68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 </t>
      </text>
    </comment>
    <comment ref="F519" authorId="23" shapeId="0" xr:uid="{E4E9E2EC-C890-4B36-BDF7-6FC049FA38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reclamado va a pedir garantía
</t>
      </text>
    </comment>
    <comment ref="F522" authorId="24" shapeId="0" xr:uid="{8AB74B34-DF59-4865-A793-096B58B30EA5}">
      <text>
        <t>[Threaded comment]
Your version of Excel allows you to read this threaded comment; however, any edits to it will get removed if the file is opened in a newer version of Excel. Learn more: https://go.microsoft.com/fwlink/?linkid=870924
Comment:
    El pedido es de la sobrina, que reclama mañana 21 de Enero</t>
      </text>
    </comment>
    <comment ref="F527" authorId="25" shapeId="0" xr:uid="{44234E54-6E22-44E1-98DB-22D84F9E0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chat dice que el domingo pasa por el, se le envían audios porque no sabe leer</t>
      </text>
    </comment>
    <comment ref="F535" authorId="26" shapeId="0" xr:uid="{2BDDE73B-0DD6-4C86-916E-5473EB4635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a mas tardar miercoles 21 en la mañana</t>
      </text>
    </comment>
    <comment ref="F536" authorId="27" shapeId="0" xr:uid="{CD1522DE-F80A-4B12-AB9E-AB383D7BD0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21 Jan en la mañana</t>
      </text>
    </comment>
    <comment ref="F539" authorId="28" shapeId="0" xr:uid="{DF4ADDB3-9E7A-477D-954B-9B0BACFA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Lunes 19 a primera hora</t>
      </text>
    </comment>
    <comment ref="F545" authorId="29" shapeId="0" xr:uid="{830EFDAE-1B04-4537-B674-F3357017DF96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</t>
      </text>
    </comment>
    <comment ref="F548" authorId="30" shapeId="0" xr:uid="{B1DA5E40-FFB4-4972-AFD9-9072C7CDDDD1}">
      <text>
        <t>[Threaded comment]
Your version of Excel allows you to read this threaded comment; however, any edits to it will get removed if the file is opened in a newer version of Excel. Learn more: https://go.microsoft.com/fwlink/?linkid=870924
Comment:
    En saludo cuelga y no vuelve a contestar 20/01</t>
      </text>
    </comment>
    <comment ref="F552" authorId="31" shapeId="0" xr:uid="{66A6BF98-C254-4DBD-96F5-62FC996B05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21 Jan</t>
      </text>
    </comment>
    <comment ref="F554" authorId="32" shapeId="0" xr:uid="{1932C3E2-3DC0-4B48-B7B2-D20DBF5C98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reclama Lunes 19Jan</t>
      </text>
    </comment>
    <comment ref="F558" authorId="33" shapeId="0" xr:uid="{5E1AEDBE-7DED-4895-AB09-C10650349EA8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Numero sin señal al parecer - pito y correo</t>
      </text>
    </comment>
    <comment ref="F582" authorId="34" shapeId="0" xr:uid="{19C1FEF9-CF23-4E05-AC23-DB408CC467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encuentra, se deja razón</t>
      </text>
    </comment>
    <comment ref="F590" authorId="35" shapeId="0" xr:uid="{5FFD3EDC-D034-4F31-B3E5-D9E3E6C4087F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596" authorId="36" shapeId="0" xr:uid="{37C1B847-0326-4392-B1F1-168E5F59081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16Jan - 42 seg</t>
      </text>
    </comment>
    <comment ref="F601" authorId="37" shapeId="0" xr:uid="{25030CC6-36C6-45D9-83FD-4A33E7182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contesta 3 intentos</t>
      </text>
    </comment>
    <comment ref="F602" authorId="38" shapeId="0" xr:uid="{6850B8EE-CCE3-4D4F-AC9A-C8085CAE5599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603" authorId="39" shapeId="0" xr:uid="{68F5C4C5-C1E8-4585-A5EE-04C759CDE2AD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</t>
      </text>
    </comment>
    <comment ref="F612" authorId="40" shapeId="0" xr:uid="{F83AD4CA-A8E4-4EDF-8F0F-AFAF25F9F0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Cuelga  cuando le notifico que pase por el pedido. </t>
      </text>
    </comment>
    <comment ref="F615" authorId="41" shapeId="0" xr:uid="{CC85723C-695B-4FBE-94D3-C042CDBD57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</t>
      </text>
    </comment>
    <comment ref="F618" authorId="42" shapeId="0" xr:uid="{80568037-B664-4E87-929A-7DA1A8DC12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19Jan dice que ya va para Barbosa </t>
      </text>
    </comment>
    <comment ref="F625" authorId="43" shapeId="0" xr:uid="{5E68023F-0C4B-4C6C-BA9E-C650B74DB2F1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cliente no contesta deja ir a buzon</t>
      </text>
    </comment>
    <comment ref="F627" authorId="44" shapeId="0" xr:uid="{2EBC6BD9-D576-41D5-A8EB-C9ECC3AEE5D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contactada 16jan 2 min</t>
      </text>
    </comment>
    <comment ref="F630" authorId="45" shapeId="0" xr:uid="{B5BB5C1A-1C5D-4FEB-9A6F-5F2F08E0C99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sin señal - no ingresa llamada /ya tiene 2 recordatorios de bot</t>
      </text>
    </comment>
    <comment ref="F633" authorId="46" shapeId="0" xr:uid="{135A0353-EB91-426B-A432-48B3A0C79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Cliente reclama mañana 20 de Enero </t>
      </text>
    </comment>
    <comment ref="F634" authorId="47" shapeId="0" xr:uid="{7ABCB353-2C7F-4DB2-840F-E508859746A9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21/01 Repica hasta buzon - no contesta 3 intentos</t>
      </text>
    </comment>
    <comment ref="F638" authorId="48" shapeId="0" xr:uid="{6544BA18-8DC9-4A74-A15D-03C1C53BAE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21/01 No contesta 3 intentos </t>
      </text>
    </comment>
    <comment ref="F639" authorId="49" shapeId="0" xr:uid="{85E47FB0-9CDB-4259-AEB2-12D5FA80D4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contesta 3 intentos
Reply:
    21/01 Correo de voz directo </t>
      </text>
    </comment>
    <comment ref="F642" authorId="50" shapeId="0" xr:uid="{78976C5B-C4CA-45B2-B9B6-00CFFB12913D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llamada terminada sin alo.</t>
      </text>
    </comment>
    <comment ref="F643" authorId="51" shapeId="0" xr:uid="{27F0241C-B7E8-489C-BFE0-9DF130374D6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reclama hoy 17jan</t>
      </text>
    </comment>
    <comment ref="F644" authorId="52" shapeId="0" xr:uid="{235461C6-0FCC-47BA-B1D3-BA2DB567D7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 intentos de llamada y no responde </t>
      </text>
    </comment>
    <comment ref="F645" authorId="53" shapeId="0" xr:uid="{0A5B917C-A88F-46E6-9F2D-E955F85720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</t>
      </text>
    </comment>
    <comment ref="F649" authorId="54" shapeId="0" xr:uid="{1E13DC74-52E4-4A23-910D-97358923CC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21/01 Correo de voz directo </t>
      </text>
    </comment>
    <comment ref="F653" authorId="55" shapeId="0" xr:uid="{9A8610B4-B014-4649-81E7-2743C73B23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A CORREO DE VOZ DIRECTAMENTE</t>
      </text>
    </comment>
    <comment ref="F660" authorId="56" shapeId="0" xr:uid="{C91A78C9-7A77-48AE-B954-8FF4E8D852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sugiere que se las venda a alguien mas y se da plazo de esta semana o hasta que genere devolucion</t>
      </text>
    </comment>
    <comment ref="F661" authorId="57" shapeId="0" xr:uid="{1C5F27D3-600E-4611-B324-54742C6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
Reply:
    Reclama Jueves 22 de Enero </t>
      </text>
    </comment>
    <comment ref="F663" authorId="58" shapeId="0" xr:uid="{6CB28ECC-2636-4B78-9FAD-D460D7EA9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contesta 3 intentos
Reply:
    Reclama Jueves 22 de Enero </t>
      </text>
    </comment>
    <comment ref="F664" authorId="59" shapeId="0" xr:uid="{6A3D70D4-3D61-45E1-8295-F80E9409F55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cuelga apenas le digo que es por el cepillo</t>
      </text>
    </comment>
    <comment ref="F669" authorId="60" shapeId="0" xr:uid="{7E8C3A51-518B-4A7F-89D7-72615F5C09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</t>
      </text>
    </comment>
    <comment ref="F670" authorId="61" shapeId="0" xr:uid="{0ECABCF6-D5F0-4F1F-9033-4D98C815A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Corta intencionalmente luego de decir de donde llamamos</t>
      </text>
    </comment>
    <comment ref="F675" authorId="62" shapeId="0" xr:uid="{06B8945B-3E9A-40C0-8EB1-FCE89EBBAB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21/01 Cliente corta en saludo, luego se llama y dice que no esta. </t>
      </text>
    </comment>
    <comment ref="F680" authorId="63" shapeId="0" xr:uid="{45FE18F2-A09C-44DE-839F-597C22FA3515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</t>
      </text>
    </comment>
    <comment ref="F687" authorId="64" shapeId="0" xr:uid="{EB4ACFBD-AA91-412B-9119-D96089057A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reclama Domingo 18 de Enero</t>
      </text>
    </comment>
    <comment ref="F690" authorId="65" shapeId="0" xr:uid="{708D3AF9-3064-4090-B257-4D72338A685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19/01 se pierde nota</t>
      </text>
    </comment>
    <comment ref="F692" authorId="66" shapeId="0" xr:uid="{D5B65D03-D70B-4835-AF9B-21D791920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 19/01</t>
      </text>
    </comment>
    <comment ref="F693" authorId="67" shapeId="0" xr:uid="{FB0A09E7-ECDC-48F1-B0DC-5AE5561CAE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HOY 17Jan</t>
      </text>
    </comment>
    <comment ref="F706" authorId="68" shapeId="0" xr:uid="{F9474C82-A690-4585-AEA5-D73B23C488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Reclama mañana 21Jan en la mañana </t>
      </text>
    </comment>
    <comment ref="F712" authorId="69" shapeId="0" xr:uid="{7F324D55-7BF7-470B-B36C-4F011FD9E39D}">
      <text>
        <t>[Threaded comment]
Your version of Excel allows you to read this threaded comment; however, any edits to it will get removed if the file is opened in a newer version of Excel. Learn more: https://go.microsoft.com/fwlink/?linkid=870924
Comment:
    LLAMO A LA OFICINA, RECLAMA ANTES DEL JUEVES 23</t>
      </text>
    </comment>
    <comment ref="F713" authorId="70" shapeId="0" xr:uid="{F1C1C69B-1B0E-4DB8-BDE4-4E41EFC07D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Contesta y al saludar cuelgan - luego rechazan llamada 5 intentos</t>
      </text>
    </comment>
    <comment ref="F715" authorId="71" shapeId="0" xr:uid="{F07CBABB-D1C8-4AF5-AD4F-F5B6575F44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contesta 3 intentos ya tiene gestión previa</t>
      </text>
    </comment>
    <comment ref="F716" authorId="72" shapeId="0" xr:uid="{D78F426B-7077-4FCB-84C1-FA12A0407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entregado</t>
      </text>
    </comment>
    <comment ref="F717" authorId="73" shapeId="0" xr:uid="{6B9DD489-17BA-448C-BFA8-D265C1271DEC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718" authorId="74" shapeId="0" xr:uid="{9DE11F16-A802-4637-8D6C-6E7600D6F039}">
      <text>
        <t>[Threaded comment]
Your version of Excel allows you to read this threaded comment; however, any edits to it will get removed if the file is opened in a newer version of Excel. Learn more: https://go.microsoft.com/fwlink/?linkid=870924
Comment:
    Me mintió, dice que ya va a reclamar mañana o el miércoles</t>
      </text>
    </comment>
    <comment ref="F719" authorId="75" shapeId="0" xr:uid="{5B6B45FA-8059-4C3C-BD94-D1C1CA79E4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contesta 3 intentos 
Reply:
    Reclamado 19/01 cliente retorna llamada</t>
      </text>
    </comment>
    <comment ref="F721" authorId="76" shapeId="0" xr:uid="{B3BAC2F0-0541-4018-9D09-027295158D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con gestiones previas dijo que reclamaba 17Enero- 21/01 No contesta.</t>
      </text>
    </comment>
    <comment ref="F723" authorId="77" shapeId="0" xr:uid="{CF488D4B-9E20-4A92-B27B-57559A9716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Contesta 3 intentos 19/01 ya había sido llamada previamente </t>
      </text>
    </comment>
    <comment ref="F725" authorId="78" shapeId="0" xr:uid="{952B409D-B14C-488C-8762-F011144E72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MAÑANA 20 DE ENERO</t>
      </text>
    </comment>
    <comment ref="F726" authorId="79" shapeId="0" xr:uid="{B26CE63F-D7F7-49C5-93AE-6D19E44AF2A8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Dice que reclama lunes 19 / 2. Contesta y cuando me identifico cuelga.</t>
      </text>
    </comment>
    <comment ref="F727" authorId="80" shapeId="0" xr:uid="{E102F72D-8856-4D4D-986B-A8C07AAE69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contesta 3 intentos</t>
      </text>
    </comment>
    <comment ref="F730" authorId="81" shapeId="0" xr:uid="{78505D8D-660F-43A9-98E2-0B0051040F5A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- CLIENTE NO CONTESTA
Reply:
    CLIENTE REGRESA LA LLAMADA-YA RECLAMÓ</t>
      </text>
    </comment>
    <comment ref="F734" authorId="82" shapeId="0" xr:uid="{551B74E8-207E-4728-91F1-DC186FC2F2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repica Correo de Voz directo</t>
      </text>
    </comment>
    <comment ref="F735" authorId="83" shapeId="0" xr:uid="{6918F16B-538C-4641-A626-0019EAEB4634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19/01 cliente pregunta el precio se siente dudosa, dice que mañana 20Jan</t>
      </text>
    </comment>
    <comment ref="F738" authorId="84" shapeId="0" xr:uid="{06598647-8A47-4AEE-AACF-5D593A39C9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LUN 19 EN LA MAÑANA</t>
      </text>
    </comment>
    <comment ref="F739" authorId="85" shapeId="0" xr:uid="{0237658B-268E-4DFD-A80E-0A444CE3313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reclamado 19/01</t>
      </text>
    </comment>
    <comment ref="F740" authorId="86" shapeId="0" xr:uid="{346B17F0-BF6E-420B-98E5-FCB5302A34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16Jan - 31 Segundos</t>
      </text>
    </comment>
    <comment ref="F744" authorId="87" shapeId="0" xr:uid="{5C0FDE2F-C29A-48AE-B2CC-A3D78D6763A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llama Sab 17 sin contacto - Lun19 sin contacto 3 intentos</t>
      </text>
    </comment>
    <comment ref="F746" authorId="88" shapeId="0" xr:uid="{41EBF860-5E60-4D9F-B211-FFFA4BFB314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Intentos Enero 16-17 directo a correo de voz</t>
      </text>
    </comment>
    <comment ref="F754" authorId="89" shapeId="0" xr:uid="{A13941C3-5020-45C7-94C2-770C7719C2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hoy en la tarde 19Jan</t>
      </text>
    </comment>
    <comment ref="F758" authorId="90" shapeId="0" xr:uid="{8875AF83-1207-4E75-90FE-4C713302F2F0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762" authorId="91" shapeId="0" xr:uid="{3CE7B082-C0B3-441B-AE81-300E911B06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el 16Jan</t>
      </text>
    </comment>
    <comment ref="F766" authorId="92" shapeId="0" xr:uid="{B2D9582E-9E38-4179-B54D-FC7E2190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16Jan</t>
      </text>
    </comment>
    <comment ref="F767" authorId="93" shapeId="0" xr:uid="{81D051B4-8880-43CE-A5F5-3C75211A0F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 hoy 19 de Enero</t>
      </text>
    </comment>
    <comment ref="F769" authorId="94" shapeId="0" xr:uid="{D139F09E-9B72-4814-B6D1-A1494CC50F6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llama Sab 17 sin contacto - Lun19 sin contacto 3 intentos</t>
      </text>
    </comment>
    <comment ref="F776" authorId="95" shapeId="0" xr:uid="{AFC1818F-9E2C-473C-A1FF-A5348D92682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reclama hoy 17jan en la tarde</t>
      </text>
    </comment>
    <comment ref="F780" authorId="96" shapeId="0" xr:uid="{D4F8F622-C1F2-4ABE-8181-6B6943FC08BF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sin respuesta, repica hasta buzón 17jan</t>
      </text>
    </comment>
    <comment ref="F782" authorId="97" shapeId="0" xr:uid="{E5C27938-A360-478D-90E5-55615D2E35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gestiona con Inter rapidísimo para que se lo envíen en chiva.</t>
      </text>
    </comment>
    <comment ref="F788" authorId="98" shapeId="0" xr:uid="{D45C9F74-9564-48EB-BBCA-0BDCFDB759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ingresa llamada, se finaliza de inmediato</t>
      </text>
    </comment>
    <comment ref="F791" authorId="99" shapeId="0" xr:uid="{A656046F-2E8A-4A8C-9F13-C1493F3818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ayer 16Jan - 1 minuto</t>
      </text>
    </comment>
    <comment ref="F792" authorId="100" shapeId="0" xr:uid="{1555B4DE-6BD1-44FE-925F-C277111BD026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796" authorId="101" shapeId="0" xr:uid="{C759459C-9D14-44D9-93A0-5300EB1F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799" authorId="102" shapeId="0" xr:uid="{0DF783E3-0B80-4BD2-B96F-4657E3C4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802" authorId="103" shapeId="0" xr:uid="{A3D793E4-48DA-46DE-8B7C-FAF65016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intentos sin respuesta - repica hasta buzon</t>
      </text>
    </comment>
    <comment ref="F805" authorId="104" shapeId="0" xr:uid="{B6EABAA7-6C3C-426F-BA28-59336C58D5F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contactada 16Jan</t>
      </text>
    </comment>
    <comment ref="F815" authorId="105" shapeId="0" xr:uid="{2D4549F9-10D0-4378-884D-F6A99A84CA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por el hoy 20/01
</t>
      </text>
    </comment>
    <comment ref="F821" authorId="106" shapeId="0" xr:uid="{BFA3E8ED-DB36-4FAB-A7D2-1AD1199CBBEC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826" authorId="107" shapeId="0" xr:uid="{CAE19D90-DC86-40F7-96EE-C0D34B5BE09C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Numero telefónico no esta disponible.</t>
      </text>
    </comment>
    <comment ref="F830" authorId="108" shapeId="0" xr:uid="{2C4834A3-0AFB-41A5-A3A5-8D45D879A580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858" authorId="109" shapeId="0" xr:uid="{32FF6967-9DBD-4260-9CCE-A51E029A69A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16Jan</t>
      </text>
    </comment>
    <comment ref="F873" authorId="110" shapeId="0" xr:uid="{5F513EA3-1879-445C-BADD-E918AEE88FD3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904" authorId="111" shapeId="0" xr:uid="{A73D940E-8A10-4363-B3C7-2F5C4E9BDA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ULTIMO CONTACTO VIERNES 16 JAN
Reply:
    RECLAMADO </t>
      </text>
    </comment>
    <comment ref="F907" authorId="112" shapeId="0" xr:uid="{B57165E0-9E14-44B7-A50E-687E5786CBFD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923" authorId="113" shapeId="0" xr:uid="{D32FCCA3-1487-4ECD-839F-5A6EAACB6AE6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
Reply:
    Llamada terminada sin contacto</t>
      </text>
    </comment>
    <comment ref="F929" authorId="114" shapeId="0" xr:uid="{1A61161E-5443-4345-A179-C6CA856C7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
Reply:
    Ha ido 2 veces y no se la entregan porque no tiene la guia. Reclama 20Jan
Reply:
    RECLAMA HOY 20/01</t>
      </text>
    </comment>
    <comment ref="F931" authorId="115" shapeId="0" xr:uid="{342D7B62-9D7C-4D1D-87DE-678A80373C0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Contactada 14-15-16-17 correo de voz siempre
Reply:
    Devuelve llamada y dice que ya va a reclamarlo.</t>
      </text>
    </comment>
    <comment ref="F935" authorId="116" shapeId="0" xr:uid="{A4DC2F1E-11CD-4A65-97D0-CF7DDA07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Sab 17 correo de voz - contactada 14-15-16 de enero sin respuesta.
Reply:
    20/01 correo directo</t>
      </text>
    </comment>
    <comment ref="F938" authorId="117" shapeId="0" xr:uid="{2A1945F4-986D-4136-B101-3554A780ABEA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965" authorId="118" shapeId="0" xr:uid="{FFAAF6AD-442C-463D-B1C9-6FD13A1F4BC5}">
      <text>
        <t>[Threaded comment]
Your version of Excel allows you to read this threaded comment; however, any edits to it will get removed if the file is opened in a newer version of Excel. Learn more: https://go.microsoft.com/fwlink/?linkid=870924
Comment:
    ULTIMO CONTACTO VIERNES 16 JAN</t>
      </text>
    </comment>
    <comment ref="F977" authorId="119" shapeId="0" xr:uid="{6FF4C7EF-9A1C-4020-A71A-8F909C213632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Numero marcado se encuentra temporalmente fuera de servicio /17jan</t>
      </text>
    </comment>
    <comment ref="F978" authorId="120" shapeId="0" xr:uid="{A5C296C0-3CD5-4DA1-BD08-3E3E9CDEA6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no responde 3 intentos de llamada / 17jan</t>
      </text>
    </comment>
    <comment ref="F981" authorId="121" shapeId="0" xr:uid="{3EF12EEB-FC21-427A-97F0-B96A4B20EC1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manda a cuñada a reclamarlo el Lunes 19</t>
      </text>
    </comment>
    <comment ref="F990" authorId="122" shapeId="0" xr:uid="{8B7687BF-C3C0-4170-9986-D50CAAA914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RECLAMADO</t>
      </text>
    </comment>
    <comment ref="F1013" authorId="123" shapeId="0" xr:uid="{F6788230-444D-4028-A290-17F628C6716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Contactado Martes-Miércoles-Jueves 15
Reply:
    Llamada 17 de enero sin respuesta 7 // 3 intentos</t>
      </text>
    </comment>
    <comment ref="F1033" authorId="124" shapeId="0" xr:uid="{2E646C50-CFC5-4D90-9AC5-6D4C7BC3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15730-158E-4927-995D-9452BC3A13A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8555DFA-C3C6-417A-9643-54A7157E7EBB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D133EDC1-3E92-465D-996B-CEDD3C4B8631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4" xr16:uid="{D81300BE-99D7-41A1-9DCB-BC6C9B87D059}" keepAlive="1" name="Consulta - Cartera_por pedido" description="Conexión a la consulta 'Cartera_por pedido' en el libro." type="5" refreshedVersion="0" background="1">
    <dbPr connection="Provider=Microsoft.Mashup.OleDb.1;Data Source=$Workbook$;Location=&quot;Cartera_por pedido&quot;;Extended Properties=&quot;&quot;" command="SELECT * FROM [Cartera_por pedido]"/>
  </connection>
  <connection id="5" xr16:uid="{8F2C8FAB-C482-44E5-9D43-AD8254D2D3A8}" keepAlive="1" name="Consulta - MapeoEstados" description="Conexión a la consulta 'MapeoEstados' en el libro." type="5" refreshedVersion="7" background="1" saveData="1">
    <dbPr connection="Provider=Microsoft.Mashup.OleDb.1;Data Source=$Workbook$;Location=MapeoEstados;Extended Properties=&quot;&quot;" command="SELECT * FROM [MapeoEstados]"/>
  </connection>
  <connection id="6" xr16:uid="{17545E7F-A5D5-4B14-A32A-483720AD99A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8BA07CC0-BC0C-45CB-BC13-BCB6918FD439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8" xr16:uid="{FB57675C-F4D9-4556-A6CF-8984E275A2CC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9" xr16:uid="{D2C50709-A0F9-43F8-AD5E-4E2BCFA67F7D}" keepAlive="1" name="Consulta - Pedidos" description="Conexión a la consulta 'Pedidos' en el libro." type="5" refreshedVersion="7" background="1" saveData="1">
    <dbPr connection="Provider=Microsoft.Mashup.OleDb.1;Data Source=$Workbook$;Location=Pedidos;Extended Properties=&quot;&quot;" command="SELECT * FROM [Pedidos]"/>
  </connection>
  <connection id="10" xr16:uid="{7185E1AF-8AAA-4EFD-A68C-018CF1C24BA3}" keepAlive="1" name="Consulta - Productos" description="Conexión a la consulta 'Productos' en el libro." type="5" refreshedVersion="0" background="1">
    <dbPr connection="Provider=Microsoft.Mashup.OleDb.1;Data Source=$Workbook$;Location=Productos;Extended Properties=&quot;&quot;" command="SELECT * FROM [Productos]"/>
  </connection>
  <connection id="11" xr16:uid="{3EDD098C-28F1-41AD-90BF-0E14E2655479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2" xr16:uid="{FA07F5C5-A98D-4661-99E8-E4F20EA74FB4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3" xr16:uid="{A4C1399F-D0F8-48D3-828C-F7A503DA2B8B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14" xr16:uid="{0E652E2B-19D2-434F-BBBA-B15A759B36F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5" xr16:uid="{62A838C8-CDF7-4AFD-9906-043F806481FD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16" xr16:uid="{F91A3356-6BDD-4455-B729-CEAC7B092E50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<sst xmlns="http://schemas.openxmlformats.org/spreadsheetml/2006/main" count="16042" uniqueCount="6260">
  <si>
    <t>Columna2</t>
  </si>
  <si>
    <t>Columna1</t>
  </si>
  <si>
    <t>Esatdo Cartera</t>
  </si>
  <si>
    <t>ESTADO</t>
  </si>
  <si>
    <t>ID</t>
  </si>
  <si>
    <t>id_dropi</t>
  </si>
  <si>
    <t>fecha</t>
  </si>
  <si>
    <t>cliente</t>
  </si>
  <si>
    <t>transportadora</t>
  </si>
  <si>
    <t>estado_actualizado desde_app</t>
  </si>
  <si>
    <t>Estado de guia app (TEMP)</t>
  </si>
  <si>
    <t>estado_operativo</t>
  </si>
  <si>
    <t>guia</t>
  </si>
  <si>
    <t>despartamento</t>
  </si>
  <si>
    <t>ciudad</t>
  </si>
  <si>
    <t>direccion</t>
  </si>
  <si>
    <t>telefono</t>
  </si>
  <si>
    <t>Notas Manuales</t>
  </si>
  <si>
    <t>notas</t>
  </si>
  <si>
    <t>Producto</t>
  </si>
  <si>
    <t>ganancia_calc</t>
  </si>
  <si>
    <t>costo_devolucion_estimado</t>
  </si>
  <si>
    <t>cartera</t>
  </si>
  <si>
    <t>cartera_aplicada</t>
  </si>
  <si>
    <t>venta</t>
  </si>
  <si>
    <t>flete</t>
  </si>
  <si>
    <t>costo_proveedor</t>
  </si>
  <si>
    <t>fecha_ult_mov</t>
  </si>
  <si>
    <t>dias_desde_ult_mov</t>
  </si>
  <si>
    <t>hora_ult_mov</t>
  </si>
  <si>
    <t>ultimo_mov</t>
  </si>
  <si>
    <t>estatus_original</t>
  </si>
  <si>
    <t>estado_unificado</t>
  </si>
  <si>
    <t/>
  </si>
  <si>
    <t>63461707</t>
  </si>
  <si>
    <t>Gloria Del valle</t>
  </si>
  <si>
    <t>ENVIA</t>
  </si>
  <si>
    <t>PENDIENTE</t>
  </si>
  <si>
    <t>BOLIVAR</t>
  </si>
  <si>
    <t>CARTAGENA</t>
  </si>
  <si>
    <t>calle 5 #80e-45,  barrio San Fernando</t>
  </si>
  <si>
    <t>3243934970</t>
  </si>
  <si>
    <t>Cepillo Plancha Secador 2 en 1 Alisador x1</t>
  </si>
  <si>
    <t>63461674</t>
  </si>
  <si>
    <t>Nataly Montero Vquero</t>
  </si>
  <si>
    <t>INTERRAPIDISIMO</t>
  </si>
  <si>
    <t>CUNDINAMARCA</t>
  </si>
  <si>
    <t>GUADUAS</t>
  </si>
  <si>
    <t>Cliente recoge pedido en oficina de Interrapidisimo en Guaduas cliente recoge en esa oficina</t>
  </si>
  <si>
    <t>3142074177</t>
  </si>
  <si>
    <t>PEDIDO PARA RECOGER EN OFICINA DE INTERRAPIDISIMO</t>
  </si>
  <si>
    <t>Cepillo Plancha Secador 2 en 1 Alisador x2</t>
  </si>
  <si>
    <t>63461638</t>
  </si>
  <si>
    <t>OrdaliZ Guzmán</t>
  </si>
  <si>
    <t>ANTIOQUIA</t>
  </si>
  <si>
    <t>APARTADO</t>
  </si>
  <si>
    <t>Cliente recoge pedido en oficina de Interrapidisimo en Apartado cliente recoge en esa oficina</t>
  </si>
  <si>
    <t>3108451453</t>
  </si>
  <si>
    <t>Quemador de grasa Lemme Burn 60 cáps x2</t>
  </si>
  <si>
    <t>63461582</t>
  </si>
  <si>
    <t>Rosalbina perdomo</t>
  </si>
  <si>
    <t>CAQUETA</t>
  </si>
  <si>
    <t>FLORENCIA</t>
  </si>
  <si>
    <t>Calle 14 # 15 -68 barrio centro</t>
  </si>
  <si>
    <t>3235021099</t>
  </si>
  <si>
    <t>Bee Venom BSWELL x1 + Beevana crema +Varicose veins x1</t>
  </si>
  <si>
    <t>63461491</t>
  </si>
  <si>
    <t>Gloria Janeth Vanegas Mendoza</t>
  </si>
  <si>
    <t>QUINDIO</t>
  </si>
  <si>
    <t>ARMENIA (Q)</t>
  </si>
  <si>
    <t>Barrio los arcades manzana K número 20</t>
  </si>
  <si>
    <t>3133277752</t>
  </si>
  <si>
    <t>63457261</t>
  </si>
  <si>
    <t>Alexandra Hernández</t>
  </si>
  <si>
    <t>CESAR</t>
  </si>
  <si>
    <t>LA LOMA</t>
  </si>
  <si>
    <t>La loma el paso, cesar. CR 13 # 16-05</t>
  </si>
  <si>
    <t>3126235411</t>
  </si>
  <si>
    <t>La loma el paso, cesar. CR 13 # 16 - 05. Barrio San Marcos.</t>
  </si>
  <si>
    <t>63457042</t>
  </si>
  <si>
    <t>Herna Rivas</t>
  </si>
  <si>
    <t>VALLE</t>
  </si>
  <si>
    <t>BUGALAGRANDE</t>
  </si>
  <si>
    <t>Kr 5#3-84 Vuelta la virgen la María</t>
  </si>
  <si>
    <t>3052542630</t>
  </si>
  <si>
    <t>63456378</t>
  </si>
  <si>
    <t>Miladys Arrieta</t>
  </si>
  <si>
    <t>SUCRE</t>
  </si>
  <si>
    <t>SAN MARCOS</t>
  </si>
  <si>
    <t>OFICINA INTERRAPIDISIMO SAN MARCOS</t>
  </si>
  <si>
    <t>3128625601</t>
  </si>
  <si>
    <t>CLIENTE RECLAMA EN OFICINA INTERRAPIDISIMO CARRERA 21 # 24A 44 SAN MARCOS SUCRE</t>
  </si>
  <si>
    <t>63455995</t>
  </si>
  <si>
    <t>Yurany García</t>
  </si>
  <si>
    <t>SOACHA</t>
  </si>
  <si>
    <t>OFICINA INTERRAPIDISIMO PRINCIPAL SOACHA</t>
  </si>
  <si>
    <t>3214968096</t>
  </si>
  <si>
    <t>CLIENTE RECLAMA EN OFICINA INTERRAPIDISIMO PRINCIPAL SOACHA</t>
  </si>
  <si>
    <t>63455771</t>
  </si>
  <si>
    <t>Mercedes Sepulveda</t>
  </si>
  <si>
    <t>BOGOTA</t>
  </si>
  <si>
    <t>Calle 18 #4-51</t>
  </si>
  <si>
    <t>3125320701</t>
  </si>
  <si>
    <t>63455714</t>
  </si>
  <si>
    <t>Carmen Daniela Criollo Pacheco</t>
  </si>
  <si>
    <t>ARAUCA</t>
  </si>
  <si>
    <t>SARAVENA</t>
  </si>
  <si>
    <t>Calle 7 #20-35</t>
  </si>
  <si>
    <t>3164638889</t>
  </si>
  <si>
    <t>63455608</t>
  </si>
  <si>
    <t>Nora Mosquera</t>
  </si>
  <si>
    <t>CAUCA</t>
  </si>
  <si>
    <t>PUERTO TEJADA</t>
  </si>
  <si>
    <t>Cliente recoge pedido en oficina de Interrapidisimo en Puerto Tejada cliente recoge en esa oficina</t>
  </si>
  <si>
    <t>3146569277</t>
  </si>
  <si>
    <t>Aceite de Batana x2</t>
  </si>
  <si>
    <t>63455546</t>
  </si>
  <si>
    <t>Carmen Garcia</t>
  </si>
  <si>
    <t>CALI</t>
  </si>
  <si>
    <t>Calle 16 # 45 B bis - 23, Barrio Las Granjas</t>
  </si>
  <si>
    <t>3172771840</t>
  </si>
  <si>
    <t>Barrio Las Granjas</t>
  </si>
  <si>
    <t>DUO capilar ADIOS FRIZZ - 500ml x1</t>
  </si>
  <si>
    <t>63455526</t>
  </si>
  <si>
    <t>Luisana Rojas</t>
  </si>
  <si>
    <t>NORTE DE SANTANDER</t>
  </si>
  <si>
    <t>TIBU</t>
  </si>
  <si>
    <t>Cliente recoge pedido en oficina de Interrapidisimo en Tibu cliente recoge en esa oficina</t>
  </si>
  <si>
    <t>3138816999</t>
  </si>
  <si>
    <t>63455501</t>
  </si>
  <si>
    <t>Marisol Ospina Cortes</t>
  </si>
  <si>
    <t>Cr 79h N 57g 93 sur, Barrio Porvenir Roma, Kenedy</t>
  </si>
  <si>
    <t>3018109025</t>
  </si>
  <si>
    <t>Cr 79h N 57g 93 sur, Barrio Porvenir Roma, Kenedy - Casa esquinera</t>
  </si>
  <si>
    <t>63455497</t>
  </si>
  <si>
    <t>Leidy Zúñiga</t>
  </si>
  <si>
    <t>TOLIMA</t>
  </si>
  <si>
    <t>ROVIRA</t>
  </si>
  <si>
    <t>Cliente recoge pedido en oficina de Interrapidisimo en Rovira cliente recoge en esa oficina</t>
  </si>
  <si>
    <t>3115222104</t>
  </si>
  <si>
    <t>63455476</t>
  </si>
  <si>
    <t>Luz Dueñas</t>
  </si>
  <si>
    <t>Transversal 59 N 74 58 sur, barrio Sierra Morena</t>
  </si>
  <si>
    <t>3227178119</t>
  </si>
  <si>
    <t>63455447</t>
  </si>
  <si>
    <t>Carolina Hurtado</t>
  </si>
  <si>
    <t>CLIENTE RECOGE EN OFICINA INTERRAPIDISIMO Cra. 15 #33b-09, Comuna 8,</t>
  </si>
  <si>
    <t>3177584912</t>
  </si>
  <si>
    <t>PERMITIR QUE EL CLIENTE REVISE EL PEDIDO ANTES DE PAGAR</t>
  </si>
  <si>
    <t>Quemador de grasa Lemme Burn 60 cáps x1</t>
  </si>
  <si>
    <t>63455323</t>
  </si>
  <si>
    <t>Brenda Valencia</t>
  </si>
  <si>
    <t>NARIÑO</t>
  </si>
  <si>
    <t>TUMACO</t>
  </si>
  <si>
    <t>OFICINA INTERRAPIDISIMO TUMACO</t>
  </si>
  <si>
    <t>3241743932</t>
  </si>
  <si>
    <t>CLIENTE RECLAMA EN OFICINA INTERRAPIDISIMO TUMACO</t>
  </si>
  <si>
    <t>63455271</t>
  </si>
  <si>
    <t>Nancy Cruz</t>
  </si>
  <si>
    <t>RISARALDA</t>
  </si>
  <si>
    <t>PEREIRA</t>
  </si>
  <si>
    <t>Manzana 9 casa 15 piso 2 Barrio perla del Sur</t>
  </si>
  <si>
    <t>3014683522</t>
  </si>
  <si>
    <t>Barrio perla del Sur</t>
  </si>
  <si>
    <t>63455085</t>
  </si>
  <si>
    <t>Geidis Araujo</t>
  </si>
  <si>
    <t>ATLANTICO</t>
  </si>
  <si>
    <t>SABANALARGA</t>
  </si>
  <si>
    <t>OFICINA INTERRAPIDISIMO SABANALARGA</t>
  </si>
  <si>
    <t>3116626088</t>
  </si>
  <si>
    <t>CLIENTE RECLAMA EN OFICINA INTERRAPIDISIMO SABANALARGA</t>
  </si>
  <si>
    <t>63454946</t>
  </si>
  <si>
    <t>Lyda Guzmán</t>
  </si>
  <si>
    <t>Cra 71b bis # 12-30 torre 1 apto 203 Conj Recodo de Alsacia, Ciudad Alsacia la nueva</t>
  </si>
  <si>
    <t>3125652470</t>
  </si>
  <si>
    <t>Conjunto Recodo de Alsacia, Ciudad Alsacia la nueva</t>
  </si>
  <si>
    <t>63454914</t>
  </si>
  <si>
    <t>Rosita Palacios</t>
  </si>
  <si>
    <t>PUTUMAYO</t>
  </si>
  <si>
    <t>PUERTO CAICEDO</t>
  </si>
  <si>
    <t>Cliente recoge pedido en oficina de Interrapidisimo en Puerto Caicedo cliente recoge en esa oficina</t>
  </si>
  <si>
    <t>3219523165</t>
  </si>
  <si>
    <t>63454816</t>
  </si>
  <si>
    <t>MONICA ASTRITH JAIME</t>
  </si>
  <si>
    <t>ABREGO</t>
  </si>
  <si>
    <t>CARRERA 3 #15-21. A BARRIO SAN CARLOS.</t>
  </si>
  <si>
    <t>3133586050</t>
  </si>
  <si>
    <t>63454680</t>
  </si>
  <si>
    <t>Katy Yulieth Romero Luna</t>
  </si>
  <si>
    <t>𝒄𝒂𝒍𝒍𝒆 23 𝒄𝒂𝒓𝒆𝒓𝒂 35 𝒏.𝒂7.𝒃 𝒑𝒖𝒆𝒓𝒕𝒐 𝒍𝒐𝒑𝒆𝒛</t>
  </si>
  <si>
    <t>3246209286</t>
  </si>
  <si>
    <t>63454655</t>
  </si>
  <si>
    <t>Ester Julia Nazarit</t>
  </si>
  <si>
    <t>SANTANDER DE QUILICHAO</t>
  </si>
  <si>
    <t>Carrera 19 #2-72 barrio porvenir.</t>
  </si>
  <si>
    <t>3216764581</t>
  </si>
  <si>
    <t>Aceite de Batana x4</t>
  </si>
  <si>
    <t>63454646</t>
  </si>
  <si>
    <t>Milagro Pallares</t>
  </si>
  <si>
    <t>MALAMBO</t>
  </si>
  <si>
    <t>Calle 5 # 17 - 03 Barrio Abajo</t>
  </si>
  <si>
    <t>3115287480</t>
  </si>
  <si>
    <t>Barrio Abajo</t>
  </si>
  <si>
    <t>DUO capilar ADIOS FRIZZ - 300 ml x1</t>
  </si>
  <si>
    <t>63454453</t>
  </si>
  <si>
    <t>Nidia Perdomo</t>
  </si>
  <si>
    <t>IBAGUE</t>
  </si>
  <si>
    <t>Manzana C - casa #15 Barrio San Antonio</t>
  </si>
  <si>
    <t>3228781846</t>
  </si>
  <si>
    <t>Manzana C - casa 15
Barrio San Antonio</t>
  </si>
  <si>
    <t>63454427</t>
  </si>
  <si>
    <t>Diana Ochoa</t>
  </si>
  <si>
    <t>BOYACA</t>
  </si>
  <si>
    <t>TUNJA</t>
  </si>
  <si>
    <t>Carrera 10 #64 b 79 apto 202 torre 30, Parque residencial el refugio</t>
  </si>
  <si>
    <t>3115127049</t>
  </si>
  <si>
    <t>63454372</t>
  </si>
  <si>
    <t>Liliana Duran</t>
  </si>
  <si>
    <t>TEORAMA</t>
  </si>
  <si>
    <t>CLIENTE RECOGE EN OFICINA INTERRAPIDISIMO Calle 4 #8-29 ofc 3550</t>
  </si>
  <si>
    <t>3235242496</t>
  </si>
  <si>
    <t>Truly Soft Serve + T. Glazed Donut 60ml x1</t>
  </si>
  <si>
    <t>63454221</t>
  </si>
  <si>
    <t>Nancy María Vélez</t>
  </si>
  <si>
    <t>BELLO</t>
  </si>
  <si>
    <t>Diagonal 53 #42-71 Niquia</t>
  </si>
  <si>
    <t>3122842049</t>
  </si>
  <si>
    <t>63454140</t>
  </si>
  <si>
    <t>Wilerma Ruiz</t>
  </si>
  <si>
    <t>SACHICA</t>
  </si>
  <si>
    <t>Calle 3 # 1 - 21 centro sachica</t>
  </si>
  <si>
    <t>3217320042</t>
  </si>
  <si>
    <t>63454064</t>
  </si>
  <si>
    <t>Eloísa del Carmen Andueza Burgos</t>
  </si>
  <si>
    <t>CASANARE</t>
  </si>
  <si>
    <t>YOPAL</t>
  </si>
  <si>
    <t>Cliente recoge pedido en oficina de Interrapidisimo en Yopal cliente recoge en esa oficina</t>
  </si>
  <si>
    <t>3227649115</t>
  </si>
  <si>
    <t>Serum despigmentante SMOOTH LEGEND 60ml x1</t>
  </si>
  <si>
    <t>63453464</t>
  </si>
  <si>
    <t>Martin Eduardo Potes</t>
  </si>
  <si>
    <t>JUAN DE ACOSTA</t>
  </si>
  <si>
    <t>OFICINA INTERRAPIDISIMO JUAN DE ACOSTA</t>
  </si>
  <si>
    <t>3008937303</t>
  </si>
  <si>
    <t>CLIENTE RECLAMA EN OFICINA DE INTERRAPIDISIMO JUAN DE ACOSTA.</t>
  </si>
  <si>
    <t>Bee Venom BSWELL x1 + Beevana crema +Varicose veins x2</t>
  </si>
  <si>
    <t>63453457</t>
  </si>
  <si>
    <t>María Dihanora Cárdenas</t>
  </si>
  <si>
    <t>VILLAGARZON</t>
  </si>
  <si>
    <t>Cliente recoge pedido en oficina de Interrapidisimo en Villagarzon cliente recoge en esa oficina</t>
  </si>
  <si>
    <t>3503802979</t>
  </si>
  <si>
    <t>DUO capilar ADIOS FRIZZ - 500ml x2</t>
  </si>
  <si>
    <t>63453247</t>
  </si>
  <si>
    <t>Sandra Lozano</t>
  </si>
  <si>
    <t>VILLANUEVA (C)</t>
  </si>
  <si>
    <t>Cliente recoge pedido en oficina de Interrapidisimo en Villanueva (c) cliente recoge en esa oficina</t>
  </si>
  <si>
    <t>3132166337</t>
  </si>
  <si>
    <t>63452706</t>
  </si>
  <si>
    <t>María Avila</t>
  </si>
  <si>
    <t>Cra 9 # 81-85 sur</t>
  </si>
  <si>
    <t>3133600679</t>
  </si>
  <si>
    <t>63452558</t>
  </si>
  <si>
    <t>Rafaél Varon Gámez</t>
  </si>
  <si>
    <t>GIRARDOT</t>
  </si>
  <si>
    <t>Manzana 77 casa 15 barrio Kennedy</t>
  </si>
  <si>
    <t>3153302201</t>
  </si>
  <si>
    <t>63452433</t>
  </si>
  <si>
    <t>maria yoleida banguera</t>
  </si>
  <si>
    <t>Carrera11 calle #18 - 02 barrio la cabaña</t>
  </si>
  <si>
    <t>3225236597</t>
  </si>
  <si>
    <t>63452399</t>
  </si>
  <si>
    <t>Coraima Valdez</t>
  </si>
  <si>
    <t>BUENAVENTURA</t>
  </si>
  <si>
    <t>Calle 4 #33B-12 INT 3 SAN FRANCISCO DE ASÍS</t>
  </si>
  <si>
    <t>3152035188</t>
  </si>
  <si>
    <t>Quemador de grasa Lemme Burn 60 cáps x3</t>
  </si>
  <si>
    <t>63452328</t>
  </si>
  <si>
    <t>Edith Obrian vasquez</t>
  </si>
  <si>
    <t>MARIA LA BAJA B</t>
  </si>
  <si>
    <t>INTERRAPIDISIMO MARIA LA BAJA CALLE CENTRAL</t>
  </si>
  <si>
    <t>3225751581</t>
  </si>
  <si>
    <t>CLIENTE RECLAMA EN OFICINA DE MARIA LA BAJA CALLE CENTRAL</t>
  </si>
  <si>
    <t>63452325</t>
  </si>
  <si>
    <t>Sara Granados</t>
  </si>
  <si>
    <t>Carrera 28d5 #123-48 barrio potrero grande diagonal a pisamos tres</t>
  </si>
  <si>
    <t>3239498308</t>
  </si>
  <si>
    <t>63452208</t>
  </si>
  <si>
    <t>Gabriela Vázquez</t>
  </si>
  <si>
    <t>Carrera 1A #12b-12</t>
  </si>
  <si>
    <t>3017227575</t>
  </si>
  <si>
    <t>63451980</t>
  </si>
  <si>
    <t>Luz marina Hernández</t>
  </si>
  <si>
    <t>GUATICA</t>
  </si>
  <si>
    <t>Cliente recoge pedido en oficina de Interrapidisimo en Guatica cliente recoge en esa oficina</t>
  </si>
  <si>
    <t>3145090463</t>
  </si>
  <si>
    <t>63451880</t>
  </si>
  <si>
    <t>Deicy jhojana meza</t>
  </si>
  <si>
    <t>Calle 29 #3-55 Las flores</t>
  </si>
  <si>
    <t>3157242805</t>
  </si>
  <si>
    <t>63451840</t>
  </si>
  <si>
    <t>Nery edith Motta</t>
  </si>
  <si>
    <t>Calle 24 #1C - 35 Barrio las Américas</t>
  </si>
  <si>
    <t>3114454735</t>
  </si>
  <si>
    <t>Barrio las Américas</t>
  </si>
  <si>
    <t>63451568</t>
  </si>
  <si>
    <t>Rosa Barragan Barragan</t>
  </si>
  <si>
    <t>CUCUTA</t>
  </si>
  <si>
    <t>Avenida 5ce #1an-07 El Tuna</t>
  </si>
  <si>
    <t>3122426573</t>
  </si>
  <si>
    <t>63451392</t>
  </si>
  <si>
    <t>Gerardo lopez</t>
  </si>
  <si>
    <t>FUSAGASUGA</t>
  </si>
  <si>
    <t>Cliente recoge pedido en oficina de Interrapidisimo en Fusagasuga / CENTRO cliente recoge en esa oficina</t>
  </si>
  <si>
    <t>3113684684</t>
  </si>
  <si>
    <t>Varicose veins crema para varices x2 + Bee Venom BSWELL x1</t>
  </si>
  <si>
    <t>63450586</t>
  </si>
  <si>
    <t>Rosalba Caballero</t>
  </si>
  <si>
    <t>JAMV-DRIVE</t>
  </si>
  <si>
    <t>Carrera 56 #152b-71, Barrio Mazuren, Localidad Suba, Picabia</t>
  </si>
  <si>
    <t>3123252046</t>
  </si>
  <si>
    <t>63449647</t>
  </si>
  <si>
    <t>Jeniree Pernia</t>
  </si>
  <si>
    <t>MAGDALENA</t>
  </si>
  <si>
    <t>SANTA MARTA</t>
  </si>
  <si>
    <t>Calle 124 #8-24 de tras de caucho van, Barrio vista hermosa</t>
  </si>
  <si>
    <t>3008669416</t>
  </si>
  <si>
    <t>63449276</t>
  </si>
  <si>
    <t>Leidy Yumara Rodríguez Buitrago</t>
  </si>
  <si>
    <t>HUILA</t>
  </si>
  <si>
    <t>NEIVA</t>
  </si>
  <si>
    <t>Calle 14 #20-05 apto 103 primero de mayo</t>
  </si>
  <si>
    <t>3208245763</t>
  </si>
  <si>
    <t>63448980</t>
  </si>
  <si>
    <t>Yovanny Gómez</t>
  </si>
  <si>
    <t>LA LLANADA</t>
  </si>
  <si>
    <t>Calle 2 -32 barrio corazón de Jesús</t>
  </si>
  <si>
    <t>3183177323</t>
  </si>
  <si>
    <t>Ampolleta Brillo y Suavidad x10ml x2 + DUO capilar ADIOS FRIZZ - 300 ml x1</t>
  </si>
  <si>
    <t>63448641</t>
  </si>
  <si>
    <t>Felipe Nogary</t>
  </si>
  <si>
    <t>APIA</t>
  </si>
  <si>
    <t>Cliente recoge pedido en oficina de Interrapidisimo en Apia cliente recoge en esa oficina</t>
  </si>
  <si>
    <t>3106270678</t>
  </si>
  <si>
    <t>63448398</t>
  </si>
  <si>
    <t>Diana Patricia Garzon</t>
  </si>
  <si>
    <t>BELEN DE UMBRIA</t>
  </si>
  <si>
    <t>Calle 3 # 11 - 17</t>
  </si>
  <si>
    <t>3127407674</t>
  </si>
  <si>
    <t>63448084</t>
  </si>
  <si>
    <t>Ana Sofia Amaya Castañeda</t>
  </si>
  <si>
    <t>EL COLEGIO (MESITAS)</t>
  </si>
  <si>
    <t>Calle 8 # 8A-26, El Colegio, Mesitas del Colegio</t>
  </si>
  <si>
    <t>3208632837</t>
  </si>
  <si>
    <t>63447983</t>
  </si>
  <si>
    <t>Dora Urrego Vargas</t>
  </si>
  <si>
    <t>URRAO</t>
  </si>
  <si>
    <t>Cliente recoge pedido en oficina de Interrapidisimo en Urrao cliente recoge en esa oficina</t>
  </si>
  <si>
    <t>3052070026</t>
  </si>
  <si>
    <t>63447946</t>
  </si>
  <si>
    <t>Elisa Cuervo</t>
  </si>
  <si>
    <t>Calle 18 #104b-50, Fontibón</t>
  </si>
  <si>
    <t>3114472950</t>
  </si>
  <si>
    <t>63447920</t>
  </si>
  <si>
    <t>Digneris Vides Muñoz</t>
  </si>
  <si>
    <t>PELAYA</t>
  </si>
  <si>
    <t>Cliente recoge pedido en oficina de Interrapidisimo en Pelaya cliente recoge en esa oficina</t>
  </si>
  <si>
    <t>3215511581</t>
  </si>
  <si>
    <t>63447795</t>
  </si>
  <si>
    <t>Jeniffer Apónte</t>
  </si>
  <si>
    <t>Calle 50 sur #37-27, ENTREGAR DESPUES DE LAS 4</t>
  </si>
  <si>
    <t>3166186409</t>
  </si>
  <si>
    <t>63447459</t>
  </si>
  <si>
    <t>Paola Arenas</t>
  </si>
  <si>
    <t>MEDELLIN</t>
  </si>
  <si>
    <t>Carrera 92e #83-22 Robledo villa Sofía</t>
  </si>
  <si>
    <t>3217771837</t>
  </si>
  <si>
    <t>63437459</t>
  </si>
  <si>
    <t>Fanny Yanira Tamayo Tellez</t>
  </si>
  <si>
    <t>Carrera 18b bis #91b-24sur, Mochuelo bajó-ciudad bolivar</t>
  </si>
  <si>
    <t>3235141385</t>
  </si>
  <si>
    <t>63437291</t>
  </si>
  <si>
    <t>Olga Rocío Guzmán</t>
  </si>
  <si>
    <t>Diagonal 19 #95i-15. PRACO DIDACOL, fontibon</t>
  </si>
  <si>
    <t>3219682408</t>
  </si>
  <si>
    <t>63347170</t>
  </si>
  <si>
    <t>Astrid pirazan</t>
  </si>
  <si>
    <t>ORIGEN</t>
  </si>
  <si>
    <t>240044550582</t>
  </si>
  <si>
    <t>CHIA</t>
  </si>
  <si>
    <t>Calle 10 #1E-02</t>
  </si>
  <si>
    <t>3206407099</t>
  </si>
  <si>
    <t>Aceite de Batana x2 + Aceite de Batana x2</t>
  </si>
  <si>
    <t>PREPARADO PARA TRANSPORTADORA</t>
  </si>
  <si>
    <t>63347064</t>
  </si>
  <si>
    <t>Edilma García</t>
  </si>
  <si>
    <t>024032305856</t>
  </si>
  <si>
    <t>Carrera 62C # 69B-54 Barrio Bellavista urbanización Goretti. Punto De Referencia Cancha Sintética Goretty.</t>
  </si>
  <si>
    <t>3117428648</t>
  </si>
  <si>
    <t>Quemador de grasa Lemme Burn 60 cáps x2 + Quemador de grasa Lemme Burn 60 cáps x2</t>
  </si>
  <si>
    <t>EN BODEGA ORIGEN</t>
  </si>
  <si>
    <t>63347018</t>
  </si>
  <si>
    <t>Tatiana Madrid Sánchez</t>
  </si>
  <si>
    <t>024032305857</t>
  </si>
  <si>
    <t>Carrera 47 #50-24 oficina 903- edificio furatena</t>
  </si>
  <si>
    <t>3137368197</t>
  </si>
  <si>
    <t>Quemador de grasa Lemme Burn 60 cáps x1 + Quemador de grasa Lemme Burn 60 cáps x1</t>
  </si>
  <si>
    <t>63336813</t>
  </si>
  <si>
    <t>Mary Agudelo</t>
  </si>
  <si>
    <t>WCO2000463441</t>
  </si>
  <si>
    <t>Calle 59 sur #23d- 81, Casa linda, ciudad bolivar</t>
  </si>
  <si>
    <t>3118908158</t>
  </si>
  <si>
    <t>Varicose veins crema para varices x1 + Bee Venom BSWELL x1 + Beevana crema dolores - 1 x1 + Varicose veins crema para varices x1 + Bee Venom BSWELL x1 + Beevana crema dolores - 1 x1</t>
  </si>
  <si>
    <t>63336724</t>
  </si>
  <si>
    <t>Monica penagos</t>
  </si>
  <si>
    <t>240044572572</t>
  </si>
  <si>
    <t>Calle 2b-56a-29 Studio lash</t>
  </si>
  <si>
    <t>3054609841</t>
  </si>
  <si>
    <t>ADMITIDA</t>
  </si>
  <si>
    <t>63336597</t>
  </si>
  <si>
    <t>Graciela Naranjo Suárez</t>
  </si>
  <si>
    <t>240044552711</t>
  </si>
  <si>
    <t>Calle 1f #19C-14, Eduardo Santos</t>
  </si>
  <si>
    <t>3023278652</t>
  </si>
  <si>
    <t>Cepillo Plancha Secador 2 en 1 Alisador x1 + Cepillo Plancha Secador 2 en 1 Alisador x1</t>
  </si>
  <si>
    <t>63336480</t>
  </si>
  <si>
    <t>Rosa Elvira Angarita Saez</t>
  </si>
  <si>
    <t>240044553354</t>
  </si>
  <si>
    <t>META</t>
  </si>
  <si>
    <t>EL CASTILLO</t>
  </si>
  <si>
    <t>Cliente recoge pedido en oficina de Interrapidisimo en El Castillo cliente recoge en esa oficina</t>
  </si>
  <si>
    <t>3125155433</t>
  </si>
  <si>
    <t>63336206</t>
  </si>
  <si>
    <t>enederlanda fiscal Gutiérrez</t>
  </si>
  <si>
    <t>240044553434</t>
  </si>
  <si>
    <t>SAN CARLOS DE GUAROA</t>
  </si>
  <si>
    <t>Cliente recoge pedido en oficina de Interrapidisimo en San Carlos De Guaroa cliente recoge en esa oficina</t>
  </si>
  <si>
    <t>3207870294</t>
  </si>
  <si>
    <t>63336096</t>
  </si>
  <si>
    <t>Beatriz Elena Arango Martínez</t>
  </si>
  <si>
    <t>014155840200</t>
  </si>
  <si>
    <t>Carrera 39 #84-39, interor132</t>
  </si>
  <si>
    <t>3178073990</t>
  </si>
  <si>
    <t>63335932</t>
  </si>
  <si>
    <t>Henry Alfonso González</t>
  </si>
  <si>
    <t>240044553477</t>
  </si>
  <si>
    <t>Carrera 13 #26-30s , barrio compartir</t>
  </si>
  <si>
    <t>3239845595</t>
  </si>
  <si>
    <t>63335276</t>
  </si>
  <si>
    <t>Maire Rey</t>
  </si>
  <si>
    <t>240044572612</t>
  </si>
  <si>
    <t>CAQUEZA</t>
  </si>
  <si>
    <t>Cliente recoge pedido en oficina de Interrapidisimo en Caqueza cliente recoge en esa oficina</t>
  </si>
  <si>
    <t>3205645903</t>
  </si>
  <si>
    <t>63335216</t>
  </si>
  <si>
    <t>Nuris Contreras</t>
  </si>
  <si>
    <t>240044550330</t>
  </si>
  <si>
    <t>TOLU VIEJO</t>
  </si>
  <si>
    <t>Cliente recoge pedido en oficina INTERRAPIDISIMO  Diagonal 3 #3A-55 calle San José</t>
  </si>
  <si>
    <t>3113663080</t>
  </si>
  <si>
    <t>63335061</t>
  </si>
  <si>
    <t>Edilberto Suárez</t>
  </si>
  <si>
    <t>240044550346</t>
  </si>
  <si>
    <t>DUITAMA</t>
  </si>
  <si>
    <t>Calle 20 #26-26 tienda las joyas</t>
  </si>
  <si>
    <t>3143333921</t>
  </si>
  <si>
    <t>63334868</t>
  </si>
  <si>
    <t>Cindy pulgarín</t>
  </si>
  <si>
    <t>014155839833</t>
  </si>
  <si>
    <t>BARRANQUILLA</t>
  </si>
  <si>
    <t>Transversal 3B #26-222, CS 104, Barranquilla, Ciudad del Mar</t>
  </si>
  <si>
    <t>3021274496</t>
  </si>
  <si>
    <t>Beevana crema +Varicose veins x1 + Bee Venom BSWELL x1 + Beevana crema +Varicose veins x1 + Bee Venom BSWELL x1</t>
  </si>
  <si>
    <t>63334522</t>
  </si>
  <si>
    <t>Vanessa Osorio</t>
  </si>
  <si>
    <t>240044572621</t>
  </si>
  <si>
    <t>GUARNE</t>
  </si>
  <si>
    <t>Cliente recoge pedido en oficina de Interrapidisimo en Guarne cliente recoge en esa oficina</t>
  </si>
  <si>
    <t>3005962588</t>
  </si>
  <si>
    <t>63334195</t>
  </si>
  <si>
    <t>Rosa Tapasco</t>
  </si>
  <si>
    <t>240044597002</t>
  </si>
  <si>
    <t>Barrio Alfonso López manzana E #15</t>
  </si>
  <si>
    <t>3053000506</t>
  </si>
  <si>
    <t>DUO capilar ADIOS FRIZZ - 500ml x1 + DUO capilar ADIOS FRIZZ - 500ml x1</t>
  </si>
  <si>
    <t>GUIA_GENERADA</t>
  </si>
  <si>
    <t>63334042</t>
  </si>
  <si>
    <t>Diana Milena Rivas Rodríguez</t>
  </si>
  <si>
    <t>240044597018</t>
  </si>
  <si>
    <t>EL PAUJIL</t>
  </si>
  <si>
    <t>Cliente recoge pedido en oficina de Interrapidisimo en El Paujil cliente recoge en esa oficina</t>
  </si>
  <si>
    <t>3239712805</t>
  </si>
  <si>
    <t>DUO capilar ADIOS FRIZZ - 300 ml x1 + DUO capilar ADIOS FRIZZ - 300 ml x1</t>
  </si>
  <si>
    <t>63333986</t>
  </si>
  <si>
    <t>Honeida Bonilla</t>
  </si>
  <si>
    <t>014155841793</t>
  </si>
  <si>
    <t>BUGA</t>
  </si>
  <si>
    <t>Calle 15 # 12 - 67 Barrio santa bárbara</t>
  </si>
  <si>
    <t>3135660432</t>
  </si>
  <si>
    <t>Cepillo Plancha Secador 2 en 1 Alisador x2 + Cepillo Plancha Secador 2 en 1 Alisador x2</t>
  </si>
  <si>
    <t>63333936</t>
  </si>
  <si>
    <t>Otilia dé Jesús ORTIZ TABORDA</t>
  </si>
  <si>
    <t>240044572661</t>
  </si>
  <si>
    <t>MISTRATO</t>
  </si>
  <si>
    <t>Cliente recoge pedido en oficina de Interrapidisimo en Mistrato cliente recoge en esa oficina</t>
  </si>
  <si>
    <t>3104418765</t>
  </si>
  <si>
    <t>Truly Soft Serve + T. Glazed Donut 60ml x1 + Truly Soft Serve + T. Glazed Donut 60ml x1</t>
  </si>
  <si>
    <t>63333877</t>
  </si>
  <si>
    <t>Rubiela Pulido</t>
  </si>
  <si>
    <t>240044550432</t>
  </si>
  <si>
    <t>MADRID</t>
  </si>
  <si>
    <t>Calle 4b #16-07, Prados de Madrid, frente de la empresa Corona.</t>
  </si>
  <si>
    <t>3209360240</t>
  </si>
  <si>
    <t>numero adicional 3116702091</t>
  </si>
  <si>
    <t>2 Beevana y 1 Crema varicose veins x1 + Bee Venom BSWELL x1 + 2 Beevana y 1 Crema varicose veins x1 + Bee Venom BSWELL x1</t>
  </si>
  <si>
    <t>63333813</t>
  </si>
  <si>
    <t>Víctor Gil</t>
  </si>
  <si>
    <t>240044550443</t>
  </si>
  <si>
    <t>CHOCONTA</t>
  </si>
  <si>
    <t>Cliente recoge pedido en oficina de Interrapidisimo en Choconta cliente recoge en esa oficina</t>
  </si>
  <si>
    <t>3118544339</t>
  </si>
  <si>
    <t>63333568</t>
  </si>
  <si>
    <t>Mavel Vinazco</t>
  </si>
  <si>
    <t>TRANSITO</t>
  </si>
  <si>
    <t>054014221442</t>
  </si>
  <si>
    <t>PRADERA</t>
  </si>
  <si>
    <t>Calle 10 #13-42 segundo piso</t>
  </si>
  <si>
    <t>3102017033</t>
  </si>
  <si>
    <t>DESPACHADA</t>
  </si>
  <si>
    <t>63333466</t>
  </si>
  <si>
    <t>Luz Fanny López</t>
  </si>
  <si>
    <t>240044572672</t>
  </si>
  <si>
    <t>LA ESTRELLA</t>
  </si>
  <si>
    <t>Carrera 50 # 99 sur -69  Bosque de sauces, La tablaza</t>
  </si>
  <si>
    <t>3135931826</t>
  </si>
  <si>
    <t>Truly Soft Serve MINI 60ml x1 + Truly Soft Serve MINI 60ml x1</t>
  </si>
  <si>
    <t>63333423</t>
  </si>
  <si>
    <t>Marleidys Mendoza</t>
  </si>
  <si>
    <t>240044552806</t>
  </si>
  <si>
    <t>SAN JUAN DE URABA</t>
  </si>
  <si>
    <t>OFICINA INTERRAPIDISIMO SAN JUAN DE URABA</t>
  </si>
  <si>
    <t>3025768990</t>
  </si>
  <si>
    <t>CLIENTE RECLAMA EN OFICINA INTERRAPIDISIMO SAN JUAN DE URABA</t>
  </si>
  <si>
    <t>63333231</t>
  </si>
  <si>
    <t>ADRIANA PATRICIA ASPRIELLA PEÑA</t>
  </si>
  <si>
    <t>240044597030</t>
  </si>
  <si>
    <t>SANTANDER</t>
  </si>
  <si>
    <t>BUCARAMANGA</t>
  </si>
  <si>
    <t>CARRERA 20 #59A-04 BARRIO LA TRINIDAD FLORIDA BLANCA</t>
  </si>
  <si>
    <t>3168952028</t>
  </si>
  <si>
    <t>63333116</t>
  </si>
  <si>
    <t>Fernanda Gómez</t>
  </si>
  <si>
    <t>240044572686</t>
  </si>
  <si>
    <t>Carrera 98 # 17-35</t>
  </si>
  <si>
    <t>3022231626</t>
  </si>
  <si>
    <t>Truly Soft Serve MINI 60ml x2 + Truly Soft Serve MINI 60ml x2</t>
  </si>
  <si>
    <t>63332891</t>
  </si>
  <si>
    <t>Yury Maritza García Castañeda</t>
  </si>
  <si>
    <t>240044597035</t>
  </si>
  <si>
    <t>FUNZA</t>
  </si>
  <si>
    <t>Calle 20 #7b-66 Bellisca, casa de barrio</t>
  </si>
  <si>
    <t>3213391284</t>
  </si>
  <si>
    <t>63332799</t>
  </si>
  <si>
    <t>Alejandra Mejia</t>
  </si>
  <si>
    <t>024032305867</t>
  </si>
  <si>
    <t>VILLA GORGONA</t>
  </si>
  <si>
    <t>Carrera 7G oeste # 22-59, Dalias sector - 5</t>
  </si>
  <si>
    <t>3135047261</t>
  </si>
  <si>
    <t>63332662</t>
  </si>
  <si>
    <t>Maria de los ángeles perez morales</t>
  </si>
  <si>
    <t>240044597042</t>
  </si>
  <si>
    <t>SANTA SOFIA</t>
  </si>
  <si>
    <t>Cliente recoge pedido en oficina de Interrapidisimo en Santa Sofia cliente recoge en esa oficina</t>
  </si>
  <si>
    <t>3202741468</t>
  </si>
  <si>
    <t>63332504</t>
  </si>
  <si>
    <t>Jenny Acevedo</t>
  </si>
  <si>
    <t>240044552843</t>
  </si>
  <si>
    <t>LA CALERA</t>
  </si>
  <si>
    <t>OFICINA INTERRAPIDISIMO LA CALERA</t>
  </si>
  <si>
    <t>3244268685</t>
  </si>
  <si>
    <t>CLIENTE RECLAMA EN OFICINA INTERRAPIDISIMO LA CALERA</t>
  </si>
  <si>
    <t>63332270</t>
  </si>
  <si>
    <t>Luz Mery Hernández Restrepo</t>
  </si>
  <si>
    <t>240044552849</t>
  </si>
  <si>
    <t>CARTAGENA DEL CHAIRA</t>
  </si>
  <si>
    <t>OFICINA INTERRAPIDISIMO CARTAGENA DE CHAIRA</t>
  </si>
  <si>
    <t>3208206881</t>
  </si>
  <si>
    <t>CLIENTE RECLAMA OFICINA INTERRAPIDISIMO CARTAGENA DE CHAIRA</t>
  </si>
  <si>
    <t>63331823</t>
  </si>
  <si>
    <t>Karina Avila Lambertino</t>
  </si>
  <si>
    <t>240044552861</t>
  </si>
  <si>
    <t>CORDOBA</t>
  </si>
  <si>
    <t>MOÑITOS</t>
  </si>
  <si>
    <t>OFICINA INTERRAPIDISIMO MOÑITOS CORDOBA</t>
  </si>
  <si>
    <t>3205453445</t>
  </si>
  <si>
    <t>CLIENTE RECLAMA EN OFICINA INTERRAPIDISIMO MOÑITOS CORDOBA</t>
  </si>
  <si>
    <t>63331315</t>
  </si>
  <si>
    <t>Elizamar cortes</t>
  </si>
  <si>
    <t>014155841858</t>
  </si>
  <si>
    <t>Cra 26P 9 # 87 - 25 Barrio marroquí ll</t>
  </si>
  <si>
    <t>3151004816</t>
  </si>
  <si>
    <t>63330825</t>
  </si>
  <si>
    <t>Ana Milena Cotrina</t>
  </si>
  <si>
    <t>240044552924</t>
  </si>
  <si>
    <t>SASAIMA</t>
  </si>
  <si>
    <t>OFICINA PRINCIPAL INTERRAPIDISIMO SASAIMA</t>
  </si>
  <si>
    <t>3134042749</t>
  </si>
  <si>
    <t>CLIENTE RECLAMA OFICINA PRINCIPAL INTERRAPIDISIMO SASAIMA</t>
  </si>
  <si>
    <t>63330165</t>
  </si>
  <si>
    <t>Glenis Machuca Aldana</t>
  </si>
  <si>
    <t>240044552938</t>
  </si>
  <si>
    <t>TURBO</t>
  </si>
  <si>
    <t>Carrera 54 #48-108 Barrio Turbay Ayala</t>
  </si>
  <si>
    <t>3134847655</t>
  </si>
  <si>
    <t>Barrio Turbay Ayala</t>
  </si>
  <si>
    <t>63329510</t>
  </si>
  <si>
    <t>Mónica Pareja</t>
  </si>
  <si>
    <t>014155841877</t>
  </si>
  <si>
    <t>Calle 4 #27-79, Barrio San Fernando</t>
  </si>
  <si>
    <t>3183664278</t>
  </si>
  <si>
    <t>Barrio San Fernando</t>
  </si>
  <si>
    <t>63328359</t>
  </si>
  <si>
    <t>Saidy Hernández</t>
  </si>
  <si>
    <t>024032305872</t>
  </si>
  <si>
    <t>Carrera 143 #64 - 26 interior 103, San Cristobal, Palenque</t>
  </si>
  <si>
    <t>3146396628</t>
  </si>
  <si>
    <t>63328327</t>
  </si>
  <si>
    <t>Ana Maria Rubio Martinez</t>
  </si>
  <si>
    <t>240044572736</t>
  </si>
  <si>
    <t>VILLAVICENCIO</t>
  </si>
  <si>
    <t>Calle 36 b # 16-29 este barrio Antonio villavicencio casa de tres pisos al lado del polideportivo Antonio</t>
  </si>
  <si>
    <t>3143949342</t>
  </si>
  <si>
    <t>63328241</t>
  </si>
  <si>
    <t>Nubia Escobar</t>
  </si>
  <si>
    <t>240044572752</t>
  </si>
  <si>
    <t>ACACIAS</t>
  </si>
  <si>
    <t>Calle 10 #39-19, Barrio el oasis</t>
  </si>
  <si>
    <t>3142443966</t>
  </si>
  <si>
    <t>63328155</t>
  </si>
  <si>
    <t>Marcela Gonzalez</t>
  </si>
  <si>
    <t>240044572767</t>
  </si>
  <si>
    <t>calle 60 #74-28 sur barrio la estancia ciudad bolivar</t>
  </si>
  <si>
    <t>3209777735</t>
  </si>
  <si>
    <t>63328068</t>
  </si>
  <si>
    <t>FREDY RIVERA SAAVEDRA</t>
  </si>
  <si>
    <t>240044572778</t>
  </si>
  <si>
    <t>CALLE 9A #38-69 BRISAS DEL PLAYON</t>
  </si>
  <si>
    <t>3133610429</t>
  </si>
  <si>
    <t>63327842</t>
  </si>
  <si>
    <t>Karen Andrea Aristizabal</t>
  </si>
  <si>
    <t>240044572793</t>
  </si>
  <si>
    <t>MARINILLA</t>
  </si>
  <si>
    <t>Cliente recoge pedido en oficina de Interrapidisimo en Marinilla cliente recoge en esa oficina</t>
  </si>
  <si>
    <t>3193087711</t>
  </si>
  <si>
    <t>63327194</t>
  </si>
  <si>
    <t>Alba Lucy Osorio Ceballos</t>
  </si>
  <si>
    <t>024032305874</t>
  </si>
  <si>
    <t>Carrera 8A #53-48, barrio Caicedo, segundo piso</t>
  </si>
  <si>
    <t>3016489468</t>
  </si>
  <si>
    <t>Quemador de grasa Lemme Burn 60 cáps x4 + Quemador de grasa Lemme Burn 60 cáps x4</t>
  </si>
  <si>
    <t>63326880</t>
  </si>
  <si>
    <t>Johana Amaya</t>
  </si>
  <si>
    <t>024032305875</t>
  </si>
  <si>
    <t>LA GUAJIRA</t>
  </si>
  <si>
    <t>RIOHACHA</t>
  </si>
  <si>
    <t>Calle 15 #1-118 Vía a maicao alado del polarizado</t>
  </si>
  <si>
    <t>3166712439</t>
  </si>
  <si>
    <t>63326765</t>
  </si>
  <si>
    <t>claudia lorena Diaz Panqueva</t>
  </si>
  <si>
    <t>240044572837</t>
  </si>
  <si>
    <t>Calle 28 #35b-28, Villa Salomé</t>
  </si>
  <si>
    <t>3502429972</t>
  </si>
  <si>
    <t>63326678</t>
  </si>
  <si>
    <t>Judith Monroy López</t>
  </si>
  <si>
    <t>240044572856</t>
  </si>
  <si>
    <t>Transversal 1Bis #25-64 sur, Montebello</t>
  </si>
  <si>
    <t>3204796238</t>
  </si>
  <si>
    <t>63326599</t>
  </si>
  <si>
    <t>Andrea Marcela Gelvez Diaz</t>
  </si>
  <si>
    <t>240044572871</t>
  </si>
  <si>
    <t>PAMPLONA</t>
  </si>
  <si>
    <t>Calle 6a #10-09, Barrio el progreso</t>
  </si>
  <si>
    <t>3214436692</t>
  </si>
  <si>
    <t>63326567</t>
  </si>
  <si>
    <t>Sindy Fernanda Rodríguez Ortiz</t>
  </si>
  <si>
    <t>240044572889</t>
  </si>
  <si>
    <t>Barrio Pedro Arizala Con Avenida Ferria, frente a la clínica odontológica, casa verde, San Andrés de Tumaco</t>
  </si>
  <si>
    <t>3203929902</t>
  </si>
  <si>
    <t>63326395</t>
  </si>
  <si>
    <t>Alexandra Jiménez</t>
  </si>
  <si>
    <t>024032305876</t>
  </si>
  <si>
    <t>Cr 78#20BB-19 Barrio. París Unidad París Campestre Torre 2 apartamento 502 Entrada por el megacolegio</t>
  </si>
  <si>
    <t>3142793335</t>
  </si>
  <si>
    <t>63326323</t>
  </si>
  <si>
    <t>Rocío Méndez</t>
  </si>
  <si>
    <t>240044572905</t>
  </si>
  <si>
    <t>POPAYAN</t>
  </si>
  <si>
    <t>Cliente recoge en oficina Interrapidisimo POPAYAN OFICINA POR LA 5ta VARIANTE</t>
  </si>
  <si>
    <t>3175566832</t>
  </si>
  <si>
    <t>63326061</t>
  </si>
  <si>
    <t>Marisol Murillo Cardona</t>
  </si>
  <si>
    <t>240044572921</t>
  </si>
  <si>
    <t>3046646415</t>
  </si>
  <si>
    <t>63252196</t>
  </si>
  <si>
    <t>Elizabeth Muñoz Daza</t>
  </si>
  <si>
    <t>240044516963</t>
  </si>
  <si>
    <t>CURILLO</t>
  </si>
  <si>
    <t>Cliente recoge pedido en oficina de Interrapidisimo en Curillo cliente recoge en esa oficina</t>
  </si>
  <si>
    <t>3227044915</t>
  </si>
  <si>
    <t>TRANSITO NACIONAL</t>
  </si>
  <si>
    <t>EN PROCESAMIENTO</t>
  </si>
  <si>
    <t>63251484</t>
  </si>
  <si>
    <t>Dayan Hernández</t>
  </si>
  <si>
    <t>240044516996</t>
  </si>
  <si>
    <t>MOSQUERA</t>
  </si>
  <si>
    <t>Carrera 12A #6-06, Barrio Planadas</t>
  </si>
  <si>
    <t>3228961545</t>
  </si>
  <si>
    <t>CENTRO ACOPIO</t>
  </si>
  <si>
    <t>EN BODEGA TRANSPORTADORA</t>
  </si>
  <si>
    <t>63234187</t>
  </si>
  <si>
    <t>Janeth Moreno</t>
  </si>
  <si>
    <t>ENTREGADO</t>
  </si>
  <si>
    <t>240044470073</t>
  </si>
  <si>
    <t>Calle 41c #47d-37 este, Casa, Barrio Rincón del Lago</t>
  </si>
  <si>
    <t>3208625351</t>
  </si>
  <si>
    <t>Bee Venom BSWELL x1 + Beevana crema +Varicose veins x1 + Bee Venom BSWELL x1 + Beevana crema +Varicose veins x1 + Bee Venom BSWELL x1 + Beevana crema +Varicose veins x1</t>
  </si>
  <si>
    <t>ENTREGADA</t>
  </si>
  <si>
    <t>63234093</t>
  </si>
  <si>
    <t>Aurimar Alvarado</t>
  </si>
  <si>
    <t>240044511850</t>
  </si>
  <si>
    <t>MONTENEGRO</t>
  </si>
  <si>
    <t>Luis Carlos flores, manzana 4, Casa 17</t>
  </si>
  <si>
    <t>3107383159</t>
  </si>
  <si>
    <t>Cepillo Plancha Secador 2 en 1 Alisador x2 + Cepillo Plancha Secador 2 en 1 Alisador x2 + Cepillo Plancha Secador 2 en 1 Alisador x2</t>
  </si>
  <si>
    <t>63233968</t>
  </si>
  <si>
    <t>Yeni berrio</t>
  </si>
  <si>
    <t>240044474096</t>
  </si>
  <si>
    <t>SANTAFE DE ANTIOQUIA</t>
  </si>
  <si>
    <t>Transversal 8# 16 A 26 Yano de bolivar</t>
  </si>
  <si>
    <t>3206207578</t>
  </si>
  <si>
    <t>Quemador de grasa Lemme Burn 60 cáps x2 + Quemador de grasa Lemme Burn 60 cáps x2 + Quemador de grasa Lemme Burn 60 cáps x2</t>
  </si>
  <si>
    <t>63225650</t>
  </si>
  <si>
    <t>Maria Torres</t>
  </si>
  <si>
    <t>024032289939</t>
  </si>
  <si>
    <t>SINCELEJO</t>
  </si>
  <si>
    <t>Calle 42c21_27 Barrio la trinidad por el colegio dela trinidad</t>
  </si>
  <si>
    <t>3128883564</t>
  </si>
  <si>
    <t>Barrio la trinidad por el colegio dela trinidad</t>
  </si>
  <si>
    <t>GENERADA EN CALI</t>
  </si>
  <si>
    <t>63224795</t>
  </si>
  <si>
    <t>Leidy Johanna Prieto</t>
  </si>
  <si>
    <t>REPARTO</t>
  </si>
  <si>
    <t>240044474209</t>
  </si>
  <si>
    <t>Calle 51 sur 79-10 barrio Kennedy casa blanca</t>
  </si>
  <si>
    <t>3239145299</t>
  </si>
  <si>
    <t>barrio Kennedy casa blanca</t>
  </si>
  <si>
    <t>Truly Glazed Donut MINI 60ml x1 + Truly Soft Serve MINI 60ml x1 + Truly Glazed Donut MINI 60ml x1 + Truly Soft Serve MINI 60ml x1 + Truly Glazed Donut MINI 60ml x1 + Truly Soft Serve MINI 60ml x1</t>
  </si>
  <si>
    <t>INTENTO DE ENTREGA</t>
  </si>
  <si>
    <t>REENVÍO</t>
  </si>
  <si>
    <t>63224238</t>
  </si>
  <si>
    <t>Dilianis Rivero</t>
  </si>
  <si>
    <t>024032289944</t>
  </si>
  <si>
    <t>CIENAGA DE ORO</t>
  </si>
  <si>
    <t>Calle 2 con Carrera 6a Barrio San Jose</t>
  </si>
  <si>
    <t>3215621283</t>
  </si>
  <si>
    <t>Barrio San José</t>
  </si>
  <si>
    <t>63223808</t>
  </si>
  <si>
    <t>Leidy magaly Lucitante umendas</t>
  </si>
  <si>
    <t>240044474222</t>
  </si>
  <si>
    <t>LA HORMIGA</t>
  </si>
  <si>
    <t>OFICINA INTERRAPIDISIMO LA HORMIGA CARRERA 2A</t>
  </si>
  <si>
    <t>3214177404</t>
  </si>
  <si>
    <t>CLIENTE RECLAMA EN OFICINA INTERRAPIDISIMO DE LA CARRERA 2A LA HORMIGA PUTUMAYO</t>
  </si>
  <si>
    <t>Quemador de grasa Lemme Burn 60 cáps x1 + Quemador de grasa Lemme Burn 60 cáps x1 + Quemador de grasa Lemme Burn 60 cáps x1</t>
  </si>
  <si>
    <t>63223314</t>
  </si>
  <si>
    <t>Yoselin Coa</t>
  </si>
  <si>
    <t>240044518018</t>
  </si>
  <si>
    <t>Calle 85B #13C - 25 PISO 2 APTO 4</t>
  </si>
  <si>
    <t>3014094789</t>
  </si>
  <si>
    <t>CIUDAD MODESTO // Calle 85B #13C - 25 PISO 2 APTO 4</t>
  </si>
  <si>
    <t>TRANSITO URBANO</t>
  </si>
  <si>
    <t>63222962</t>
  </si>
  <si>
    <t>Noris del Carmen Díaz Recuero</t>
  </si>
  <si>
    <t>014155823121</t>
  </si>
  <si>
    <t>MONTERIA</t>
  </si>
  <si>
    <t>Calle 8 # 9 - 26 Barrio Los Araujos 1</t>
  </si>
  <si>
    <t>3107248945</t>
  </si>
  <si>
    <t>Barrio Los Araujos 1</t>
  </si>
  <si>
    <t>Cepillo Plancha Secador 2 en 1 Alisador x1 + Cepillo Plancha Secador 2 en 1 Alisador x1 + Cepillo Plancha Secador 2 en 1 Alisador x1</t>
  </si>
  <si>
    <t>GENERADA EN BOGOTA</t>
  </si>
  <si>
    <t>63222739</t>
  </si>
  <si>
    <t>Diana Valencia Rojas</t>
  </si>
  <si>
    <t>014155823186</t>
  </si>
  <si>
    <t>Calle 4 #16-79, Buenaventura, barrio santa rosa</t>
  </si>
  <si>
    <t>3127039570</t>
  </si>
  <si>
    <t>Calle 4 # 16-79, Buenaventura, barrio santa rosa
ENVIAR CEPILLO VERDE</t>
  </si>
  <si>
    <t>63222505</t>
  </si>
  <si>
    <t>Mireya Taquinas</t>
  </si>
  <si>
    <t>240044518374</t>
  </si>
  <si>
    <t>TORIBIO</t>
  </si>
  <si>
    <t>OFICINA INTERRAPIDISIMO TORIBIO</t>
  </si>
  <si>
    <t>3136141391</t>
  </si>
  <si>
    <t>CLIENTE RECLAMA EN OFICINA INTERRAPIDISIMO DE TORIBIO DIAGONAL A LA ALCALDIA
NUMERO ALTERNO 3215241680</t>
  </si>
  <si>
    <t>63221945</t>
  </si>
  <si>
    <t>Yulitza De la rosa</t>
  </si>
  <si>
    <t>240044518452</t>
  </si>
  <si>
    <t>PLATO</t>
  </si>
  <si>
    <t>Carrera 14 # 19 - 85 Barrio 11 de noviembre</t>
  </si>
  <si>
    <t>3243049107</t>
  </si>
  <si>
    <t>Barrio 11 de noviembre
Referencia: frente al ara , ferretería la baratísima
NUMERO ALTERNO 3145263816</t>
  </si>
  <si>
    <t>63220359</t>
  </si>
  <si>
    <t>Palencia Tovar Delfi</t>
  </si>
  <si>
    <t>240044471997</t>
  </si>
  <si>
    <t>EL CARMEN DE BOLIVAR</t>
  </si>
  <si>
    <t>Calle 38 A # 43 - 21 Barrio los laureles</t>
  </si>
  <si>
    <t>3007490913</t>
  </si>
  <si>
    <t>Barrio los Laureles - el Carmen de Bolívar
Enviar un cepillo rojo y uno negro</t>
  </si>
  <si>
    <t>63220143</t>
  </si>
  <si>
    <t>Edelmira Garzón</t>
  </si>
  <si>
    <t>240044475688</t>
  </si>
  <si>
    <t>Carrera 36e # 18-15 álamos de occidente</t>
  </si>
  <si>
    <t>3122624363</t>
  </si>
  <si>
    <t>numero adicional 3180746273</t>
  </si>
  <si>
    <t>Beevana crema +Varicose veins x1 + Bee Venom BSWELL x1 + Beevana crema +Varicose veins x1 + Bee Venom BSWELL x1 + Beevana crema +Varicose veins x1 + Bee Venom BSWELL x1</t>
  </si>
  <si>
    <t>63219696</t>
  </si>
  <si>
    <t>Luz deni Quintero garabito</t>
  </si>
  <si>
    <t>240044469892</t>
  </si>
  <si>
    <t>EL TARRA</t>
  </si>
  <si>
    <t>Cliente recoge pedido en oficina de Interrapidisimo en El Tarra cliente recoge en esa oficina</t>
  </si>
  <si>
    <t>3118559998</t>
  </si>
  <si>
    <t>Bee Venom BSWELL x3 + Bee Venom BSWELL x3 + Bee Venom BSWELL x3</t>
  </si>
  <si>
    <t>63219666</t>
  </si>
  <si>
    <t>Epifania Barranco</t>
  </si>
  <si>
    <t>240044472046</t>
  </si>
  <si>
    <t>calle 12b # 103 Casa pintada de blanco/gris</t>
  </si>
  <si>
    <t>3046253310</t>
  </si>
  <si>
    <t>Llamar una vez se encuentre en la dirección</t>
  </si>
  <si>
    <t>63219365</t>
  </si>
  <si>
    <t>Orfain Gutiérrez Mosquera</t>
  </si>
  <si>
    <t>014155799488</t>
  </si>
  <si>
    <t>Calle 49 oeste #5A -10, Barrio Patio Bonito</t>
  </si>
  <si>
    <t>3127851555</t>
  </si>
  <si>
    <t>63219292</t>
  </si>
  <si>
    <t>Gloria Cecilia Vanegas Holguín</t>
  </si>
  <si>
    <t>014155799500</t>
  </si>
  <si>
    <t>ENVIGADO</t>
  </si>
  <si>
    <t>Alto de las Palmas carrera 7 #23 Sur -149</t>
  </si>
  <si>
    <t>3014077056</t>
  </si>
  <si>
    <t>Bee Venom BSWELL x5 + Bee Venom BSWELL x5 + Bee Venom BSWELL x5</t>
  </si>
  <si>
    <t>63218746</t>
  </si>
  <si>
    <t>Nhicol Socarras</t>
  </si>
  <si>
    <t>014155799555</t>
  </si>
  <si>
    <t>PONEDERA</t>
  </si>
  <si>
    <t>carrera 7 #5-98</t>
  </si>
  <si>
    <t>3206783130</t>
  </si>
  <si>
    <t>numero adicional 3207576911</t>
  </si>
  <si>
    <t>Varicose veins crema para varices x1 + 2 Beevana y 1 Crema varicose veins x1 + Bee Venom BSWELL x2 + Varicose veins crema para varices x1 + 2 Beevana y 1 Crema varicose veins x1 + Bee Venom BSWELL x2 + Varicose veins crema para varices x1 + 2 Beevana y 1 Crema varicose veins x1 + Bee Venom BSWELL x2</t>
  </si>
  <si>
    <t>63218598</t>
  </si>
  <si>
    <t>Nataly Cortes valentierra</t>
  </si>
  <si>
    <t>240044472102</t>
  </si>
  <si>
    <t>OFICINA INTERRAPIDISIMO TUMACO AV ESTUDIANTES</t>
  </si>
  <si>
    <t>3188301574</t>
  </si>
  <si>
    <t>CLIENTE RECLAMA EN LA OFICINA DE INTERRAPIDISIMO TUMACO</t>
  </si>
  <si>
    <t>63218400</t>
  </si>
  <si>
    <t>Yaneth maría Torres Sanchez</t>
  </si>
  <si>
    <t>240044518951</t>
  </si>
  <si>
    <t>Calle 190 bis # 6a - 12 Barrio Codito</t>
  </si>
  <si>
    <t>3019063088</t>
  </si>
  <si>
    <t>Barrio Codito // Location Google Maps: 4.7672321,-74.0270809</t>
  </si>
  <si>
    <t>63218305</t>
  </si>
  <si>
    <t>Shirley Navarro Zamora</t>
  </si>
  <si>
    <t>240044470006</t>
  </si>
  <si>
    <t>LA JAGUA DE IBIRICO</t>
  </si>
  <si>
    <t>Urbanización Sororia, Manzana 5 Casa 159</t>
  </si>
  <si>
    <t>3107420230</t>
  </si>
  <si>
    <t>63218115</t>
  </si>
  <si>
    <t>Manuel Mesa</t>
  </si>
  <si>
    <t>240044470020</t>
  </si>
  <si>
    <t>PIEDRAS</t>
  </si>
  <si>
    <t>Cliente recoge pedido en oficina de Interrapidisimo en Piedras cliente recoge en esa oficina</t>
  </si>
  <si>
    <t>3177741842</t>
  </si>
  <si>
    <t>63218028</t>
  </si>
  <si>
    <t>Flor Andrea Laguna</t>
  </si>
  <si>
    <t>240044518967</t>
  </si>
  <si>
    <t>BARRANCABERMEJA</t>
  </si>
  <si>
    <t>Transversal 43 # 56 - 24 Barrio el progreso</t>
  </si>
  <si>
    <t>3125280933</t>
  </si>
  <si>
    <t>Barrio el progreso
NUMERO ALTERNO: 3235940277</t>
  </si>
  <si>
    <t>63217612</t>
  </si>
  <si>
    <t>Zuleidy Díaz</t>
  </si>
  <si>
    <t>240044519150</t>
  </si>
  <si>
    <t>SALADOBLANCO</t>
  </si>
  <si>
    <t>OFICINA INTERRAPIDISIMO SALADOBLANCO</t>
  </si>
  <si>
    <t>3126131907</t>
  </si>
  <si>
    <t>Cliente reclama en  oficina Inter rapidísimo Calle 2 número 613 centro</t>
  </si>
  <si>
    <t>63217583</t>
  </si>
  <si>
    <t>Katerin Herrera</t>
  </si>
  <si>
    <t>240044474307</t>
  </si>
  <si>
    <t>Calle 98C # 1E - 225 conjunto 9 torre 20 apto 301</t>
  </si>
  <si>
    <t>3017526713</t>
  </si>
  <si>
    <t>63217390</t>
  </si>
  <si>
    <t>Hilda Barrera de Santamaria</t>
  </si>
  <si>
    <t>240044470035</t>
  </si>
  <si>
    <t>CARRERA 45b #73b-28 Sur, Barrio Jerusalén Las Brisas</t>
  </si>
  <si>
    <t>3008685381</t>
  </si>
  <si>
    <t>63217227</t>
  </si>
  <si>
    <t>Pubglia Palencia</t>
  </si>
  <si>
    <t>240044519204</t>
  </si>
  <si>
    <t>DOSQUEBRADAS</t>
  </si>
  <si>
    <t>Urbanización Piamonte piso 2 manzana 9</t>
  </si>
  <si>
    <t>3122852239</t>
  </si>
  <si>
    <t>Urbanización Piamonte piso 2 manzana o número 9 por el barrio la mariana cerca del colegio Manuel Elkin Patarroyo
NUMERO ALTERNO 5215641449567</t>
  </si>
  <si>
    <t>63216979</t>
  </si>
  <si>
    <t>Amparo Raigosa</t>
  </si>
  <si>
    <t>054014218826</t>
  </si>
  <si>
    <t>CARTAGO</t>
  </si>
  <si>
    <t>Carrera 8 bis # 17- 09 Barrio mariscal, local de comidas rápidas Super Sándwich</t>
  </si>
  <si>
    <t>3136500921</t>
  </si>
  <si>
    <t>DUO capilar ADIOS FRIZZ - 500ml x1 + DUO capilar ADIOS FRIZZ - 500ml x1 + DUO capilar ADIOS FRIZZ - 500ml x1</t>
  </si>
  <si>
    <t>63216885</t>
  </si>
  <si>
    <t>Carlos Mario Ahumada</t>
  </si>
  <si>
    <t>014155799654</t>
  </si>
  <si>
    <t>Casa manzana O casa 10, Barrio timayuii 2</t>
  </si>
  <si>
    <t>3015873510</t>
  </si>
  <si>
    <t>63216818</t>
  </si>
  <si>
    <t>Olga Cecilia Medina Barrera</t>
  </si>
  <si>
    <t>240044519282</t>
  </si>
  <si>
    <t>Calle 100 número 19-45 edificio Chestal Sona chico</t>
  </si>
  <si>
    <t>3194874853</t>
  </si>
  <si>
    <t>Calle 100 número 19 - 45 edificio Chestal Sona chico</t>
  </si>
  <si>
    <t>63216607</t>
  </si>
  <si>
    <t>Carmen maria Polo Martínez</t>
  </si>
  <si>
    <t>240044519314</t>
  </si>
  <si>
    <t>CHIVOLO</t>
  </si>
  <si>
    <t>OFICINA INTERRAPIDISIMO CHIVOLO</t>
  </si>
  <si>
    <t>3013309205</t>
  </si>
  <si>
    <t>RECLAMA OFICINA INTERRAPIDISIMO CHIVOLO - ZAPAYAN</t>
  </si>
  <si>
    <t>ENTREGADO A TRANSPORTADORA</t>
  </si>
  <si>
    <t>63216262</t>
  </si>
  <si>
    <t>Sara Bonilla</t>
  </si>
  <si>
    <t>NOVEDAD</t>
  </si>
  <si>
    <t>240044470166</t>
  </si>
  <si>
    <t>Diagonal 62 H bis Sur #74a-53 Conj Galicia, frente al Portal Sur Casa 62</t>
  </si>
  <si>
    <t>3102515660</t>
  </si>
  <si>
    <t>NUMERO ADICIONAL 3125330327</t>
  </si>
  <si>
    <t>TELEMERCADEO</t>
  </si>
  <si>
    <t>63216224</t>
  </si>
  <si>
    <t>Piedad Bolaño Peluffo</t>
  </si>
  <si>
    <t>024032289985</t>
  </si>
  <si>
    <t>Calle 28 #25B-50,bloque 16 torre 1 apartamento 303</t>
  </si>
  <si>
    <t>3105103188</t>
  </si>
  <si>
    <t>Truly Soft Serve MINI 60ml x1 + Serum despigmentante SMOOTH LEGEND 60ml x1 + Truly Soft Serve MINI 60ml x1 + Serum despigmentante SMOOTH LEGEND 60ml x1 + Truly Soft Serve MINI 60ml x1 + Serum despigmentante SMOOTH LEGEND 60ml x1</t>
  </si>
  <si>
    <t>63216008</t>
  </si>
  <si>
    <t>Enith del Carmen Márquez González</t>
  </si>
  <si>
    <t>014155799687</t>
  </si>
  <si>
    <t>calle 17 sur #42-68 poblado</t>
  </si>
  <si>
    <t>3246757851</t>
  </si>
  <si>
    <t>63215914</t>
  </si>
  <si>
    <t>Rosalba Peña</t>
  </si>
  <si>
    <t>VELOCES</t>
  </si>
  <si>
    <t>DESTINO</t>
  </si>
  <si>
    <t>V4002146416</t>
  </si>
  <si>
    <t>Calle 42f #93d-22 Casa en barrio La Rivera Patio Bonito</t>
  </si>
  <si>
    <t>3208581040</t>
  </si>
  <si>
    <t>Truly Soft Serve + T. Glazed Donut 60ml x1 + Truly Soft Serve + T. Glazed Donut 60ml x1 + Truly Soft Serve + T. Glazed Donut 60ml x1</t>
  </si>
  <si>
    <t>BODEGA DESTINO</t>
  </si>
  <si>
    <t>63215715</t>
  </si>
  <si>
    <t>Carlos Julio Suarez</t>
  </si>
  <si>
    <t>240044474346</t>
  </si>
  <si>
    <t>Carrera 15 #21-24 morichal</t>
  </si>
  <si>
    <t>3224743148</t>
  </si>
  <si>
    <t>63215579</t>
  </si>
  <si>
    <t>LUZ MERY PALACIOS</t>
  </si>
  <si>
    <t>240044474356</t>
  </si>
  <si>
    <t>VILLETA</t>
  </si>
  <si>
    <t>Cliente recoge pedido en oficina de Interrapidisimo en Villeta cliente recoge en esa oficina</t>
  </si>
  <si>
    <t>3015897088</t>
  </si>
  <si>
    <t>63215457</t>
  </si>
  <si>
    <t>Eva Regino</t>
  </si>
  <si>
    <t>240044478854</t>
  </si>
  <si>
    <t>HOBO</t>
  </si>
  <si>
    <t>Cliente recoge pedido en oficina de Interrapidisimo en Hobo cliente recoge en esa oficina</t>
  </si>
  <si>
    <t>3112033107</t>
  </si>
  <si>
    <t>RECLAME EN OFICINA</t>
  </si>
  <si>
    <t>63215366</t>
  </si>
  <si>
    <t>Leonor mota</t>
  </si>
  <si>
    <t>240044478892</t>
  </si>
  <si>
    <t>BELEN DE LOS ANDAQUIES</t>
  </si>
  <si>
    <t>Carrera 3 #6-22 barrio Santa Teresa</t>
  </si>
  <si>
    <t>3115169505</t>
  </si>
  <si>
    <t>63213907</t>
  </si>
  <si>
    <t>Shirley Bastidas</t>
  </si>
  <si>
    <t>240044500309</t>
  </si>
  <si>
    <t>TOCANCIPA</t>
  </si>
  <si>
    <t>Carrera 7 # 1-25, Conjunto Residencial Torres Futuro El Dorado</t>
  </si>
  <si>
    <t>3209094810</t>
  </si>
  <si>
    <t>63213732</t>
  </si>
  <si>
    <t>Yolanda Garcia</t>
  </si>
  <si>
    <t>240044474365</t>
  </si>
  <si>
    <t>Calle 15 #119A-40, fontibon recodo</t>
  </si>
  <si>
    <t>3003014755</t>
  </si>
  <si>
    <t>63210050</t>
  </si>
  <si>
    <t>Edilsa Ibáñez</t>
  </si>
  <si>
    <t>240044478101</t>
  </si>
  <si>
    <t>CALDAS</t>
  </si>
  <si>
    <t>Cliente recoge pedido en oficina de Interrapidisimo en Guican cliente recoge en esa oficina</t>
  </si>
  <si>
    <t>3143969125</t>
  </si>
  <si>
    <t>Aceite de Batana x1 + Aceite de Batana x1 + Aceite de Batana x1</t>
  </si>
  <si>
    <t>63209870</t>
  </si>
  <si>
    <t>Yuliana Cano Urrea</t>
  </si>
  <si>
    <t>240044478148</t>
  </si>
  <si>
    <t>Carrera 064 #128 SUR 45-108 en Caldas.</t>
  </si>
  <si>
    <t>3016265017</t>
  </si>
  <si>
    <t>63209598</t>
  </si>
  <si>
    <t>Sandra Salazar Sepúlveda</t>
  </si>
  <si>
    <t>240044523899</t>
  </si>
  <si>
    <t>Carrera 52b #92-73 barrio altos de riomar, Subiendo por pizza bernys</t>
  </si>
  <si>
    <t>3043584990</t>
  </si>
  <si>
    <t>63209496</t>
  </si>
  <si>
    <t>Hermelinda Barco</t>
  </si>
  <si>
    <t>240044500637</t>
  </si>
  <si>
    <t>Carrera 5 #43-125, piedra pintada, oficina</t>
  </si>
  <si>
    <t>3107765898</t>
  </si>
  <si>
    <t>63209315</t>
  </si>
  <si>
    <t>Irma Elisa Rojas</t>
  </si>
  <si>
    <t>240044474403</t>
  </si>
  <si>
    <t>Calle 18 #8-46 interlaken</t>
  </si>
  <si>
    <t>3046397435</t>
  </si>
  <si>
    <t>EN REPARTO</t>
  </si>
  <si>
    <t>63209234</t>
  </si>
  <si>
    <t>Eugenia Naranjo</t>
  </si>
  <si>
    <t>240044500733</t>
  </si>
  <si>
    <t>Carrera 42b #46D Sur - 7, Apto 401,  Barrio la paz</t>
  </si>
  <si>
    <t>3053710398</t>
  </si>
  <si>
    <t>63209063</t>
  </si>
  <si>
    <t>Nydia Jiménez</t>
  </si>
  <si>
    <t>240044523905</t>
  </si>
  <si>
    <t>Calle 1a #87d-86, Barrio Patio Bonito, Segundo sector, Bogotá</t>
  </si>
  <si>
    <t>3127994993</t>
  </si>
  <si>
    <t>DUO capilar ADIOS FRIZZ - 300 ml x1 + DUO capilar ADIOS FRIZZ - 300 ml x1 + DUO capilar ADIOS FRIZZ - 300 ml x1</t>
  </si>
  <si>
    <t>TRANSITO REGIONAL</t>
  </si>
  <si>
    <t>63208609</t>
  </si>
  <si>
    <t>Valentina Medina</t>
  </si>
  <si>
    <t>V4002146420</t>
  </si>
  <si>
    <t>Carrera 51D #67-60 (medicancer)</t>
  </si>
  <si>
    <t>3043317994</t>
  </si>
  <si>
    <t>63208506</t>
  </si>
  <si>
    <t>Sirley Puentes Saavedra</t>
  </si>
  <si>
    <t>240044523916</t>
  </si>
  <si>
    <t>Carrera 73 # 163 /64 casa 30.interior 6 Conjunto Arboleda Real</t>
  </si>
  <si>
    <t>3157222235</t>
  </si>
  <si>
    <t>63208381</t>
  </si>
  <si>
    <t>Alejandra Carvajal</t>
  </si>
  <si>
    <t>240044500951</t>
  </si>
  <si>
    <t>VALLE DE SAN JUAN</t>
  </si>
  <si>
    <t>Cliente recoge pedido en oficina de Interrapidisimo en Valle De San Juan cliente recoge en esa oficina</t>
  </si>
  <si>
    <t>3006024032</t>
  </si>
  <si>
    <t>63208257</t>
  </si>
  <si>
    <t>Yurani Andrea Gallego Giraldo</t>
  </si>
  <si>
    <t>054014218840</t>
  </si>
  <si>
    <t>Kilómetro 7 Antigua vía Guarne, Barrio Santo Domingo Manantiales</t>
  </si>
  <si>
    <t>3104379217</t>
  </si>
  <si>
    <t>SHAMPOO ADIOS FRIZZ 450ML x1 + DUO capilar ADIOS FRIZZ - 500ml x1 + SHAMPOO ADIOS FRIZZ 450ML x1 + DUO capilar ADIOS FRIZZ - 500ml x1 + SHAMPOO ADIOS FRIZZ 450ML x1 + DUO capilar ADIOS FRIZZ - 500ml x1</t>
  </si>
  <si>
    <t>63208163</t>
  </si>
  <si>
    <t>Luz Estela Bolaños</t>
  </si>
  <si>
    <t>240044523922</t>
  </si>
  <si>
    <t>Cliente recoge pedido en oficina de Interrapidisimo en La Hormiga cliente recoge en esa oficina</t>
  </si>
  <si>
    <t>3218468142</t>
  </si>
  <si>
    <t>63208138</t>
  </si>
  <si>
    <t>Fabiola Camacho Rubiano</t>
  </si>
  <si>
    <t>240044501168</t>
  </si>
  <si>
    <t>Calle 54 #22-28 Coasmedas 4 dejar en portería, Barrio nuevo Sotomayor</t>
  </si>
  <si>
    <t>3112067943</t>
  </si>
  <si>
    <t>LLAMAR A ESTE NUMERO PARA LA ENTREGA 301 6872686</t>
  </si>
  <si>
    <t>63208026</t>
  </si>
  <si>
    <t>Esperanza Muñoz</t>
  </si>
  <si>
    <t>054014218847</t>
  </si>
  <si>
    <t>Calle 9b #48-19 piso 1 Barrio bretaña</t>
  </si>
  <si>
    <t>3150677533</t>
  </si>
  <si>
    <t>63207958</t>
  </si>
  <si>
    <t>Marta Cecilia Sanchez</t>
  </si>
  <si>
    <t>240044523929</t>
  </si>
  <si>
    <t>MONTECRISTO BOLIVAR</t>
  </si>
  <si>
    <t>Calle 2 #15-25 barrio Flor del Este</t>
  </si>
  <si>
    <t>3151112914</t>
  </si>
  <si>
    <t>63207621</t>
  </si>
  <si>
    <t>Leidy Diana Bolívar Padilla</t>
  </si>
  <si>
    <t>240044523940</t>
  </si>
  <si>
    <t>Calle 30 bis #33-30 barrio Barcelona</t>
  </si>
  <si>
    <t>3115009389</t>
  </si>
  <si>
    <t>63207192</t>
  </si>
  <si>
    <t>CANCELADO</t>
  </si>
  <si>
    <t>Diagonal 19 #95i-15. PRACO DIDACOL Fontibón</t>
  </si>
  <si>
    <t>63207154</t>
  </si>
  <si>
    <t>Yolanda Muñoz</t>
  </si>
  <si>
    <t>240044474446</t>
  </si>
  <si>
    <t>GUAYABAL DE SIQUIMA</t>
  </si>
  <si>
    <t>Cliente recoge pedido en oficina de Interrapidisimo en Guayabal De Siquima cliente recoge en esa oficina</t>
  </si>
  <si>
    <t>3222856125</t>
  </si>
  <si>
    <t>63207106</t>
  </si>
  <si>
    <t>Eddi Gómez</t>
  </si>
  <si>
    <t>024032290086</t>
  </si>
  <si>
    <t>Carrera 15 #8-48, Barrio San Bosco</t>
  </si>
  <si>
    <t>3185205926</t>
  </si>
  <si>
    <t>EN BODEGA DESTINO</t>
  </si>
  <si>
    <t>63207013</t>
  </si>
  <si>
    <t>Wilmer avendaño quintero</t>
  </si>
  <si>
    <t>240044474459</t>
  </si>
  <si>
    <t>ALEJANDRIA</t>
  </si>
  <si>
    <t>Cliente recoge pedido en oficina de Interrapidisimo en Alejandria cliente recoge en esa oficina</t>
  </si>
  <si>
    <t>3205390372</t>
  </si>
  <si>
    <t>63206923</t>
  </si>
  <si>
    <t>Consuelo Gonzalez</t>
  </si>
  <si>
    <t>240044474464</t>
  </si>
  <si>
    <t>Calle 54 # 77 C 67, barrio Los Colores, apto 101</t>
  </si>
  <si>
    <t>3173042440</t>
  </si>
  <si>
    <t>63206821</t>
  </si>
  <si>
    <t>Luz Acosta</t>
  </si>
  <si>
    <t>240044474473</t>
  </si>
  <si>
    <t>Carrera 24 #9-06, Centro</t>
  </si>
  <si>
    <t>3008160966</t>
  </si>
  <si>
    <t>63206668</t>
  </si>
  <si>
    <t>Luisa López</t>
  </si>
  <si>
    <t>024032290127</t>
  </si>
  <si>
    <t>Calle 52 #46-78 barrio Prado</t>
  </si>
  <si>
    <t>3127388268</t>
  </si>
  <si>
    <t>63206601</t>
  </si>
  <si>
    <t>Luz Mary valencia baez</t>
  </si>
  <si>
    <t>240044474486</t>
  </si>
  <si>
    <t>Carrera 3 #41 - 19 santa helena</t>
  </si>
  <si>
    <t>3165176605</t>
  </si>
  <si>
    <t>63206540</t>
  </si>
  <si>
    <t>Natalia ospino</t>
  </si>
  <si>
    <t>240044474496</t>
  </si>
  <si>
    <t>Carrera 154C #132-41 Suba Lisboa</t>
  </si>
  <si>
    <t>3013608425</t>
  </si>
  <si>
    <t>63206488</t>
  </si>
  <si>
    <t>Wendy Arias</t>
  </si>
  <si>
    <t>024032290162</t>
  </si>
  <si>
    <t>Carrera 1k#46-28, Ciudadela 20 de julio</t>
  </si>
  <si>
    <t>3244166860</t>
  </si>
  <si>
    <t>63206442</t>
  </si>
  <si>
    <t>Elida Navarro</t>
  </si>
  <si>
    <t>240044474505</t>
  </si>
  <si>
    <t>SUBIA</t>
  </si>
  <si>
    <t>Carrera 92 A #132B-07 villa Elisa Suba</t>
  </si>
  <si>
    <t>3203731809</t>
  </si>
  <si>
    <t>63206365</t>
  </si>
  <si>
    <t>Yudy Carrión</t>
  </si>
  <si>
    <t>240044474514</t>
  </si>
  <si>
    <t>FOMEQUE</t>
  </si>
  <si>
    <t>Cliente recoge pedido en oficina de Interrapidisimo en Fomeque cliente recoge en esa oficina</t>
  </si>
  <si>
    <t>3202782707</t>
  </si>
  <si>
    <t>63206273</t>
  </si>
  <si>
    <t>Estrella Katherine Gómez</t>
  </si>
  <si>
    <t>240044474523</t>
  </si>
  <si>
    <t>3202034171</t>
  </si>
  <si>
    <t>63206190</t>
  </si>
  <si>
    <t>Leidy Johana Beltrán Martinez</t>
  </si>
  <si>
    <t>024032290199</t>
  </si>
  <si>
    <t>CAICEDONIA</t>
  </si>
  <si>
    <t>Carrera10 # 8-14 Las Américas</t>
  </si>
  <si>
    <t>3019289967</t>
  </si>
  <si>
    <t>63206112</t>
  </si>
  <si>
    <t>Lina María Nieto</t>
  </si>
  <si>
    <t>240044474539</t>
  </si>
  <si>
    <t>PALERMO</t>
  </si>
  <si>
    <t>Cliente recoge pedido en oficina de Interrapidisimo en Palermo cliente recoge en esa oficina</t>
  </si>
  <si>
    <t>3203117310</t>
  </si>
  <si>
    <t>63205997</t>
  </si>
  <si>
    <t>Isabel Caro</t>
  </si>
  <si>
    <t>024032290221</t>
  </si>
  <si>
    <t>Calle 34b #2 este - 20 Villa Brasil</t>
  </si>
  <si>
    <t>3023414609</t>
  </si>
  <si>
    <t>63205955</t>
  </si>
  <si>
    <t>Maira Alejandra chimbi cusguen</t>
  </si>
  <si>
    <t>240044474549</t>
  </si>
  <si>
    <t>NIMAIMA</t>
  </si>
  <si>
    <t>Calle 4#012 Barrio urbanización las palmas</t>
  </si>
  <si>
    <t>3134937060</t>
  </si>
  <si>
    <t>63205921</t>
  </si>
  <si>
    <t>Pilar Guerrero</t>
  </si>
  <si>
    <t>240044474561</t>
  </si>
  <si>
    <t>Calle 73 a#76-06, antana del Lago</t>
  </si>
  <si>
    <t>3204660094</t>
  </si>
  <si>
    <t>63205884</t>
  </si>
  <si>
    <t>Magda liliana garzon alvarez</t>
  </si>
  <si>
    <t>240044474568</t>
  </si>
  <si>
    <t>YACOPI</t>
  </si>
  <si>
    <t>Cliente recoge pedido en oficina de Interrapidisimo en Yacopi cliente recoge en esa oficina</t>
  </si>
  <si>
    <t>3137739892</t>
  </si>
  <si>
    <t>63205822</t>
  </si>
  <si>
    <t>Leidy Zapata</t>
  </si>
  <si>
    <t>024032290238</t>
  </si>
  <si>
    <t>Calle 21 #81-27 cuarto piso Barrio París</t>
  </si>
  <si>
    <t>3142854750</t>
  </si>
  <si>
    <t>63205727</t>
  </si>
  <si>
    <t>Andrés Estrada Acosta</t>
  </si>
  <si>
    <t>024032290239</t>
  </si>
  <si>
    <t>TULUA</t>
  </si>
  <si>
    <t>Carrera 22a1#5a-15 barrio internacional</t>
  </si>
  <si>
    <t>3160415443</t>
  </si>
  <si>
    <t>63205426</t>
  </si>
  <si>
    <t>Jennifer Marcela Ruiz</t>
  </si>
  <si>
    <t>V4002146421</t>
  </si>
  <si>
    <t>Carrera 29a #74-71, Barrios Unidos</t>
  </si>
  <si>
    <t>3114975549</t>
  </si>
  <si>
    <t>63205208</t>
  </si>
  <si>
    <t>Ana Pérez</t>
  </si>
  <si>
    <t>240044474588</t>
  </si>
  <si>
    <t>Calle 3B # 57C-07 barrio lomas de granada</t>
  </si>
  <si>
    <t>3122077155</t>
  </si>
  <si>
    <t>63205015</t>
  </si>
  <si>
    <t>Mariana Navia Mena</t>
  </si>
  <si>
    <t>024032290241</t>
  </si>
  <si>
    <t>Carrera 22 #106-5 Interior 1109, Barrío Santo Domingo El Chispero</t>
  </si>
  <si>
    <t>3245922574</t>
  </si>
  <si>
    <t>63204773</t>
  </si>
  <si>
    <t>Yeraldin Agresot Arroyo</t>
  </si>
  <si>
    <t>240044474602</t>
  </si>
  <si>
    <t>SAN ONOFRE</t>
  </si>
  <si>
    <t>Calle 27b #29-70 Barrio la unión</t>
  </si>
  <si>
    <t>3117460106</t>
  </si>
  <si>
    <t>63204706</t>
  </si>
  <si>
    <t>Marle Pér</t>
  </si>
  <si>
    <t>024032290242</t>
  </si>
  <si>
    <t>Carrera 29A #7B- 91</t>
  </si>
  <si>
    <t>3014756179</t>
  </si>
  <si>
    <t>63204661</t>
  </si>
  <si>
    <t>Maria Ximena Chaves Alvarez</t>
  </si>
  <si>
    <t>240044474611</t>
  </si>
  <si>
    <t>Calle 14 #13-64 OFICINA INTERRAPIDISIMO</t>
  </si>
  <si>
    <t>3204046315</t>
  </si>
  <si>
    <t>63103154</t>
  </si>
  <si>
    <t>Teresa Sierra</t>
  </si>
  <si>
    <t>014155749508</t>
  </si>
  <si>
    <t>avenida 44B # 65-79 niquia camacol</t>
  </si>
  <si>
    <t>3234497674</t>
  </si>
  <si>
    <t>Beevana crema +Varicose veins x1 + Bee Venom BSWELL x1 + Beevana crema +Varicose veins x1 + Bee Venom BSWELL x1 + Beevana crema +Varicose veins x1 + Bee Venom BSWELL x1 + Beevana crema +Varicose veins x1 + Bee Venom BSWELL x1</t>
  </si>
  <si>
    <t>63103068</t>
  </si>
  <si>
    <t>Dalgi Torcoroma Sánchez Ibáñez</t>
  </si>
  <si>
    <t>240044413905</t>
  </si>
  <si>
    <t>OCAÑA</t>
  </si>
  <si>
    <t>Calle 6#48-56piso2, Santa Clara</t>
  </si>
  <si>
    <t>3217617954</t>
  </si>
  <si>
    <t>Cepillo Plancha Secador 2 en 1 Alisador x2 + Cepillo Plancha Secador 2 en 1 Alisador x2 + Cepillo Plancha Secador 2 en 1 Alisador x2 + Cepillo Plancha Secador 2 en 1 Alisador x2</t>
  </si>
  <si>
    <t>63103015</t>
  </si>
  <si>
    <t>Sandra Yulieth serpa Barrios</t>
  </si>
  <si>
    <t>240044413921</t>
  </si>
  <si>
    <t>MAJAGUAL</t>
  </si>
  <si>
    <t>Cliente recoge pedido en oficina de Interrapidisimo en Majagual cliente recoge en esa oficina</t>
  </si>
  <si>
    <t>3135393551</t>
  </si>
  <si>
    <t>Cepillo Plancha Secador 2 en 1 Alisador x1 + Cepillo Plancha Secador 2 en 1 Alisador x1 + Cepillo Plancha Secador 2 en 1 Alisador x1 + Cepillo Plancha Secador 2 en 1 Alisador x1</t>
  </si>
  <si>
    <t>63102973</t>
  </si>
  <si>
    <t>Ingrid Contreras</t>
  </si>
  <si>
    <t>240044413935</t>
  </si>
  <si>
    <t>GIRON</t>
  </si>
  <si>
    <t>manzana F casa 12 piso 2 mirador de San Juan</t>
  </si>
  <si>
    <t>3224263904</t>
  </si>
  <si>
    <t>63102905</t>
  </si>
  <si>
    <t>Leidy yurani segura</t>
  </si>
  <si>
    <t>240044413948</t>
  </si>
  <si>
    <t>Cliente recoge pedido en oficina de Interrapidisimo en Armenia (q) cliente recoge en esa oficina</t>
  </si>
  <si>
    <t>3222166179</t>
  </si>
  <si>
    <t>63102842</t>
  </si>
  <si>
    <t>Freddy Escobar</t>
  </si>
  <si>
    <t>240044413983</t>
  </si>
  <si>
    <t>PURISIMA</t>
  </si>
  <si>
    <t>Cliente recoge pedido en oficina de Interrapidisimo en  cliente recoge en esa oficina</t>
  </si>
  <si>
    <t>3005618844</t>
  </si>
  <si>
    <t>NUMERO ADICIONAL 3146681329</t>
  </si>
  <si>
    <t>63102758</t>
  </si>
  <si>
    <t>Luz Sara Villarreal Berrocal</t>
  </si>
  <si>
    <t>014155774944</t>
  </si>
  <si>
    <t>calle 35 #5-20 barrio Juan xxlll</t>
  </si>
  <si>
    <t>3137941954</t>
  </si>
  <si>
    <t>63102721</t>
  </si>
  <si>
    <t>David Enrique Urbaez Viloria</t>
  </si>
  <si>
    <t>240044413999</t>
  </si>
  <si>
    <t>AGUSTIN CODAZZI</t>
  </si>
  <si>
    <t>Cliente recoge pedido en oficina de Interrapidisimo en Agustin Codazzi cliente recoge en esa oficina</t>
  </si>
  <si>
    <t>3145698407</t>
  </si>
  <si>
    <t>63102669</t>
  </si>
  <si>
    <t>Marianela rojas</t>
  </si>
  <si>
    <t>240044414013</t>
  </si>
  <si>
    <t>SAN JERONIMO</t>
  </si>
  <si>
    <t>Cliente recoge pedido en oficina de Interrapidisimo en San Jeronimo cliente recoge en esa oficina</t>
  </si>
  <si>
    <t>3216390007</t>
  </si>
  <si>
    <t>63102620</t>
  </si>
  <si>
    <t>Nury Meza Camargo</t>
  </si>
  <si>
    <t>014155774952</t>
  </si>
  <si>
    <t>Calle 8 #9-32, Barrio Centro</t>
  </si>
  <si>
    <t>3015402140</t>
  </si>
  <si>
    <t>63102580</t>
  </si>
  <si>
    <t>Juan Carlos Velasquez</t>
  </si>
  <si>
    <t>014155774958</t>
  </si>
  <si>
    <t>Calle 32 #87a-78 Belen Las Mercedes parqueadero</t>
  </si>
  <si>
    <t>3113403485</t>
  </si>
  <si>
    <t>63102511</t>
  </si>
  <si>
    <t>Yolanda Pedroza de Arana</t>
  </si>
  <si>
    <t>014155774964</t>
  </si>
  <si>
    <t>ZARZAL</t>
  </si>
  <si>
    <t>Calle 12 # 10-65 barrio balvanera</t>
  </si>
  <si>
    <t>3224476587</t>
  </si>
  <si>
    <t>63102489</t>
  </si>
  <si>
    <t>Luz Vergara Martinez</t>
  </si>
  <si>
    <t>014155749512</t>
  </si>
  <si>
    <t>calle 58 B # 88-126 Interior 201 barrió pecebre parte alta</t>
  </si>
  <si>
    <t>3122207975</t>
  </si>
  <si>
    <t>Subiendo derecho por senderos de la ochenta</t>
  </si>
  <si>
    <t>63102468</t>
  </si>
  <si>
    <t>Eymer Pérez</t>
  </si>
  <si>
    <t>240044360596</t>
  </si>
  <si>
    <t>PUERRES</t>
  </si>
  <si>
    <t>OFICINA INTERRAPIDISIMO PUERRES NARIÑO</t>
  </si>
  <si>
    <t>3216267227</t>
  </si>
  <si>
    <t>CLIENTE RECLAMA EN OFICINA DE INTERRAPIDISIMO EN PUERRES NARIÑO UBICADA AL LADO DE LA ALCALDIA.</t>
  </si>
  <si>
    <t>Aceite de Batana x1 + Aceite de Batana x1 + Aceite de Batana x1 + Aceite de Batana x1</t>
  </si>
  <si>
    <t>63102387</t>
  </si>
  <si>
    <t>Rosalba Jiménez</t>
  </si>
  <si>
    <t>024032271782</t>
  </si>
  <si>
    <t>TURBACO B</t>
  </si>
  <si>
    <t>Calle 2 #20-35,Barrio el Recreo, Punto de referencia 5 casas después de la tienda El Castillo frente a un casa de 2 pisos con barrotes</t>
  </si>
  <si>
    <t>3183763996</t>
  </si>
  <si>
    <t>Truly Soft Serve + T. Glazed Donut 60ml x1 + Truly Soft Serve + T. Glazed Donut 60ml x1 + Truly Soft Serve + T. Glazed Donut 60ml x1 + Truly Soft Serve + T. Glazed Donut 60ml x1</t>
  </si>
  <si>
    <t>63102356</t>
  </si>
  <si>
    <t>Carolina Ceballes Losada</t>
  </si>
  <si>
    <t>240044362131</t>
  </si>
  <si>
    <t>GARZON</t>
  </si>
  <si>
    <t>Cliente recoge pedido en oficina de Interrapidisimo en Garzon cliente recoge en esa oficina</t>
  </si>
  <si>
    <t>3144275158</t>
  </si>
  <si>
    <t>63102326</t>
  </si>
  <si>
    <t>Adela Liliana del socorro diaz</t>
  </si>
  <si>
    <t>240044414097</t>
  </si>
  <si>
    <t>PUERTO RICO</t>
  </si>
  <si>
    <t>Oficina Interrapidisimo Puerto Rico</t>
  </si>
  <si>
    <t>3209515066</t>
  </si>
  <si>
    <t>ciente reclama en oficina Interrapidiismo Puerto Rico Caquetá</t>
  </si>
  <si>
    <t>63102303</t>
  </si>
  <si>
    <t>Sara Munive</t>
  </si>
  <si>
    <t>024032271783</t>
  </si>
  <si>
    <t>Carrera 11#9-22 apto 1 Centro</t>
  </si>
  <si>
    <t>3225627878</t>
  </si>
  <si>
    <t>Truly Soft Serve MINI 60ml x2 + Truly Soft Serve MINI 60ml x2 + Truly Soft Serve MINI 60ml x2 + Truly Soft Serve MINI 60ml x2</t>
  </si>
  <si>
    <t>OK</t>
  </si>
  <si>
    <t>63102291</t>
  </si>
  <si>
    <t>Yulitza Peña Fonseca</t>
  </si>
  <si>
    <t>240044362147</t>
  </si>
  <si>
    <t>Carrera 96 # 129 - 95 Barrio San Cayetano</t>
  </si>
  <si>
    <t>3118956608</t>
  </si>
  <si>
    <t>Barrio San Cayetano</t>
  </si>
  <si>
    <t>Aceite de Batana x2 + Aceite de Batana x2 + Aceite de Batana x2 + Aceite de Batana x2</t>
  </si>
  <si>
    <t>63102278</t>
  </si>
  <si>
    <t>Ana pinto</t>
  </si>
  <si>
    <t>240044362157</t>
  </si>
  <si>
    <t>FALAN</t>
  </si>
  <si>
    <t>Carrera 3 # 4-132, barrio Santa Bárbara</t>
  </si>
  <si>
    <t>3132743085</t>
  </si>
  <si>
    <t>63102258</t>
  </si>
  <si>
    <t>Maria diaz carretero</t>
  </si>
  <si>
    <t>240044364616</t>
  </si>
  <si>
    <t>SAN JUAN DEL CESAR</t>
  </si>
  <si>
    <t>Cliente recoge pedido en oficina de Interrapidisimo en San Juan Del Cesar cliente recoge en esa oficina</t>
  </si>
  <si>
    <t>3238130386</t>
  </si>
  <si>
    <t>63102192</t>
  </si>
  <si>
    <t>Cruz María Medrano Cardona</t>
  </si>
  <si>
    <t>240044364621</t>
  </si>
  <si>
    <t>Barrio obrero bloque 2 manzana 74 casa 4 al lado de la casa de 4 piso</t>
  </si>
  <si>
    <t>3207492699</t>
  </si>
  <si>
    <t>Truly Glazed Donut MINI 60ml x1 + Truly Glazed Donut MINI 60ml x1 + Truly Glazed Donut MINI 60ml x1 + Truly Glazed Donut MINI 60ml x1</t>
  </si>
  <si>
    <t>63102169</t>
  </si>
  <si>
    <t>Claudio Alzate</t>
  </si>
  <si>
    <t>OFICINA</t>
  </si>
  <si>
    <t>240044362168</t>
  </si>
  <si>
    <t>SAN JOSE DE PARE</t>
  </si>
  <si>
    <t>OFICINA INTERRAPIDISIMO SAN JOSE DE PARE</t>
  </si>
  <si>
    <t>3203916924</t>
  </si>
  <si>
    <t>CLIENTE RECLAMA EN OFICINA DE INTERRAPIDISIMO SAN JOSE DE PARE</t>
  </si>
  <si>
    <t>63102107</t>
  </si>
  <si>
    <t>Yarley Quiñonez</t>
  </si>
  <si>
    <t>014155749520</t>
  </si>
  <si>
    <t>Carrera 57 Calle 4sur apto 101,Barrio cascajal Buenaventura</t>
  </si>
  <si>
    <t>3107091242</t>
  </si>
  <si>
    <t>Bee Venom BSWELL x1 + Beevana crema dolores - 5 x1 + Beevana crema dolores - 5 x1 + Bee Venom BSWELL x1 + Beevana crema dolores - 5 x1 + Beevana crema dolores - 5 x1 + Bee Venom BSWELL x1 + Beevana crema dolores - 5 x1 + Beevana crema dolores - 5 x1 + Bee Venom BSWELL x1 + Beevana crema dolores - 5 x1 + Beevana crema dolores - 5 x1</t>
  </si>
  <si>
    <t>63102022</t>
  </si>
  <si>
    <t>Erika soto</t>
  </si>
  <si>
    <t>240044364626</t>
  </si>
  <si>
    <t>Barrio la acuarela manzana 2 casa 16</t>
  </si>
  <si>
    <t>3228695074</t>
  </si>
  <si>
    <t>63102009</t>
  </si>
  <si>
    <t>Edith Julieth Sánchez</t>
  </si>
  <si>
    <t>240044362181</t>
  </si>
  <si>
    <t>MERCADERES</t>
  </si>
  <si>
    <t>OFICINA INTERRAPIDISIMO MERCADERES CAUCA</t>
  </si>
  <si>
    <t>3014667166</t>
  </si>
  <si>
    <t>CLIENTE RECLAMA EN OFICINA DE INTERRAPIDISIMO DE MERCADERES</t>
  </si>
  <si>
    <t>63101957</t>
  </si>
  <si>
    <t>Lida paola Gutiérrez poveda</t>
  </si>
  <si>
    <t>240044364630</t>
  </si>
  <si>
    <t>Carrera 88d #37-40sur Campo hermoso localidad kennedy</t>
  </si>
  <si>
    <t>3164845184</t>
  </si>
  <si>
    <t>63101896</t>
  </si>
  <si>
    <t>Albeiro Pito Ramos</t>
  </si>
  <si>
    <t>240044362194</t>
  </si>
  <si>
    <t>CALDONO</t>
  </si>
  <si>
    <t>OFICINA INTERRAPIDISIMO CALDONO CAUCA</t>
  </si>
  <si>
    <t>3206914114</t>
  </si>
  <si>
    <t>CLIENTE RECLAMA PEDIDO EN CALDONO CAUCA</t>
  </si>
  <si>
    <t>63101791</t>
  </si>
  <si>
    <t>Yecenia Morelo</t>
  </si>
  <si>
    <t>240044364636</t>
  </si>
  <si>
    <t>Calle 14b #119A-76 Solticio etapa 4 Recodo fontibon</t>
  </si>
  <si>
    <t>3222020165</t>
  </si>
  <si>
    <t>63101768</t>
  </si>
  <si>
    <t>Leonardo Rodríguez Ramírez</t>
  </si>
  <si>
    <t>014155749527</t>
  </si>
  <si>
    <t>calle 61 a #119 c-29 (interior 201)</t>
  </si>
  <si>
    <t>3116325344</t>
  </si>
  <si>
    <t>Beevana crema dolores - 2 x1 + Bee Venom BSWELL x1 + Beevana crema dolores - 2 x1 + Bee Venom BSWELL x1 + Beevana crema dolores - 2 x1 + Bee Venom BSWELL x1 + Beevana crema dolores - 2 x1 + Bee Venom BSWELL x1</t>
  </si>
  <si>
    <t>63101720</t>
  </si>
  <si>
    <t>Luz angela Villalobos Contreras</t>
  </si>
  <si>
    <t>240044380143</t>
  </si>
  <si>
    <t>FACATATIVA</t>
  </si>
  <si>
    <t>Diagonal 6 #9b-33 Juan Pablo II</t>
  </si>
  <si>
    <t>3227901414</t>
  </si>
  <si>
    <t>DUO capilar ADIOS FRIZZ - 500ml x1 + DUO capilar ADIOS FRIZZ - 500ml x1 + DUO capilar ADIOS FRIZZ - 500ml x1 + DUO capilar ADIOS FRIZZ - 500ml x1</t>
  </si>
  <si>
    <t>63101675</t>
  </si>
  <si>
    <t>Luz Amanda Acevedo</t>
  </si>
  <si>
    <t>240044362212</t>
  </si>
  <si>
    <t>LANDAZURI</t>
  </si>
  <si>
    <t>OFICINA INTERRAPIDISIMO LANDAZURI</t>
  </si>
  <si>
    <t>3182624438</t>
  </si>
  <si>
    <t>CLIENTE RECLAMA EN OFICINA DE INTERRAPIDISIMO LANDAZURI SANTANDER</t>
  </si>
  <si>
    <t>63101672</t>
  </si>
  <si>
    <t>Idalia Armesto Lopez</t>
  </si>
  <si>
    <t>240044414131</t>
  </si>
  <si>
    <t>Calle 49 # 30 36 barrio palmira</t>
  </si>
  <si>
    <t>3117051165</t>
  </si>
  <si>
    <t>Torre olio apto 1404</t>
  </si>
  <si>
    <t>63101646</t>
  </si>
  <si>
    <t>Jhon Ramirez</t>
  </si>
  <si>
    <t>240044362225</t>
  </si>
  <si>
    <t>ZIPAQUIRA</t>
  </si>
  <si>
    <t>Calle 3 # 5a-09 Barandillas</t>
  </si>
  <si>
    <t>3005460698</t>
  </si>
  <si>
    <t>numeor adicional 3124180131</t>
  </si>
  <si>
    <t>63101639</t>
  </si>
  <si>
    <t>Rosalba Barbosa</t>
  </si>
  <si>
    <t>240044380172</t>
  </si>
  <si>
    <t>Calle 104 #7 a 14, el porvenir</t>
  </si>
  <si>
    <t>3114675452</t>
  </si>
  <si>
    <t>DUO capilar ADIOS FRIZZ - 300 ml x1 + DUO capilar ADIOS FRIZZ - 300 ml x1 + DUO capilar ADIOS FRIZZ - 300 ml x1 + DUO capilar ADIOS FRIZZ - 300 ml x1</t>
  </si>
  <si>
    <t>63101526</t>
  </si>
  <si>
    <t>María López</t>
  </si>
  <si>
    <t>240044362231</t>
  </si>
  <si>
    <t>Carrera 2 #79-18 sur Conjunto senderos de la sierra barrio compostela</t>
  </si>
  <si>
    <t>3224463646</t>
  </si>
  <si>
    <t>63101498</t>
  </si>
  <si>
    <t>Ana Milena López</t>
  </si>
  <si>
    <t>240044380215</t>
  </si>
  <si>
    <t>LA TEBAIDA</t>
  </si>
  <si>
    <t>Manzana E casa 11 Barrio la estación, Frente ala bomba terpel</t>
  </si>
  <si>
    <t>3144445851</t>
  </si>
  <si>
    <t>63101456</t>
  </si>
  <si>
    <t>aleidis ortis</t>
  </si>
  <si>
    <t>014155749537</t>
  </si>
  <si>
    <t>calle 14 c #22-30</t>
  </si>
  <si>
    <t>3115063224</t>
  </si>
  <si>
    <t>63101445</t>
  </si>
  <si>
    <t>Francia Elena Pérez Perea</t>
  </si>
  <si>
    <t>240044414184</t>
  </si>
  <si>
    <t>Calle 16 # 16-78, Barrio Luis A. Robles</t>
  </si>
  <si>
    <t>3185911984</t>
  </si>
  <si>
    <t>63101429</t>
  </si>
  <si>
    <t>Rocio Hoyos</t>
  </si>
  <si>
    <t>054014216185</t>
  </si>
  <si>
    <t>calle 12 sur # 52-37, Guayabal, Barrio casa linda</t>
  </si>
  <si>
    <t>3182845090</t>
  </si>
  <si>
    <t>63101417</t>
  </si>
  <si>
    <t>Alberto Tapias Mejía</t>
  </si>
  <si>
    <t>240044362253</t>
  </si>
  <si>
    <t>Carrera 33C # 35A - 14 Barrio el Salvador</t>
  </si>
  <si>
    <t>3135685623</t>
  </si>
  <si>
    <t>Barrio El Salvador</t>
  </si>
  <si>
    <t>63101319</t>
  </si>
  <si>
    <t>Nancy Guerrero Rivera</t>
  </si>
  <si>
    <t>240044380260</t>
  </si>
  <si>
    <t>Calle 9 #7-171 barrio el topon local comercial</t>
  </si>
  <si>
    <t>3204507123</t>
  </si>
  <si>
    <t>63101224</t>
  </si>
  <si>
    <t>Nataly Zapata</t>
  </si>
  <si>
    <t>054014216187</t>
  </si>
  <si>
    <t>ITAGUI</t>
  </si>
  <si>
    <t>Cra 49# 45-26 piso 1 óptica premium Itagüí ( a un costado de la clínica Antioquia)</t>
  </si>
  <si>
    <t>3104175125</t>
  </si>
  <si>
    <t>63101186</t>
  </si>
  <si>
    <t>ELIZABETH ANGEL CARDONA</t>
  </si>
  <si>
    <t>240044380314</t>
  </si>
  <si>
    <t>Calle 65 I Sur #77I-52. Bosa San Pablo 2o. Sector</t>
  </si>
  <si>
    <t>3227863787</t>
  </si>
  <si>
    <t>63101131</t>
  </si>
  <si>
    <t>Gloría María Arias Gutiérrez</t>
  </si>
  <si>
    <t>240044380352</t>
  </si>
  <si>
    <t>NORCASIA</t>
  </si>
  <si>
    <t>Carrera 5 # 9-17 Barrio las brisas</t>
  </si>
  <si>
    <t>3207445265</t>
  </si>
  <si>
    <t>63101107</t>
  </si>
  <si>
    <t>Nercy alvarado</t>
  </si>
  <si>
    <t>240044380384</t>
  </si>
  <si>
    <t>SAN JOSE DE ISNOS</t>
  </si>
  <si>
    <t>Cliente recoge pedido en oficina de Interrapidisimo en San Jose De Isnos cliente recoge en esa oficina</t>
  </si>
  <si>
    <t>3212954541</t>
  </si>
  <si>
    <t>SHAMPOO ADIOS FRIZZ 450ML x1 + DUO capilar ADIOS FRIZZ - 300 ml x1 + SHAMPOO ADIOS FRIZZ 450ML x1 + DUO capilar ADIOS FRIZZ - 300 ml x1 + SHAMPOO ADIOS FRIZZ 450ML x1 + DUO capilar ADIOS FRIZZ - 300 ml x1 + SHAMPOO ADIOS FRIZZ 450ML x1 + DUO capilar ADIOS FRIZZ - 300 ml x1</t>
  </si>
  <si>
    <t>63100935</t>
  </si>
  <si>
    <t>Marcilis Molinares</t>
  </si>
  <si>
    <t>240044380420</t>
  </si>
  <si>
    <t>Cliente recoge pedido en oficina de Interrapidisimo en Montecristo Bolivarcliente recoge en esa oficina</t>
  </si>
  <si>
    <t>3206587145</t>
  </si>
  <si>
    <t>DUO capilar ADIOS FRIZZ - 500ml x2 + DUO capilar ADIOS FRIZZ - 500ml x2 + DUO capilar ADIOS FRIZZ - 500ml x2 + DUO capilar ADIOS FRIZZ - 500ml x2</t>
  </si>
  <si>
    <t>63100495</t>
  </si>
  <si>
    <t>Ana No</t>
  </si>
  <si>
    <t>240044364644</t>
  </si>
  <si>
    <t>SEGOVIA</t>
  </si>
  <si>
    <t>Cliente recoge pedido en oficina de Interrapidisimo en Segovia cliente recoge en esa oficina</t>
  </si>
  <si>
    <t>3147694265</t>
  </si>
  <si>
    <t>Quemador de grasa Lemme Burn 60 cáps x2 + Quemador de grasa Lemme Burn 60 cáps x2 + Quemador de grasa Lemme Burn 60 cáps x2 + Quemador de grasa Lemme Burn 60 cáps x2</t>
  </si>
  <si>
    <t>63100278</t>
  </si>
  <si>
    <t>Marta Rincón</t>
  </si>
  <si>
    <t>240044364660</t>
  </si>
  <si>
    <t>Barrio Zuldemaida Manzana 16A #5</t>
  </si>
  <si>
    <t>3248102012</t>
  </si>
  <si>
    <t>63100190</t>
  </si>
  <si>
    <t>Katty De Los Reyes polo</t>
  </si>
  <si>
    <t>024032271794</t>
  </si>
  <si>
    <t>Calle 10a #12-29, Barrio villa carmen</t>
  </si>
  <si>
    <t>3022133194</t>
  </si>
  <si>
    <t>Quemador de grasa Lemme Burn 60 cáps x1 + Quemador de grasa Lemme Burn 60 cáps x1 + Quemador de grasa Lemme Burn 60 cáps x1 + Quemador de grasa Lemme Burn 60 cáps x1</t>
  </si>
  <si>
    <t>63099874</t>
  </si>
  <si>
    <t>Mildred Yulieth Cortes</t>
  </si>
  <si>
    <t>240044364675</t>
  </si>
  <si>
    <t>CHIQUINQUIRA</t>
  </si>
  <si>
    <t>Carrera 5c #3-14 barrio luis Carlos</t>
  </si>
  <si>
    <t>3138986879</t>
  </si>
  <si>
    <t>63099343</t>
  </si>
  <si>
    <t>Sandy Suárez</t>
  </si>
  <si>
    <t>024032271798</t>
  </si>
  <si>
    <t>Calle 78 #6-225, Portal del picacho Casa 26</t>
  </si>
  <si>
    <t>3118048873</t>
  </si>
  <si>
    <t>63099152</t>
  </si>
  <si>
    <t>Ana Feliza</t>
  </si>
  <si>
    <t>240044364696</t>
  </si>
  <si>
    <t>Cliente recoge pedido en oficina de Interrapidisimo en Tumaco / AV ESTUDIANTES cliente recoge en esa oficina</t>
  </si>
  <si>
    <t>3155064849</t>
  </si>
  <si>
    <t>63098590</t>
  </si>
  <si>
    <t>José Angel Manjarrez</t>
  </si>
  <si>
    <t>240044364708</t>
  </si>
  <si>
    <t>VALLEDUPAR</t>
  </si>
  <si>
    <t>Carrera 4c #24 -06 Candelaria sur</t>
  </si>
  <si>
    <t>3012532061</t>
  </si>
  <si>
    <t>63098523</t>
  </si>
  <si>
    <t>Alba Marina Moreno</t>
  </si>
  <si>
    <t>240044364719</t>
  </si>
  <si>
    <t>SOGAMOSO</t>
  </si>
  <si>
    <t>Carrera 23 #16-20 1er piso Villa hermosa sogamoso</t>
  </si>
  <si>
    <t>3138456137</t>
  </si>
  <si>
    <t>63098347</t>
  </si>
  <si>
    <t>Berkys Mendoza</t>
  </si>
  <si>
    <t>024032271803</t>
  </si>
  <si>
    <t>Carrera 104A #35-12 apto 202, San José de los campanos</t>
  </si>
  <si>
    <t>3182736386</t>
  </si>
  <si>
    <t>RECIBEMaría Navarro, 3217643991</t>
  </si>
  <si>
    <t>63098059</t>
  </si>
  <si>
    <t>Diana Carbonell Jimenez</t>
  </si>
  <si>
    <t>024032271805</t>
  </si>
  <si>
    <t>Carrera 43 #93-73 Edificio sol 93 apartamento 307 Tabor</t>
  </si>
  <si>
    <t>3206088596</t>
  </si>
  <si>
    <t>63097799</t>
  </si>
  <si>
    <t>Yohana Ramirez</t>
  </si>
  <si>
    <t>240044364801</t>
  </si>
  <si>
    <t>Barrio San Martin Carrera 15 con 99, toda la avenida</t>
  </si>
  <si>
    <t>3146293693</t>
  </si>
  <si>
    <t>63097744</t>
  </si>
  <si>
    <t>Helen Morales</t>
  </si>
  <si>
    <t>240044364820</t>
  </si>
  <si>
    <t>Calle 27A sur #22-21 Fronteras del milenio</t>
  </si>
  <si>
    <t>3125055107</t>
  </si>
  <si>
    <t>63097619</t>
  </si>
  <si>
    <t>Gloria Yaneth Guevara</t>
  </si>
  <si>
    <t>024032271809</t>
  </si>
  <si>
    <t>Carrera 24# 42-39 piso 1, Asturias</t>
  </si>
  <si>
    <t>3173469371</t>
  </si>
  <si>
    <t>63097367</t>
  </si>
  <si>
    <t>Myriam López</t>
  </si>
  <si>
    <t>240044364905</t>
  </si>
  <si>
    <t>Carrera 89bis a #72b-40sur torre 26 apt 501, Bosa villas del progreso</t>
  </si>
  <si>
    <t>3103561071</t>
  </si>
  <si>
    <t>63097282</t>
  </si>
  <si>
    <t>Milena Ochos</t>
  </si>
  <si>
    <t>240044364949</t>
  </si>
  <si>
    <t>Carrera 84 #74-52, Barrio soledad norte</t>
  </si>
  <si>
    <t>3202323119</t>
  </si>
  <si>
    <t>63096815</t>
  </si>
  <si>
    <t>Pedro Luis Gutierrez Cantor</t>
  </si>
  <si>
    <t>240044365036</t>
  </si>
  <si>
    <t>Calle 14 #28B-29 ALAMOS</t>
  </si>
  <si>
    <t>3214766543</t>
  </si>
  <si>
    <t>63096626</t>
  </si>
  <si>
    <t>Zuleima Perdomo</t>
  </si>
  <si>
    <t>240044377516</t>
  </si>
  <si>
    <t>Carrera 78f #57c 09 sur roma</t>
  </si>
  <si>
    <t>3008728736</t>
  </si>
  <si>
    <t>63096504</t>
  </si>
  <si>
    <t>Claudia Marcela Ruiz Montoya</t>
  </si>
  <si>
    <t>240044365105</t>
  </si>
  <si>
    <t>ANDES</t>
  </si>
  <si>
    <t>Diagonal 53#50-134</t>
  </si>
  <si>
    <t>3147160133</t>
  </si>
  <si>
    <t>63096307</t>
  </si>
  <si>
    <t>Diana Cordoba</t>
  </si>
  <si>
    <t>024032271819</t>
  </si>
  <si>
    <t>MONTELIBANO</t>
  </si>
  <si>
    <t>Calle 13 #1B-20, Barrio muchajua</t>
  </si>
  <si>
    <t>3001847578</t>
  </si>
  <si>
    <t>63096058</t>
  </si>
  <si>
    <t>Zuleny Gutiérrez</t>
  </si>
  <si>
    <t>024032271820</t>
  </si>
  <si>
    <t>Calle 48dd#99e-111, int205 Barrio Juan 23 2 piso casa escalas blancas con negro</t>
  </si>
  <si>
    <t>3163156846</t>
  </si>
  <si>
    <t>la quiebra arriba del centro de salud de la quiebra a mano izquierda primer callejón 2 piso casa escalas blancas con negro</t>
  </si>
  <si>
    <t>63095750</t>
  </si>
  <si>
    <t>Doris León Mantilla</t>
  </si>
  <si>
    <t>240044365164</t>
  </si>
  <si>
    <t>PIEDECUESTA</t>
  </si>
  <si>
    <t>Calle 4 #4a - 30, Barrio Albania, casa de tres pisos azul</t>
  </si>
  <si>
    <t>3166404512</t>
  </si>
  <si>
    <t>63095670</t>
  </si>
  <si>
    <t>Susana No</t>
  </si>
  <si>
    <t>240044365183</t>
  </si>
  <si>
    <t>Carrera 41 #46-42 torre ipacaray apto 701 cabecera del llano diagonal a la unad de cabecera</t>
  </si>
  <si>
    <t>3144072018</t>
  </si>
  <si>
    <t>63095550</t>
  </si>
  <si>
    <t>Paola Torres</t>
  </si>
  <si>
    <t>024032271827</t>
  </si>
  <si>
    <t>Carrera 84 #32A-73</t>
  </si>
  <si>
    <t>3015069614</t>
  </si>
  <si>
    <t>63095232</t>
  </si>
  <si>
    <t>Fernanda Gonzalez</t>
  </si>
  <si>
    <t>240044365195</t>
  </si>
  <si>
    <t>Manzana 6 casa 11, Vivisol por santisabel</t>
  </si>
  <si>
    <t>3116834519</t>
  </si>
  <si>
    <t>63094960</t>
  </si>
  <si>
    <t>Leicy arroyo García</t>
  </si>
  <si>
    <t>240044365209</t>
  </si>
  <si>
    <t>LURUACO</t>
  </si>
  <si>
    <t>Cliente recoge pedido en oficina de Interrapidisimo en Luruaco cliente recoge en esa oficina</t>
  </si>
  <si>
    <t>3218239083</t>
  </si>
  <si>
    <t>63094757</t>
  </si>
  <si>
    <t>yency Lorena Cervera ríos</t>
  </si>
  <si>
    <t>DEVOLUCION</t>
  </si>
  <si>
    <t>240044365223</t>
  </si>
  <si>
    <t>CLIENTE RECOGE EN OFICINA INTERRAPIDISIMO Calle 5 #46 - 83 Local 101,</t>
  </si>
  <si>
    <t>3174470392</t>
  </si>
  <si>
    <t>63094473</t>
  </si>
  <si>
    <t>Yina Paola Pérez díaz</t>
  </si>
  <si>
    <t>240044365239</t>
  </si>
  <si>
    <t>COROZAL</t>
  </si>
  <si>
    <t>Cliente recoge pedido en oficina de Interrapidisimo en Corozal cliente recoge en esa oficina</t>
  </si>
  <si>
    <t>3145102941</t>
  </si>
  <si>
    <t>63094348</t>
  </si>
  <si>
    <t>Francy Camelo</t>
  </si>
  <si>
    <t>240044365249</t>
  </si>
  <si>
    <t>Calle 36 C Sur # 11 - 53 Este, Colegio Los Alpes Sede C, Barrio La Macarena</t>
  </si>
  <si>
    <t>3132388600</t>
  </si>
  <si>
    <t>63094295</t>
  </si>
  <si>
    <t>Maria Andrea Cruz Rodríguez</t>
  </si>
  <si>
    <t>240044365253</t>
  </si>
  <si>
    <t>Carrera 20 #11 bis-35, Café de la 20</t>
  </si>
  <si>
    <t>3116726569</t>
  </si>
  <si>
    <t>63094250</t>
  </si>
  <si>
    <t>Orianis Amaya</t>
  </si>
  <si>
    <t>240044365265</t>
  </si>
  <si>
    <t>BECERRIL</t>
  </si>
  <si>
    <t>Calle 17 #14-35, Barrio Marilis Hinojosa</t>
  </si>
  <si>
    <t>3104230780</t>
  </si>
  <si>
    <t>63094158</t>
  </si>
  <si>
    <t>Liceth gutierrez</t>
  </si>
  <si>
    <t>240044365270</t>
  </si>
  <si>
    <t>GRANADA (M)</t>
  </si>
  <si>
    <t>Cliente recoge pedido en oficina de Interrapidisimo en Granada (m) cliente recoge en esa oficina</t>
  </si>
  <si>
    <t>3222373008</t>
  </si>
  <si>
    <t>63093977</t>
  </si>
  <si>
    <t>Sandra Castrillón</t>
  </si>
  <si>
    <t>024032271842</t>
  </si>
  <si>
    <t>Carrera 22b #4b-26, Barrio Villa del sol</t>
  </si>
  <si>
    <t>3147107774</t>
  </si>
  <si>
    <t>63093854</t>
  </si>
  <si>
    <t>Frenyely Palmar</t>
  </si>
  <si>
    <t>240044365276</t>
  </si>
  <si>
    <t>LA APARTADA Y LA FRONTERA</t>
  </si>
  <si>
    <t>Cliente recoge pedido en oficina de Interrapidisimo en La Apartada Y La Frontera cliente recoge en esa oficina</t>
  </si>
  <si>
    <t>3015271176</t>
  </si>
  <si>
    <t>63011052</t>
  </si>
  <si>
    <t>Fernanda Vásquez Gurrute</t>
  </si>
  <si>
    <t>240044340920</t>
  </si>
  <si>
    <t>Calle 72N #2-22, Villa del Norte - Segundo piso</t>
  </si>
  <si>
    <t>3133390185</t>
  </si>
  <si>
    <t>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</t>
  </si>
  <si>
    <t>63010994</t>
  </si>
  <si>
    <t>Michell Romero</t>
  </si>
  <si>
    <t>014155735708</t>
  </si>
  <si>
    <t>Calle 5A #12-38 edificio Cristina apt 6 A Castillogrande</t>
  </si>
  <si>
    <t>3027870965</t>
  </si>
  <si>
    <t>Bee Venom BSWELL x1 + Beevana crema dolores - 1 x1 + Bee Venom BSWELL x1 + Beevana crema dolores - 1 x1 + Bee Venom BSWELL x1 + Beevana crema dolores - 1 x1 + Bee Venom BSWELL x1 + Beevana crema dolores - 1 x1 + Bee Venom BSWELL x1 + Beevana crema dolores - 1 x1</t>
  </si>
  <si>
    <t>63010910</t>
  </si>
  <si>
    <t>Calle 5A no 12-38 edificio Cristina apt 6 A, Castillo grande</t>
  </si>
  <si>
    <t>63010774</t>
  </si>
  <si>
    <t>Xiomara Fernández Rodríguez</t>
  </si>
  <si>
    <t>054014216195</t>
  </si>
  <si>
    <t>Manzana D lote 8 barrio los colores margen izquierda</t>
  </si>
  <si>
    <t>3215041483</t>
  </si>
  <si>
    <t>DUO capilar ADIOS FRIZZ - 500ml x1 + DUO capilar ADIOS FRIZZ - 500ml x1 + DUO capilar ADIOS FRIZZ - 500ml x1 + DUO capilar ADIOS FRIZZ - 500ml x1 + DUO capilar ADIOS FRIZZ - 500ml x1</t>
  </si>
  <si>
    <t>63010760</t>
  </si>
  <si>
    <t>Ludy Illera Dodino</t>
  </si>
  <si>
    <t>240044391128</t>
  </si>
  <si>
    <t>AGUACHICA</t>
  </si>
  <si>
    <t>Carrera 26 # 6 - 25, Barrio La Unión, Calle Confa Cesar</t>
  </si>
  <si>
    <t>3125919779</t>
  </si>
  <si>
    <t>Quemador de grasa Lemme Burn 60 cáps x1 + Quemador de grasa Lemme Burn 60 cáps x1 + Quemador de grasa Lemme Burn 60 cáps x1 + Quemador de grasa Lemme Burn 60 cáps x1 + Quemador de grasa Lemme Burn 60 cáps x1</t>
  </si>
  <si>
    <t>63010754</t>
  </si>
  <si>
    <t>Stefany García</t>
  </si>
  <si>
    <t>240044391208</t>
  </si>
  <si>
    <t>transversal 18n bis a #69a-74 Juan Pablo segundo, ciudad bolivar</t>
  </si>
  <si>
    <t>3204345939</t>
  </si>
  <si>
    <t>Serum despigmentante SMOOTH LEGEND 60ml x1 + Serum despigmentante SMOOTH LEGEND 60ml x1 + Serum despigmentante SMOOTH LEGEND 60ml x1 + Serum despigmentante SMOOTH LEGEND 60ml x1 + Serum despigmentante SMOOTH LEGEND 60ml x1</t>
  </si>
  <si>
    <t>63010716</t>
  </si>
  <si>
    <t>Angelinmar monterola</t>
  </si>
  <si>
    <t>014155739635</t>
  </si>
  <si>
    <t>carrera 41 e 3 # 51-65 En el vallado</t>
  </si>
  <si>
    <t>3180069423</t>
  </si>
  <si>
    <t>Cepillo Plancha Secador 2 en 1 Alisador x1 + Cepillo Plancha Secador 2 en 1 Alisador x1 + Cepillo Plancha Secador 2 en 1 Alisador x1 + Cepillo Plancha Secador 2 en 1 Alisador x1 + Cepillo Plancha Secador 2 en 1 Alisador x1</t>
  </si>
  <si>
    <t>63006860</t>
  </si>
  <si>
    <t>Catalina Jaramillo</t>
  </si>
  <si>
    <t>240044391362</t>
  </si>
  <si>
    <t>Carrera 27 # 40 sur - 90 Barrio La mina</t>
  </si>
  <si>
    <t>3226071459</t>
  </si>
  <si>
    <t>Barrio La Mina - Envigado
Location Google Maps: 6.15787027,-75.58169244</t>
  </si>
  <si>
    <t>63006034</t>
  </si>
  <si>
    <t>Marianella Gallom</t>
  </si>
  <si>
    <t>240044346265</t>
  </si>
  <si>
    <t>SOLEDAD</t>
  </si>
  <si>
    <t>Transversal 1a 2 # 70b - 26</t>
  </si>
  <si>
    <t>3026693865</t>
  </si>
  <si>
    <t>Cepillo Plancha Secador 2 en 1 Alisador x2 + Cepillo Plancha Secador 2 en 1 Alisador x2 + Cepillo Plancha Secador 2 en 1 Alisador x2 + Cepillo Plancha Secador 2 en 1 Alisador x2 + Cepillo Plancha Secador 2 en 1 Alisador x2</t>
  </si>
  <si>
    <t>63005594</t>
  </si>
  <si>
    <t>Diana Gomez</t>
  </si>
  <si>
    <t>240044346298</t>
  </si>
  <si>
    <t>Calle 63 A # 22-34 conjunto loma linda</t>
  </si>
  <si>
    <t>3057146571</t>
  </si>
  <si>
    <t>Torre 5 apto 403 Barrio el Diamante</t>
  </si>
  <si>
    <t>63005323</t>
  </si>
  <si>
    <t>Leydy Riveros</t>
  </si>
  <si>
    <t>240044391424</t>
  </si>
  <si>
    <t>Calle 16 # 49 - 37 Florida</t>
  </si>
  <si>
    <t>3147312800</t>
  </si>
  <si>
    <t>Quemador de grasa Lemme Burn 60 cáps x2 + Quemador de grasa Lemme Burn 60 cáps x2 + Quemador de grasa Lemme Burn 60 cáps x2 + Quemador de grasa Lemme Burn 60 cáps x2 + Quemador de grasa Lemme Burn 60 cáps x2</t>
  </si>
  <si>
    <t>63004973</t>
  </si>
  <si>
    <t>Manuela Díaz</t>
  </si>
  <si>
    <t>014155739798</t>
  </si>
  <si>
    <t>Transversal 54 # 34 A lote 125 Sector el gallo Cartagena</t>
  </si>
  <si>
    <t>3206393513</t>
  </si>
  <si>
    <t>Sector el gallo Cartagena</t>
  </si>
  <si>
    <t>63004878</t>
  </si>
  <si>
    <t>Martha Yolanda Florez</t>
  </si>
  <si>
    <t>240044391443</t>
  </si>
  <si>
    <t>Cra 10 # 9 - 17 barrio san miguel</t>
  </si>
  <si>
    <t>3027303196</t>
  </si>
  <si>
    <t>63004517</t>
  </si>
  <si>
    <t>Alba Pardo</t>
  </si>
  <si>
    <t>054014216196</t>
  </si>
  <si>
    <t>Carrera 22 #8c - 67 Barrio el guamo,, Centro comercial unico " local 20"</t>
  </si>
  <si>
    <t>3125978365</t>
  </si>
  <si>
    <t>Shampoo Anticaspa - 450 x1 + Shampoo Post Alisado - 500 x1 + DUO Anticaída Capilar (Shampoo Cebolla ) - 450 ml x1 + SHAMPOO ADIOS FRIZZ 450ML x1 + Tratamiento TERMOPROTECTOR Capilar - 500 x1 + Tratamiento Alimento Para el Cabello - 500 x1 + DUO RESCATE Capilar (Cabello Maltratado) - 500 ml x1 + Serum Sellador Capilar x60ml x1 + Shampoo Anticaspa - 450 x1 + Shampoo Post Alisado - 500 x1 + DUO Anticaída Capilar (Shampoo Cebolla ) - 450 ml x1 + SHAMPOO ADIOS FRIZZ 450ML x1 + Tratamiento TERMOPROTECTOR Capilar - 500 x1 + Tratamiento Alimento Para el Cabello - 500 x1 + DUO RESCATE Capilar (Cabello Maltratado) - 500 ml x1 + Serum Sellador Capilar x60ml x1 + Shampoo Anticaspa - 450 x1 + Shampoo Post Alisado - 500 x1 + DUO Anticaída Capilar (Shampoo Cebolla ) - 450 ml x1 + SHAMPOO ADIOS FRIZZ 450ML x1 + Tratamiento TERMOPROTECTOR Capilar - 500 x1 + Tratamiento Alimento Para el Cabello - 500 x1 + DUO RESCATE Capilar (Cabello Maltratado) - 500 ml x1 + Serum Sellador Capilar x60ml x1 + Shampoo Anticaspa - 450 x1 + Shampoo Post Alisado - 500 x1 + DUO Anticaída Capilar (Shampoo Cebolla ) - 450 ml x1 + SHAMPOO ADIOS FRIZZ 450ML x1 + Tratamiento TERMOPROTECTOR Capilar - 500 x1 + Tratamiento Alimento Para el Cabello - 500 x1 + DUO RESCATE Capilar (Cabello Maltratado) - 500 ml x1 + Serum Sellador Capilar x60ml x1 + Shampoo Anticaspa - 450 x1 + Shampoo Post Alisado - 500 x1 + DUO Anticaída Capilar (Shampoo Cebolla ) - 450 ml x1 + SHAMPOO ADIOS FRIZZ 450ML x1 + Tratamiento TERMOPROTECTOR Capilar - 500 x1 + Tratamiento Alimento Para el Cabello - 500 x1 + DUO RESCATE Capilar (Cabello Maltratado) - 500 ml x1 + Serum Sellador Capilar x60ml x1</t>
  </si>
  <si>
    <t>63004226</t>
  </si>
  <si>
    <t>Jose Adrian Fernandez Tovar</t>
  </si>
  <si>
    <t>240044346370</t>
  </si>
  <si>
    <t>OFICINA INTERRAPIDISIMO ROVIRA</t>
  </si>
  <si>
    <t>3134745262</t>
  </si>
  <si>
    <t>CLIENTE RECLAMA EN OFICINA DE INTERRAPIDISIMO ROVIRA</t>
  </si>
  <si>
    <t>63003096</t>
  </si>
  <si>
    <t>Yohenis Ospino</t>
  </si>
  <si>
    <t>240044346752</t>
  </si>
  <si>
    <t>oficina central interrapidisimo de majagual sucre cliente recoge en esa oficina de interrapidisimo</t>
  </si>
  <si>
    <t>3215314769</t>
  </si>
  <si>
    <t>63002606</t>
  </si>
  <si>
    <t>Marcial José valiente Hurtado</t>
  </si>
  <si>
    <t>014155739999</t>
  </si>
  <si>
    <t>Barrio el bicentenario manzana 72 lote 85 frente al parque</t>
  </si>
  <si>
    <t>3187939611</t>
  </si>
  <si>
    <t>63002551</t>
  </si>
  <si>
    <t>Emillanith Arenas Diaz</t>
  </si>
  <si>
    <t>240044346759</t>
  </si>
  <si>
    <t>Oficina de Interrapidísimo Carrera 7 #3-31</t>
  </si>
  <si>
    <t>3124712008</t>
  </si>
  <si>
    <t>63002535</t>
  </si>
  <si>
    <t>Katerine Jimenez Palomino</t>
  </si>
  <si>
    <t>240044346761</t>
  </si>
  <si>
    <t>YOTOCO</t>
  </si>
  <si>
    <t>Cliente recoge pedido en oficina de Interrapidisimo en Yotoco cliente recoge en esa oficina</t>
  </si>
  <si>
    <t>3181891417</t>
  </si>
  <si>
    <t>NUMERO ADICIONAL 3147860057</t>
  </si>
  <si>
    <t>63002508</t>
  </si>
  <si>
    <t>Yusmary Fernandez</t>
  </si>
  <si>
    <t>240044346764</t>
  </si>
  <si>
    <t>Carrera 11 #28-139, barrio Bojacá</t>
  </si>
  <si>
    <t>3107761297</t>
  </si>
  <si>
    <t>63002271</t>
  </si>
  <si>
    <t>Verena Morelo Cardozo</t>
  </si>
  <si>
    <t>024032273651</t>
  </si>
  <si>
    <t>Manzana M lote 4, 2 piso, barrio paseo de Bolívar Urbanización la Española</t>
  </si>
  <si>
    <t>3018679365</t>
  </si>
  <si>
    <t>Truly Soft Serve + T. Glazed Donut 60ml x1 + Truly Soft Serve + T. Glazed Donut 60ml x1 + Truly Soft Serve + T. Glazed Donut 60ml x1 + Truly Soft Serve + T. Glazed Donut 60ml x1 + Truly Soft Serve + T. Glazed Donut 60ml x1</t>
  </si>
  <si>
    <t>63002043</t>
  </si>
  <si>
    <t>Margoth Soto López</t>
  </si>
  <si>
    <t>240044346765</t>
  </si>
  <si>
    <t>MANIZALES</t>
  </si>
  <si>
    <t>Carrera 3C # 48E 107, Bosques del Norte</t>
  </si>
  <si>
    <t>3145434706</t>
  </si>
  <si>
    <t>63001997</t>
  </si>
  <si>
    <t>Esperanza ruiz</t>
  </si>
  <si>
    <t>240044391617</t>
  </si>
  <si>
    <t>Carrera 23 #35 -14 barrio 15 de octubre</t>
  </si>
  <si>
    <t>3125822209</t>
  </si>
  <si>
    <t>63001964</t>
  </si>
  <si>
    <t>Carolina Sierra</t>
  </si>
  <si>
    <t>024032273655</t>
  </si>
  <si>
    <t>Barrio Villa Paula carrera 57 # 51-51 edificio Salvatore, apto 301</t>
  </si>
  <si>
    <t>3053216929</t>
  </si>
  <si>
    <t>numero adicional 3052648141 *LLAMAR ANTES*</t>
  </si>
  <si>
    <t>Truly Glazed Donut MINI 60ml x1 + Truly Soft Serve + T. Glazed Donut 60ml x1 + Truly Glazed Donut MINI 60ml x1 + Truly Soft Serve + T. Glazed Donut 60ml x1 + Truly Glazed Donut MINI 60ml x1 + Truly Soft Serve + T. Glazed Donut 60ml x1 + Truly Glazed Donut MINI 60ml x1 + Truly Soft Serve + T. Glazed Donut 60ml x1 + Truly Glazed Donut MINI 60ml x1 + Truly Soft Serve + T. Glazed Donut 60ml x1</t>
  </si>
  <si>
    <t>63001910</t>
  </si>
  <si>
    <t>Luz Yaneth cerda pajaro</t>
  </si>
  <si>
    <t>240044346774</t>
  </si>
  <si>
    <t>Cliente recoge pedido en oficina de Interrapidisimo en Turbaco B cliente recoge en esa oficina</t>
  </si>
  <si>
    <t>3508333948</t>
  </si>
  <si>
    <t>63001837</t>
  </si>
  <si>
    <t>Luz Elena Sánchez mesa</t>
  </si>
  <si>
    <t>240044346776</t>
  </si>
  <si>
    <t>FREDONIA</t>
  </si>
  <si>
    <t>Cliente recoge pedido en oficina de Interrapidisimo en Fredonia cliente recoge en esa oficina</t>
  </si>
  <si>
    <t>3136986340</t>
  </si>
  <si>
    <t>63001736</t>
  </si>
  <si>
    <t>Beyadira Briceño</t>
  </si>
  <si>
    <t>240044346781</t>
  </si>
  <si>
    <t>Carrera 52 #68-31, Restaurante</t>
  </si>
  <si>
    <t>3102955086</t>
  </si>
  <si>
    <t>DIGITALIZADA</t>
  </si>
  <si>
    <t>63001644</t>
  </si>
  <si>
    <t>Alejandra Marin</t>
  </si>
  <si>
    <t>240044346782</t>
  </si>
  <si>
    <t>Calle 28 b bis #16bis-15, los pinos</t>
  </si>
  <si>
    <t>3204378030</t>
  </si>
  <si>
    <t>63001466</t>
  </si>
  <si>
    <t>Gilma Inés Duarte</t>
  </si>
  <si>
    <t>024032273657</t>
  </si>
  <si>
    <t>Calle 62D # 110-77, Robledo las margaritas,</t>
  </si>
  <si>
    <t>3127439839</t>
  </si>
  <si>
    <t>COMBO SERUM UNICORN - SMOOTH LEGEND 60ml x1 + COMBO SERUM UNICORN - SMOOTH LEGEND 60ml x1 + COMBO SERUM UNICORN - SMOOTH LEGEND 60ml x1 + COMBO SERUM UNICORN - SMOOTH LEGEND 60ml x1 + COMBO SERUM UNICORN - SMOOTH LEGEND 60ml x1</t>
  </si>
  <si>
    <t>63001317</t>
  </si>
  <si>
    <t>Esther No</t>
  </si>
  <si>
    <t>240044380800</t>
  </si>
  <si>
    <t>Manzana 13g lote 1 palmeras parte alta</t>
  </si>
  <si>
    <t>310249722</t>
  </si>
  <si>
    <t>63001274</t>
  </si>
  <si>
    <t>Jose cortes</t>
  </si>
  <si>
    <t>024032273659</t>
  </si>
  <si>
    <t>Calle 72bis #4an-02, Barrio guaduales por la entrada de floraria</t>
  </si>
  <si>
    <t>3023216107</t>
  </si>
  <si>
    <t>63001083</t>
  </si>
  <si>
    <t>Adriana Vasquez</t>
  </si>
  <si>
    <t>240044391642</t>
  </si>
  <si>
    <t>FRONTINO</t>
  </si>
  <si>
    <t>Carrera 36 #17-35, maguruma</t>
  </si>
  <si>
    <t>3105936997</t>
  </si>
  <si>
    <t>63000986</t>
  </si>
  <si>
    <t>Cristian Losada</t>
  </si>
  <si>
    <t>240044391658</t>
  </si>
  <si>
    <t>Diagonal 23C bis #88b-10 barrio Modelia apartamento 402 torre 12</t>
  </si>
  <si>
    <t>3142670637</t>
  </si>
  <si>
    <t>63000876</t>
  </si>
  <si>
    <t>Carmen Madariaga Diaz</t>
  </si>
  <si>
    <t>240044380843</t>
  </si>
  <si>
    <t>SAN BERNARDO DEL VIENTO</t>
  </si>
  <si>
    <t>Calle 5 #8-43, Barrio La Cruz</t>
  </si>
  <si>
    <t>3226847568</t>
  </si>
  <si>
    <t>63000822</t>
  </si>
  <si>
    <t>Leydi andrea tuquerres</t>
  </si>
  <si>
    <t>014155735769</t>
  </si>
  <si>
    <t>Carrera 28J # 34-57, Barrio villa nueva</t>
  </si>
  <si>
    <t>3059428436</t>
  </si>
  <si>
    <t>Aceite de Batana x2 + Aceite de Batana x2 + Aceite de Batana x2 + Aceite de Batana x2 + Aceite de Batana x2</t>
  </si>
  <si>
    <t>63000797</t>
  </si>
  <si>
    <t>Lucy castaño</t>
  </si>
  <si>
    <t>240044391672</t>
  </si>
  <si>
    <t>PITALITO</t>
  </si>
  <si>
    <t>Calle 2#25-88 Barrio las acacias</t>
  </si>
  <si>
    <t>3235317840</t>
  </si>
  <si>
    <t>63000482</t>
  </si>
  <si>
    <t>Diana Cristina López Becerra</t>
  </si>
  <si>
    <t>240044391689</t>
  </si>
  <si>
    <t>SAN AGUSTIN</t>
  </si>
  <si>
    <t>Cliente recoge pedido en oficina de Interrapidisimo en San Agustin cliente recoge en esa oficina</t>
  </si>
  <si>
    <t>3212311090</t>
  </si>
  <si>
    <t>63000346</t>
  </si>
  <si>
    <t>Naslit Andrea García rojas</t>
  </si>
  <si>
    <t>024032273661</t>
  </si>
  <si>
    <t>Aeropuerto internacional Rafael Nuñez entrada principal, Barrio crespo</t>
  </si>
  <si>
    <t>3213701504</t>
  </si>
  <si>
    <t>¡LLAMAR ANTES DE REALIZAR LA ENTREGA!</t>
  </si>
  <si>
    <t>63000236</t>
  </si>
  <si>
    <t>Marisol Bustos</t>
  </si>
  <si>
    <t>240044380884</t>
  </si>
  <si>
    <t>Carrera 11 G este #77 40 sur, barrio Doña Liliana, localidad de Usme</t>
  </si>
  <si>
    <t>3203837423</t>
  </si>
  <si>
    <t>63000208</t>
  </si>
  <si>
    <t>Diana Pérez</t>
  </si>
  <si>
    <t>240044391701</t>
  </si>
  <si>
    <t>manzana b casa 19 segunda etapa nuevo conbeyma</t>
  </si>
  <si>
    <t>3143379131</t>
  </si>
  <si>
    <t>63000188</t>
  </si>
  <si>
    <t>Patricia Cano</t>
  </si>
  <si>
    <t>024032273666</t>
  </si>
  <si>
    <t>Carrera 102 #43-25 san javier</t>
  </si>
  <si>
    <t>3108267821</t>
  </si>
  <si>
    <t>63000086</t>
  </si>
  <si>
    <t>Jenny Caterine Gómez Preciado</t>
  </si>
  <si>
    <t>240044391718</t>
  </si>
  <si>
    <t>Carrera 37 a #25-18 Barrio El Recuerdo</t>
  </si>
  <si>
    <t>3106785924</t>
  </si>
  <si>
    <t>62999971</t>
  </si>
  <si>
    <t>Alexandra Arias</t>
  </si>
  <si>
    <t>024032273670</t>
  </si>
  <si>
    <t>VILLANUEVA</t>
  </si>
  <si>
    <t>Carrera 9A #17A barrio Hormigueral</t>
  </si>
  <si>
    <t>3014706605</t>
  </si>
  <si>
    <t>62999503</t>
  </si>
  <si>
    <t>María de las nieves arias ospina</t>
  </si>
  <si>
    <t>240044391737</t>
  </si>
  <si>
    <t>LA CEJA</t>
  </si>
  <si>
    <t>Calle 22 B # 25 - 31 aprt401, Balcones de la circunvalar</t>
  </si>
  <si>
    <t>3117091434</t>
  </si>
  <si>
    <t>62999417</t>
  </si>
  <si>
    <t>Maira vergara</t>
  </si>
  <si>
    <t>024032273672</t>
  </si>
  <si>
    <t>Manzana 16 lote 3, republica de panama</t>
  </si>
  <si>
    <t>3118134163</t>
  </si>
  <si>
    <t>62999357</t>
  </si>
  <si>
    <t>María Nubia Cuellar Cabrera</t>
  </si>
  <si>
    <t>240044391758</t>
  </si>
  <si>
    <t>Carrera 1 #10-07,  OFICINA INTERRAPIDISIMO, CLIENTE RECOGE EN ESA OFICINA</t>
  </si>
  <si>
    <t>3204810580</t>
  </si>
  <si>
    <t>62999182</t>
  </si>
  <si>
    <t>Yury Pelayo</t>
  </si>
  <si>
    <t>240044391777</t>
  </si>
  <si>
    <t>Calle 35 #19-21 Barrio portal del llano</t>
  </si>
  <si>
    <t>3132508803</t>
  </si>
  <si>
    <t>62999016</t>
  </si>
  <si>
    <t>Lina Marcela Piedrahita Restrepo</t>
  </si>
  <si>
    <t>024032273678</t>
  </si>
  <si>
    <t>Calle 24 # 55-83 Ap 203 Edificio San Juan de la Cabañita</t>
  </si>
  <si>
    <t>3108245233</t>
  </si>
  <si>
    <t>ENTREGAR EN HORAS DE LA MAÑANA</t>
  </si>
  <si>
    <t>62998943</t>
  </si>
  <si>
    <t>Nelly carabali</t>
  </si>
  <si>
    <t>014155735779</t>
  </si>
  <si>
    <t>CARRERA 86 #6-26 barrio mayapan</t>
  </si>
  <si>
    <t>3146633512</t>
  </si>
  <si>
    <t>62998939</t>
  </si>
  <si>
    <t>Elizabeth no</t>
  </si>
  <si>
    <t>240044391815</t>
  </si>
  <si>
    <t>Manzana D 3 casa 5 torcoroma3</t>
  </si>
  <si>
    <t>3125716918</t>
  </si>
  <si>
    <t>62998846</t>
  </si>
  <si>
    <t>Andris Vasquez</t>
  </si>
  <si>
    <t>024032273679</t>
  </si>
  <si>
    <t>BAYUNCA</t>
  </si>
  <si>
    <t>Calle 16 #17-11 Barrio el sinay por el Rincón ballenato</t>
  </si>
  <si>
    <t>3216691897</t>
  </si>
  <si>
    <t>62998694</t>
  </si>
  <si>
    <t>Yuleima Barros del Toro</t>
  </si>
  <si>
    <t>054014216198</t>
  </si>
  <si>
    <t>FONSECA</t>
  </si>
  <si>
    <t>Calle 6 # 21-04 barrio Gómez Daza</t>
  </si>
  <si>
    <t>3004619183</t>
  </si>
  <si>
    <t>62998608</t>
  </si>
  <si>
    <t>yanubis cuello</t>
  </si>
  <si>
    <t>240044380933</t>
  </si>
  <si>
    <t>EL BAGRE</t>
  </si>
  <si>
    <t>Carrera 34 #48-18 barrio el porvenir</t>
  </si>
  <si>
    <t>3232842002</t>
  </si>
  <si>
    <t>62998578</t>
  </si>
  <si>
    <t>Yazmiraidy Olivera</t>
  </si>
  <si>
    <t>240044341968</t>
  </si>
  <si>
    <t>carrera 30 #34-15 parte baja de los rosales</t>
  </si>
  <si>
    <t>3137802436</t>
  </si>
  <si>
    <t>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</t>
  </si>
  <si>
    <t>62998570</t>
  </si>
  <si>
    <t>Martha gallardo</t>
  </si>
  <si>
    <t>240044380963</t>
  </si>
  <si>
    <t>Calle 12A #7a 21 Barrio santa Ana</t>
  </si>
  <si>
    <t>3135580304</t>
  </si>
  <si>
    <t>DUO capilar ADIOS FRIZZ - 300 ml x1 + DUO capilar ADIOS FRIZZ - 300 ml x1 + DUO capilar ADIOS FRIZZ - 300 ml x1 + DUO capilar ADIOS FRIZZ - 300 ml x1 + DUO capilar ADIOS FRIZZ - 300 ml x1</t>
  </si>
  <si>
    <t>62998547</t>
  </si>
  <si>
    <t>Yeleika Loaiza Ibarra</t>
  </si>
  <si>
    <t>054014216199</t>
  </si>
  <si>
    <t>Calle 28 # 12c -15</t>
  </si>
  <si>
    <t>3054308736</t>
  </si>
  <si>
    <t>62998230</t>
  </si>
  <si>
    <t>Viky Alejandra Mora</t>
  </si>
  <si>
    <t>240044381020</t>
  </si>
  <si>
    <t>GUACARI</t>
  </si>
  <si>
    <t>Cliente recoge pedido en oficina de Interrapidisimo en Guacari cliente recoge en esa oficina</t>
  </si>
  <si>
    <t>3236727924</t>
  </si>
  <si>
    <t>62998134</t>
  </si>
  <si>
    <t>María Emilio Cruz</t>
  </si>
  <si>
    <t>054014216201</t>
  </si>
  <si>
    <t>ROLDANILLO</t>
  </si>
  <si>
    <t>Carrera 7 b# 5-08 El portal Salida dovio</t>
  </si>
  <si>
    <t>3144855337</t>
  </si>
  <si>
    <t>62998057</t>
  </si>
  <si>
    <t>Yulie Jaramillo</t>
  </si>
  <si>
    <t>014155735785</t>
  </si>
  <si>
    <t>Calle 6 Oeste # 4 Oeste-310, Apto 901A, Edificio Montefiori, Barrio Aguacatal</t>
  </si>
  <si>
    <t>3136552425</t>
  </si>
  <si>
    <t>numero adicional 3242159972</t>
  </si>
  <si>
    <t>Varicose veins crema para varices (2) x1 + Bee Venom BSWELL x1 + Varicose veins crema para varices (2) x1 + Bee Venom BSWELL x1 + Varicose veins crema para varices (2) x1 + Bee Venom BSWELL x1 + Varicose veins crema para varices (2) x1 + Bee Venom BSWELL x1 + Varicose veins crema para varices (2) x1 + Bee Venom BSWELL x1</t>
  </si>
  <si>
    <t>62998038</t>
  </si>
  <si>
    <t>Paola Castro</t>
  </si>
  <si>
    <t>240044381055</t>
  </si>
  <si>
    <t>GUEPSA</t>
  </si>
  <si>
    <t>Cliente recoge pedido en oficina de Interrapidisimo en Guepsa cliente recoge en esa oficina</t>
  </si>
  <si>
    <t>3144484447</t>
  </si>
  <si>
    <t>62997965</t>
  </si>
  <si>
    <t>Suleyma Palacio</t>
  </si>
  <si>
    <t>240044381084</t>
  </si>
  <si>
    <t>Calle 23 Villa Clara 4k-63, apto 101</t>
  </si>
  <si>
    <t>3124387330</t>
  </si>
  <si>
    <t>62997812</t>
  </si>
  <si>
    <t>Sandra Carmona</t>
  </si>
  <si>
    <t>054014216207</t>
  </si>
  <si>
    <t>calle 10 # 14-90 condominio el saman casa 12</t>
  </si>
  <si>
    <t>3104013361</t>
  </si>
  <si>
    <t>62997799</t>
  </si>
  <si>
    <t>Luz Marina Pineda Aguirre</t>
  </si>
  <si>
    <t>240044341989</t>
  </si>
  <si>
    <t>SANTA ROSA DE CABAL</t>
  </si>
  <si>
    <t>Calle 13 #12-14, Centro</t>
  </si>
  <si>
    <t>3162519651</t>
  </si>
  <si>
    <t>ARCHIVADA</t>
  </si>
  <si>
    <t>62997740</t>
  </si>
  <si>
    <t>Oscar Andes olis cadena</t>
  </si>
  <si>
    <t>240044381127</t>
  </si>
  <si>
    <t>PURIFICACION</t>
  </si>
  <si>
    <t>manzana E casa 12 villa de las palmas</t>
  </si>
  <si>
    <t>3212312390</t>
  </si>
  <si>
    <t>62997637</t>
  </si>
  <si>
    <t>Patricia Salas</t>
  </si>
  <si>
    <t>240044381153</t>
  </si>
  <si>
    <t>CALLE 16 #7B-32 LOCAL, TIERRA LINDA</t>
  </si>
  <si>
    <t>3115389528</t>
  </si>
  <si>
    <t>DEVOLUCIÓN RATIFICADA</t>
  </si>
  <si>
    <t>62997591</t>
  </si>
  <si>
    <t>Liviana Rada Marquez</t>
  </si>
  <si>
    <t>240044381212</t>
  </si>
  <si>
    <t>Carrera 15 BIS #18-49 apto 202 barrio la favorita</t>
  </si>
  <si>
    <t>3208732754</t>
  </si>
  <si>
    <t>62997576</t>
  </si>
  <si>
    <t>Carmen días herrera</t>
  </si>
  <si>
    <t>240044341996</t>
  </si>
  <si>
    <t>Cliente recoge pedido en oficina de Interrapidisimo en La Loma cliente recoge en esa oficina</t>
  </si>
  <si>
    <t>3122802017</t>
  </si>
  <si>
    <t>62997543</t>
  </si>
  <si>
    <t>Yeni Brun Payares</t>
  </si>
  <si>
    <t>240044381234</t>
  </si>
  <si>
    <t>Calle 52 #38A-20, Barrio Previvienda</t>
  </si>
  <si>
    <t>3143728254</t>
  </si>
  <si>
    <t>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</t>
  </si>
  <si>
    <t>62997483</t>
  </si>
  <si>
    <t>Cecilia Sandoval</t>
  </si>
  <si>
    <t>240044341998</t>
  </si>
  <si>
    <t>Carrera 3 B # 49-59 sur Barrio Diana Turbay Primer piso</t>
  </si>
  <si>
    <t>3143671895</t>
  </si>
  <si>
    <t>Varicose veins crema para varices x2 + Bee Venom BSWELL x1 + Varicose veins crema para varices x2 + Bee Venom BSWELL x1 + Varicose veins crema para varices x2 + Bee Venom BSWELL x1 + Varicose veins crema para varices x2 + Bee Venom BSWELL x1 + Varicose veins crema para varices x2 + Bee Venom BSWELL x1</t>
  </si>
  <si>
    <t>62997358</t>
  </si>
  <si>
    <t>Maria isabel corrales</t>
  </si>
  <si>
    <t>240044381260</t>
  </si>
  <si>
    <t>ANSERMA</t>
  </si>
  <si>
    <t>Cliente recoge pedido en oficina de Interrapidisimo en Anserma cliente recoge en esa oficina</t>
  </si>
  <si>
    <t>3113286076</t>
  </si>
  <si>
    <t>62997278</t>
  </si>
  <si>
    <t>sindy valero</t>
  </si>
  <si>
    <t>240044381284</t>
  </si>
  <si>
    <t>Calle 16 #11-21 toledo plata parte baja</t>
  </si>
  <si>
    <t>3224582280</t>
  </si>
  <si>
    <t>62997190</t>
  </si>
  <si>
    <t>Gissell Paola Sánchez villadiego</t>
  </si>
  <si>
    <t>054014216217</t>
  </si>
  <si>
    <t>Carrera 22 #40B-26</t>
  </si>
  <si>
    <t>3022639065</t>
  </si>
  <si>
    <t>62986102</t>
  </si>
  <si>
    <t>Rosa edilia parada gelvez</t>
  </si>
  <si>
    <t>240044342833</t>
  </si>
  <si>
    <t>Cliente recoge pedido en oficina de Interrapidisimo en Pamplona cliente recoge en esa oficina</t>
  </si>
  <si>
    <t>3157614424</t>
  </si>
  <si>
    <t>62985868</t>
  </si>
  <si>
    <t>Estela Mejia</t>
  </si>
  <si>
    <t>014155735882</t>
  </si>
  <si>
    <t>Calle 14 J # 34-05, Riohacha.</t>
  </si>
  <si>
    <t>3006291260</t>
  </si>
  <si>
    <t>62985607</t>
  </si>
  <si>
    <t>Sandra Paola Galviz Díaz</t>
  </si>
  <si>
    <t>240044342852</t>
  </si>
  <si>
    <t>Manzana 16 casa 4 barrio álamos</t>
  </si>
  <si>
    <t>3138457105</t>
  </si>
  <si>
    <t>62984446</t>
  </si>
  <si>
    <t>María Aguilar</t>
  </si>
  <si>
    <t>240044342870</t>
  </si>
  <si>
    <t>FORTUL</t>
  </si>
  <si>
    <t>Cliente recoge pedido en oficina de Interrapidisimo en Fortul cliente recoge en esa oficina</t>
  </si>
  <si>
    <t>3123309558</t>
  </si>
  <si>
    <t>62981554</t>
  </si>
  <si>
    <t>Paola salcedo</t>
  </si>
  <si>
    <t>024032273834</t>
  </si>
  <si>
    <t>Calle 42c sur #40-21, Barrio el amparo</t>
  </si>
  <si>
    <t>3016673129</t>
  </si>
  <si>
    <t>62941832</t>
  </si>
  <si>
    <t>Angélica Angélica</t>
  </si>
  <si>
    <t>240044381454</t>
  </si>
  <si>
    <t>carrera 49#48-49 calle Real</t>
  </si>
  <si>
    <t>3106803106</t>
  </si>
  <si>
    <t>62934813</t>
  </si>
  <si>
    <t>JULIA VALENCIA</t>
  </si>
  <si>
    <t>024032266095</t>
  </si>
  <si>
    <t>Calle 9 #6-32, COMUNA 3, Edificio palacio de san francisco</t>
  </si>
  <si>
    <t>3208461648</t>
  </si>
  <si>
    <t>62934485</t>
  </si>
  <si>
    <t>Paola Salcedo</t>
  </si>
  <si>
    <t>Calle 42c sur 40#21, Barrio el amparo</t>
  </si>
  <si>
    <t>RECHAZADO</t>
  </si>
  <si>
    <t>62915532</t>
  </si>
  <si>
    <t>Dolly Rodriguez</t>
  </si>
  <si>
    <t>240044300987</t>
  </si>
  <si>
    <t>Calle 27 bis # 12 F - 45 sur sur</t>
  </si>
  <si>
    <t>3174096215</t>
  </si>
  <si>
    <t>Quemador de grasa Lemme Burn 60 cáps x2 + Quemador de grasa Lemme Burn 60 cáps x2 + Quemador de grasa Lemme Burn 60 cáps x2 + Quemador de grasa Lemme Burn 60 cáps x2 + Quemador de grasa Lemme Burn 60 cáps x2 + Quemador de grasa Lemme Burn 60 cáps x2</t>
  </si>
  <si>
    <t>62915181</t>
  </si>
  <si>
    <t>Lorena de la cruz</t>
  </si>
  <si>
    <t>240044301031</t>
  </si>
  <si>
    <t>PASTO</t>
  </si>
  <si>
    <t>Oficina interrapidicimo san Lorenzo Barrio virgen de patima cliente recoge en esa oficina de interrapidisimo</t>
  </si>
  <si>
    <t>3116039294</t>
  </si>
  <si>
    <t>Truly Soft Serve + T. Glazed Donut 60ml x1 + Truly Soft Serve + T. Glazed Donut 60ml x1 + Truly Soft Serve + T. Glazed Donut 60ml x1 + Truly Soft Serve + T. Glazed Donut 60ml x1 + Truly Soft Serve + T. Glazed Donut 60ml x1 + Truly Soft Serve + T. Glazed Donut 60ml x1</t>
  </si>
  <si>
    <t>62914623</t>
  </si>
  <si>
    <t>Mariela angulo</t>
  </si>
  <si>
    <t>240044301106</t>
  </si>
  <si>
    <t>Cliente recoge pedido en oficina de Interrapidisimo en Tumaco cliente recoge en esa oficina</t>
  </si>
  <si>
    <t>3206475460</t>
  </si>
  <si>
    <t>62914552</t>
  </si>
  <si>
    <t>Sandra Salas</t>
  </si>
  <si>
    <t>240044301137</t>
  </si>
  <si>
    <t>VIOTA</t>
  </si>
  <si>
    <t>OFICINA INTERRAPIDISIMO VIOTA</t>
  </si>
  <si>
    <t>3249858908</t>
  </si>
  <si>
    <t>CLIENTE RECLAMA EN OFICINA NTERRAPIDISIMO VIOTA</t>
  </si>
  <si>
    <t>Quemador de grasa Lemme Burn 60 cáps x1 + Quemador de grasa Lemme Burn 60 cáps x1 + Quemador de grasa Lemme Burn 60 cáps x1 + Quemador de grasa Lemme Burn 60 cáps x1 + Quemador de grasa Lemme Burn 60 cáps x1 + Quemador de grasa Lemme Burn 60 cáps x1</t>
  </si>
  <si>
    <t>62914549</t>
  </si>
  <si>
    <t>Miriam Marín</t>
  </si>
  <si>
    <t>024032265339</t>
  </si>
  <si>
    <t>carrera 74 #44-57 Florida nueva</t>
  </si>
  <si>
    <t>3133903085</t>
  </si>
  <si>
    <t>62914341</t>
  </si>
  <si>
    <t>Lizzeth Prada</t>
  </si>
  <si>
    <t>240044302513</t>
  </si>
  <si>
    <t>Cra. 101 #82-57, Engativá</t>
  </si>
  <si>
    <t>3054534767</t>
  </si>
  <si>
    <t>62914166</t>
  </si>
  <si>
    <t>July García</t>
  </si>
  <si>
    <t>240044302528</t>
  </si>
  <si>
    <t>Carrera 109a #136b -56 Suba Tibabuyes</t>
  </si>
  <si>
    <t>3112103212</t>
  </si>
  <si>
    <t>62914138</t>
  </si>
  <si>
    <t>Yenifer López López</t>
  </si>
  <si>
    <t>240044309875</t>
  </si>
  <si>
    <t>BALBOA (C)</t>
  </si>
  <si>
    <t>Cliente recoge pedido en oficina de Interrapidisimo en Balboa (c)  cliente recoge en esa oficina</t>
  </si>
  <si>
    <t>3147313839</t>
  </si>
  <si>
    <t>DUO capilar ADIOS FRIZZ - 500ml x1 + DUO capilar ADIOS FRIZZ - 500ml x1 + DUO capilar ADIOS FRIZZ - 500ml x1 + DUO capilar ADIOS FRIZZ - 500ml x1 + DUO capilar ADIOS FRIZZ - 500ml x1 + DUO capilar ADIOS FRIZZ - 500ml x1</t>
  </si>
  <si>
    <t>62914116</t>
  </si>
  <si>
    <t>YURIANNY ALEXANDRA LUCAS BENÍTEZ</t>
  </si>
  <si>
    <t>240044302540</t>
  </si>
  <si>
    <t>CALLE 35 #27-32, Armenia</t>
  </si>
  <si>
    <t>3013646297</t>
  </si>
  <si>
    <t>Truly Glazed Donut MINI 60ml x1 + Truly Glazed Donut MINI 60ml x1 + Truly Glazed Donut MINI 60ml x1 + Truly Glazed Donut MINI 60ml x1 + Truly Glazed Donut MINI 60ml x1 + Truly Glazed Donut MINI 60ml x1</t>
  </si>
  <si>
    <t>62914061</t>
  </si>
  <si>
    <t>Aura Tenorio</t>
  </si>
  <si>
    <t>240044311502</t>
  </si>
  <si>
    <t>B/ unión victoria Entrada antiguo divino niño Casa # 96 mecatos Yaz</t>
  </si>
  <si>
    <t>3127108963</t>
  </si>
  <si>
    <t>B/ unión victoria - Entrada antiguo divino niño - Casa # 96 mecatos Yaz</t>
  </si>
  <si>
    <t>Cepillo Plancha Secador 2 en 1 Alisador x2 + Cepillo Plancha Secador 2 en 1 Alisador x2 + Cepillo Plancha Secador 2 en 1 Alisador x2 + Cepillo Plancha Secador 2 en 1 Alisador x2 + Cepillo Plancha Secador 2 en 1 Alisador x2 + Cepillo Plancha Secador 2 en 1 Alisador x2</t>
  </si>
  <si>
    <t>62914025</t>
  </si>
  <si>
    <t>Milena Miranda Florián</t>
  </si>
  <si>
    <t>240044309885</t>
  </si>
  <si>
    <t>EL BANCO</t>
  </si>
  <si>
    <t>Cliente recoge pedido en oficina de Interrapidisimo en El Banco cliente recoge en esa oficina</t>
  </si>
  <si>
    <t>3026374862</t>
  </si>
  <si>
    <t>DUO capilar ADIOS FRIZZ - 300 ml x1 + DUO capilar ADIOS FRIZZ - 300 ml x1 + DUO capilar ADIOS FRIZZ - 300 ml x1 + DUO capilar ADIOS FRIZZ - 300 ml x1 + DUO capilar ADIOS FRIZZ - 300 ml x1 + DUO capilar ADIOS FRIZZ - 300 ml x1</t>
  </si>
  <si>
    <t>62913992</t>
  </si>
  <si>
    <t>Paula Andrea Jaramillo</t>
  </si>
  <si>
    <t>240044302559</t>
  </si>
  <si>
    <t>Carrera 9 # 8-25 barrio Alfonso Meneses</t>
  </si>
  <si>
    <t>3107549560</t>
  </si>
  <si>
    <t>62913851</t>
  </si>
  <si>
    <t>Gloria Correa</t>
  </si>
  <si>
    <t>054014214520</t>
  </si>
  <si>
    <t>Carrera 74 # 2 -79 barrio farallones</t>
  </si>
  <si>
    <t>3158189160</t>
  </si>
  <si>
    <t>62913765</t>
  </si>
  <si>
    <t>Patricia Paredes</t>
  </si>
  <si>
    <t>240044302569</t>
  </si>
  <si>
    <t>Calle 23#18-78, Barrio la paz</t>
  </si>
  <si>
    <t>3206808687</t>
  </si>
  <si>
    <t>62913715</t>
  </si>
  <si>
    <t>Lucy Ordóñez</t>
  </si>
  <si>
    <t>240044309900</t>
  </si>
  <si>
    <t>SOPO</t>
  </si>
  <si>
    <t>Cliente recoge pedido en oficina de Interrapidisimo en Sopo cliente recoge en esa oficina</t>
  </si>
  <si>
    <t>3202460158</t>
  </si>
  <si>
    <t>GUIA_ANULADA</t>
  </si>
  <si>
    <t>62913540</t>
  </si>
  <si>
    <t>Selena Ramirez Gil</t>
  </si>
  <si>
    <t>054014214521</t>
  </si>
  <si>
    <t>JAMUNDI</t>
  </si>
  <si>
    <t>Carrera 4 # 9 b 02 barrio popular jamundi</t>
  </si>
  <si>
    <t>3182475065</t>
  </si>
  <si>
    <t>62913521</t>
  </si>
  <si>
    <t>Martha Montaño Garcés</t>
  </si>
  <si>
    <t>240044302602</t>
  </si>
  <si>
    <t>CALLE 13 #9B-1, Calle Mercedes pollo.com , frente a remates Taiwan</t>
  </si>
  <si>
    <t>3217220101</t>
  </si>
  <si>
    <t>62913046</t>
  </si>
  <si>
    <t>Fanny Yanira TamayoTellez</t>
  </si>
  <si>
    <t>62912833</t>
  </si>
  <si>
    <t>Edelmira Murillo</t>
  </si>
  <si>
    <t>240044309916</t>
  </si>
  <si>
    <t>COTA</t>
  </si>
  <si>
    <t>Carrera 2# 14 a- 51 casa 10</t>
  </si>
  <si>
    <t>3222805951</t>
  </si>
  <si>
    <t>62912791</t>
  </si>
  <si>
    <t>Pabla Galvis perez</t>
  </si>
  <si>
    <t>240044309930</t>
  </si>
  <si>
    <t>Avenida 21# 53-06 Barrio José bernal</t>
  </si>
  <si>
    <t>3208268989</t>
  </si>
  <si>
    <t>62912710</t>
  </si>
  <si>
    <t>Rosmery Beltrán</t>
  </si>
  <si>
    <t>240044309941</t>
  </si>
  <si>
    <t>Carrera 16a #80-65 oficina 502 edificio torre oval</t>
  </si>
  <si>
    <t>3107357018</t>
  </si>
  <si>
    <t>62912675</t>
  </si>
  <si>
    <t>Rosa Benavides</t>
  </si>
  <si>
    <t>240044302667</t>
  </si>
  <si>
    <t>OFICINA INTERRAPIDISIMO DUITAMA</t>
  </si>
  <si>
    <t>3208449639</t>
  </si>
  <si>
    <t>CLIENTE RECLAMA EN OFICINA INTERRAPIDISIMO DUITAMA</t>
  </si>
  <si>
    <t>62912606</t>
  </si>
  <si>
    <t>Andrea Fonseca</t>
  </si>
  <si>
    <t>240044309951</t>
  </si>
  <si>
    <t>Calle 17 sur # 8-15 MZ G casa 28 valles de Aragón</t>
  </si>
  <si>
    <t>3506333665</t>
  </si>
  <si>
    <t>62912558</t>
  </si>
  <si>
    <t>Yurani Mahecha</t>
  </si>
  <si>
    <t>240044294618</t>
  </si>
  <si>
    <t>CHARALA</t>
  </si>
  <si>
    <t>CARRERA 14 #22-44, LOCAL 1 Charala cliente recoge en esa oficina</t>
  </si>
  <si>
    <t>3224121553</t>
  </si>
  <si>
    <t>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</t>
  </si>
  <si>
    <t>62912537</t>
  </si>
  <si>
    <t>Kelly Johana moreno</t>
  </si>
  <si>
    <t>240044309966</t>
  </si>
  <si>
    <t>Carrera 79 #96-12, 2da del consejo</t>
  </si>
  <si>
    <t>3147459900</t>
  </si>
  <si>
    <t>62912462</t>
  </si>
  <si>
    <t>Fabio Idrobo</t>
  </si>
  <si>
    <t>240044309976</t>
  </si>
  <si>
    <t>Calle 5a #18-61 la esmeralda</t>
  </si>
  <si>
    <t>3105021726</t>
  </si>
  <si>
    <t>62912385</t>
  </si>
  <si>
    <t>Denis Guerrero Barreto</t>
  </si>
  <si>
    <t>240044309988</t>
  </si>
  <si>
    <t>Diagonal 135b #9f-41, Villa de San Pablo</t>
  </si>
  <si>
    <t>3227560858</t>
  </si>
  <si>
    <t>62912271</t>
  </si>
  <si>
    <t>Blanca Bustamante</t>
  </si>
  <si>
    <t>240044310011</t>
  </si>
  <si>
    <t>Calle 24 #319 - 55 Centro, local 104</t>
  </si>
  <si>
    <t>3022087144</t>
  </si>
  <si>
    <t>62912258</t>
  </si>
  <si>
    <t>Yeny Rivera</t>
  </si>
  <si>
    <t>240044311568</t>
  </si>
  <si>
    <t>EL TAMBO (CA)</t>
  </si>
  <si>
    <t>OFICINA INTERRAPIDISIMO EL TAMBO - EL PARQUE CENTRAL</t>
  </si>
  <si>
    <t>3025629603</t>
  </si>
  <si>
    <t>CLIENTE RECLAMA EN OFICINA DE INTERRAPIDISIMO EL PARQUE CENTRAL</t>
  </si>
  <si>
    <t>Cepillo Plancha Secador 2 en 1 Alisador x1 + Cepillo Plancha Secador 2 en 1 Alisador x1 + Cepillo Plancha Secador 2 en 1 Alisador x1 + Cepillo Plancha Secador 2 en 1 Alisador x1 + Cepillo Plancha Secador 2 en 1 Alisador x1 + Cepillo Plancha Secador 2 en 1 Alisador x1</t>
  </si>
  <si>
    <t>62912209</t>
  </si>
  <si>
    <t>John jairo villar Méndez</t>
  </si>
  <si>
    <t>014155710006</t>
  </si>
  <si>
    <t>calle pekin #53-60, Olaya Herrera sector 11 de noviembre, bajando coosalud 4 cuadras a mano derecha</t>
  </si>
  <si>
    <t>3016280947</t>
  </si>
  <si>
    <t>62912203</t>
  </si>
  <si>
    <t>Vicky Berrio</t>
  </si>
  <si>
    <t>240044310021</t>
  </si>
  <si>
    <t>Carrera 50 #80-273 bloque A piso 2 apto 02 Torre de Salem Alto del prado</t>
  </si>
  <si>
    <t>3003052944</t>
  </si>
  <si>
    <t>62912197</t>
  </si>
  <si>
    <t>Alejandrina Gutiérrez</t>
  </si>
  <si>
    <t>024032265678</t>
  </si>
  <si>
    <t>carrera 57#2a-95 edificio henna apt 303 cuarto legua</t>
  </si>
  <si>
    <t>3170555199</t>
  </si>
  <si>
    <t>Carrera 57#2a-95 edificio henna apt 303 cuarto legua</t>
  </si>
  <si>
    <t>62912103</t>
  </si>
  <si>
    <t>Coraima Ruz Alvarez</t>
  </si>
  <si>
    <t>240044302723</t>
  </si>
  <si>
    <t>Calle 86a sur # 80k-40 sur</t>
  </si>
  <si>
    <t>3135962010</t>
  </si>
  <si>
    <t>Calle 86 a sur 80k-40 sur, casa 112 conjunto residencial portales de Bosa San José</t>
  </si>
  <si>
    <t>62911706</t>
  </si>
  <si>
    <t>Yerlis Ardila</t>
  </si>
  <si>
    <t>240044302768</t>
  </si>
  <si>
    <t>OFICINA INTERRAPIDISIMO Cl. 57a #48-75 a 48-1, El Bagre, Antioquia</t>
  </si>
  <si>
    <t>3145029132</t>
  </si>
  <si>
    <t>RECLAMA EN OFICINA INTERRAPIDISIMO Cl. 57a #48-75 a 48-1</t>
  </si>
  <si>
    <t>62911704</t>
  </si>
  <si>
    <t>Rosa Ines Bautista</t>
  </si>
  <si>
    <t>240044311680</t>
  </si>
  <si>
    <t>TUTA</t>
  </si>
  <si>
    <t>Calle 8 # 8 - 60 lote 03</t>
  </si>
  <si>
    <t>3045663192</t>
  </si>
  <si>
    <t>Location Google Maps : 5.6929944,-73.2275154
Primer piso, Aumata, Plaza de Nado</t>
  </si>
  <si>
    <t>62910829</t>
  </si>
  <si>
    <t>Casilda M Severiche</t>
  </si>
  <si>
    <t>240044311885</t>
  </si>
  <si>
    <t>OFICINA INTERRAPIDISIMO MAJAGUAL SUCRE</t>
  </si>
  <si>
    <t>3128738464</t>
  </si>
  <si>
    <t>CLIENTE RECLAMA EN OFICINA INTERRAPIDISIMO MAJAGUAL SUCRE</t>
  </si>
  <si>
    <t>62910745</t>
  </si>
  <si>
    <t>Naty Alvarez</t>
  </si>
  <si>
    <t>024032265690</t>
  </si>
  <si>
    <t>Cll 110a # 43 25 Popular 1</t>
  </si>
  <si>
    <t>3192342407</t>
  </si>
  <si>
    <t>62910272</t>
  </si>
  <si>
    <t>Nidia Yaneth Vargas Vanegas</t>
  </si>
  <si>
    <t>024032265693</t>
  </si>
  <si>
    <t>LA MESA</t>
  </si>
  <si>
    <t>Cra 6 No 3 A 20, Inspección San Joaquín</t>
  </si>
  <si>
    <t>3144226492</t>
  </si>
  <si>
    <t>62910078</t>
  </si>
  <si>
    <t>Paola Alvarez</t>
  </si>
  <si>
    <t>240044311956</t>
  </si>
  <si>
    <t>Transversal 1 D Sur Diagonal 78-39 Barrio villa Selene Soledad</t>
  </si>
  <si>
    <t>3009045715</t>
  </si>
  <si>
    <t>Barrio villa Selene Soledad</t>
  </si>
  <si>
    <t>62910066</t>
  </si>
  <si>
    <t>Aida del Socorro Gonzáles Forero</t>
  </si>
  <si>
    <t>240044302793</t>
  </si>
  <si>
    <t>VILLAMARIA</t>
  </si>
  <si>
    <t>Calle 6B #10-55 casa #4 conjunto cerrado el portal</t>
  </si>
  <si>
    <t>3128455007</t>
  </si>
  <si>
    <t>Conjunto cerrado el portal</t>
  </si>
  <si>
    <t>62908491</t>
  </si>
  <si>
    <t>Nohora Maria Cañón</t>
  </si>
  <si>
    <t>240044302929</t>
  </si>
  <si>
    <t>Calle17a # 11 - 90 barrio balmoral</t>
  </si>
  <si>
    <t>3142352035</t>
  </si>
  <si>
    <t>Oficina central de citas clínica Belén</t>
  </si>
  <si>
    <t>62904656</t>
  </si>
  <si>
    <t>Nancy banguera</t>
  </si>
  <si>
    <t>240044293240</t>
  </si>
  <si>
    <t>EL TRIUNFO CASA 336 B, urbanización la playa por el club del hospital</t>
  </si>
  <si>
    <t>3134370287</t>
  </si>
  <si>
    <t>Varicose veins crema para varices x3 + Varicose veins crema para varices x3 + Varicose veins crema para varices x3 + Varicose veins crema para varices x3 + Varicose veins crema para varices x3 + Varicose veins crema para varices x3</t>
  </si>
  <si>
    <t>62904231</t>
  </si>
  <si>
    <t>Rene Reinaldo</t>
  </si>
  <si>
    <t>240044293251</t>
  </si>
  <si>
    <t>CARRERA 2A # 24C-17 s barrio madelena</t>
  </si>
  <si>
    <t>3143245524</t>
  </si>
  <si>
    <t>62903123</t>
  </si>
  <si>
    <t>Sandra Agudelo</t>
  </si>
  <si>
    <t>014155709778</t>
  </si>
  <si>
    <t>Calle 72 -1# 3 an- 66, Barrio Ciudadela floralia</t>
  </si>
  <si>
    <t>3146818475</t>
  </si>
  <si>
    <t>62902762</t>
  </si>
  <si>
    <t>Mariana García</t>
  </si>
  <si>
    <t>240044293486</t>
  </si>
  <si>
    <t>Carrera 24 # 7-76 barrio la pepita centro</t>
  </si>
  <si>
    <t>3208421901</t>
  </si>
  <si>
    <t>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</t>
  </si>
  <si>
    <t>62902471</t>
  </si>
  <si>
    <t>Zulema falla</t>
  </si>
  <si>
    <t>240044293512</t>
  </si>
  <si>
    <t>carrera 13 #124 _56 manzana c, UNICENTRO, DEJAR EN PORTERIA</t>
  </si>
  <si>
    <t>3123224586</t>
  </si>
  <si>
    <t>62902062</t>
  </si>
  <si>
    <t>Dennis Barrios</t>
  </si>
  <si>
    <t>014155710116</t>
  </si>
  <si>
    <t>GAIRA</t>
  </si>
  <si>
    <t>Carrera 11 A # 10-50, barrio Gaira Sangacinto de Gaira</t>
  </si>
  <si>
    <t>3001967766</t>
  </si>
  <si>
    <t>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</t>
  </si>
  <si>
    <t>62901761</t>
  </si>
  <si>
    <t>Aminta Romero</t>
  </si>
  <si>
    <t>240044293560</t>
  </si>
  <si>
    <t>Calle 23a #96J-20 Apartamento 210 Fontibon el Ruby</t>
  </si>
  <si>
    <t>3192348859</t>
  </si>
  <si>
    <t>Beevana crema dolores - 2 x1 + Beevana crema dolores - 2 x1 + Beevana crema dolores - 2 x1 + Beevana crema dolores - 2 x1 + Beevana crema dolores - 2 x1 + Beevana crema dolores - 2 x1</t>
  </si>
  <si>
    <t>62900531</t>
  </si>
  <si>
    <t>Maria Elida Mosquera</t>
  </si>
  <si>
    <t>240044298228</t>
  </si>
  <si>
    <t>ROZO</t>
  </si>
  <si>
    <t>Calle 15 # 14-26 barrio villa lenis, callejón cobo martinez</t>
  </si>
  <si>
    <t>3178411822</t>
  </si>
  <si>
    <t>NUMERO ADICIONAL 3167679425</t>
  </si>
  <si>
    <t>62900008</t>
  </si>
  <si>
    <t>Marisol Rodriguez</t>
  </si>
  <si>
    <t>240044298375</t>
  </si>
  <si>
    <t>Cliente recoge pedido en oficina de Interrapidisimo en Codazzi cliente recoge en esa oficina</t>
  </si>
  <si>
    <t>3218018292</t>
  </si>
  <si>
    <t>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</t>
  </si>
  <si>
    <t>62899975</t>
  </si>
  <si>
    <t>Claudia Chocue campo</t>
  </si>
  <si>
    <t>240044298340</t>
  </si>
  <si>
    <t>Cliente recoge pedido en oficina de Interrapidisimo en Caldono cliente recoge en esa oficina</t>
  </si>
  <si>
    <t>3235895320</t>
  </si>
  <si>
    <t>62899432</t>
  </si>
  <si>
    <t>franzury Ruiz</t>
  </si>
  <si>
    <t>240044298445</t>
  </si>
  <si>
    <t>Calle 48 #24-44 barrio Lleras</t>
  </si>
  <si>
    <t>3218094739</t>
  </si>
  <si>
    <t>62898854</t>
  </si>
  <si>
    <t>Berlidis causil</t>
  </si>
  <si>
    <t>014155710165</t>
  </si>
  <si>
    <t>SAHAGUN</t>
  </si>
  <si>
    <t>calle 9 #6 -03 Barrio san pedro, todo el frente del mercado campecino</t>
  </si>
  <si>
    <t>3016617909</t>
  </si>
  <si>
    <t>numero adicional 3008485186</t>
  </si>
  <si>
    <t>62898499</t>
  </si>
  <si>
    <t>Ana Carolina Arnedo Cabarcas</t>
  </si>
  <si>
    <t>024032265771</t>
  </si>
  <si>
    <t>Cr. 35 # 77 - 113, barrio Fredonia</t>
  </si>
  <si>
    <t>3122988960</t>
  </si>
  <si>
    <t>62898187</t>
  </si>
  <si>
    <t>Luz Adriana Ardila Sarmiento</t>
  </si>
  <si>
    <t>240044303143</t>
  </si>
  <si>
    <t>SOCORRO</t>
  </si>
  <si>
    <t>Cll 9 # 11 29</t>
  </si>
  <si>
    <t>3138492371</t>
  </si>
  <si>
    <t>62898131</t>
  </si>
  <si>
    <t>Elizabeth Timana</t>
  </si>
  <si>
    <t>240044313165</t>
  </si>
  <si>
    <t>TUQUERRES</t>
  </si>
  <si>
    <t>OFICINA INTERRAPIDISIMO TUQUERRES</t>
  </si>
  <si>
    <t>3104538616</t>
  </si>
  <si>
    <t>CLIENTE RECLAMA EN OFICINA TUQUERRES NARIÑO</t>
  </si>
  <si>
    <t>62898094</t>
  </si>
  <si>
    <t>Esperanza Sarmiento</t>
  </si>
  <si>
    <t>024032265773</t>
  </si>
  <si>
    <t>Villas de Alejandría Mz W casa 16</t>
  </si>
  <si>
    <t>3242212404</t>
  </si>
  <si>
    <t>62897818</t>
  </si>
  <si>
    <t>Sandra Milena Ruiz</t>
  </si>
  <si>
    <t>240044303169</t>
  </si>
  <si>
    <t>Cra 98 # 0 41, Torre 6, Apto 408, Tierra Buena.</t>
  </si>
  <si>
    <t>3118597688</t>
  </si>
  <si>
    <t>Cra 98 # 0 41,  Tierra Buena, Torre 6, Apto 408,</t>
  </si>
  <si>
    <t>62897615</t>
  </si>
  <si>
    <t>Martha Montes</t>
  </si>
  <si>
    <t>240044313189</t>
  </si>
  <si>
    <t>Carrera 1B # 9B - 45 Torre 1 apto. 404A Barrio Villapilar 2</t>
  </si>
  <si>
    <t>3053617890</t>
  </si>
  <si>
    <t>Barrio Villapilar 2</t>
  </si>
  <si>
    <t>62897469</t>
  </si>
  <si>
    <t>Taira Nieto</t>
  </si>
  <si>
    <t>240044303188</t>
  </si>
  <si>
    <t>Carrera 111bis # 152a 10 apt 201 Suba pinos de Lombardía</t>
  </si>
  <si>
    <t>3213105866</t>
  </si>
  <si>
    <t>Apt 201 Suba pinos de Lombardía</t>
  </si>
  <si>
    <t>62897355</t>
  </si>
  <si>
    <t>Virgen Picon Galvan</t>
  </si>
  <si>
    <t>240044313218</t>
  </si>
  <si>
    <t>EL CARMEN</t>
  </si>
  <si>
    <t>Carrera 4 # 10-55 Barrio el carretero</t>
  </si>
  <si>
    <t>3204294133</t>
  </si>
  <si>
    <t>El Carmen / Barrio el carretero</t>
  </si>
  <si>
    <t>62897201</t>
  </si>
  <si>
    <t>Sebastián Hernández Mesa</t>
  </si>
  <si>
    <t>024032265779</t>
  </si>
  <si>
    <t>Calle 10 #  59 04 barrio Zaragoza</t>
  </si>
  <si>
    <t>3104919838</t>
  </si>
  <si>
    <t>Panadería la casa del pandebono.</t>
  </si>
  <si>
    <t>62897042</t>
  </si>
  <si>
    <t>Sandra Marina Pereira</t>
  </si>
  <si>
    <t>240044303211</t>
  </si>
  <si>
    <t>SAN ANDRES DE SOTAVENTO</t>
  </si>
  <si>
    <t>OFICINA INTERRAPIDISIMO SAN ANDRES SOTAVENTO</t>
  </si>
  <si>
    <t>3126191788</t>
  </si>
  <si>
    <t>62896664</t>
  </si>
  <si>
    <t>Esneda Trujillo</t>
  </si>
  <si>
    <t>240044303225</t>
  </si>
  <si>
    <t>CRA 82#13c 9 barrio Andalucía</t>
  </si>
  <si>
    <t>3116315892</t>
  </si>
  <si>
    <t>62896559</t>
  </si>
  <si>
    <t>Angela Maria Ocampo</t>
  </si>
  <si>
    <t>240044303241</t>
  </si>
  <si>
    <t>Calle 4. N 11 - 50 Centro. Almacen libano. N 1</t>
  </si>
  <si>
    <t>3117191684</t>
  </si>
  <si>
    <t>Almacen libano. N 1</t>
  </si>
  <si>
    <t>62896270</t>
  </si>
  <si>
    <t>Julied Pinzon Casas</t>
  </si>
  <si>
    <t>024032265790</t>
  </si>
  <si>
    <t>Carrera 119b # 60-195 Barrio kachipay</t>
  </si>
  <si>
    <t>3024892024</t>
  </si>
  <si>
    <t>Unidad Kamelia Torre 2 apartamento 1004 OJO EL NOMBRE DE LA UNIDAD ES CON K</t>
  </si>
  <si>
    <t>62895990</t>
  </si>
  <si>
    <t>Fabiola Osorio</t>
  </si>
  <si>
    <t>014155720714</t>
  </si>
  <si>
    <t>Calle 23 #23A - 56 Barrio Las Acacias</t>
  </si>
  <si>
    <t>3116100523</t>
  </si>
  <si>
    <t>Barrio las acacias</t>
  </si>
  <si>
    <t>62895964</t>
  </si>
  <si>
    <t>Cony Trujillo</t>
  </si>
  <si>
    <t>240044303263</t>
  </si>
  <si>
    <t>calle 69a bis 89a 22 barrio la Florida álamos</t>
  </si>
  <si>
    <t>3115086700</t>
  </si>
  <si>
    <t>Local sábanas cony horario 1 - 7 pm</t>
  </si>
  <si>
    <t>62895702</t>
  </si>
  <si>
    <t>Patricia Arleth Urbiña Delgado</t>
  </si>
  <si>
    <t>240044313382</t>
  </si>
  <si>
    <t>SAN PEDRO DE URABA</t>
  </si>
  <si>
    <t>OFICINA INTERRAPIDISIMO SAN PEDRO DE URABA</t>
  </si>
  <si>
    <t>3205447977</t>
  </si>
  <si>
    <t>RECLAMA EN OFICINA INTERRAPIDISIMO SAN PEDRO DE URABA</t>
  </si>
  <si>
    <t>62894620</t>
  </si>
  <si>
    <t>Claudia Patricia Llorente Benítez</t>
  </si>
  <si>
    <t>NUEVA COLONIA</t>
  </si>
  <si>
    <t>Calle 29 # 33 - 25 Barrio San Sebastian</t>
  </si>
  <si>
    <t>3108970136</t>
  </si>
  <si>
    <t>Urabá Antioquia // Nueva Colonia // Barrio San Sebastián</t>
  </si>
  <si>
    <t>62893923</t>
  </si>
  <si>
    <t>Ivis Muñoz</t>
  </si>
  <si>
    <t>240044313805</t>
  </si>
  <si>
    <t>Diagonal 77 D tv 2 B sur 33 apt 1 Villa Selene</t>
  </si>
  <si>
    <t>3017661475</t>
  </si>
  <si>
    <t>Cerca a la tienda La nacional de villa selene</t>
  </si>
  <si>
    <t>62892852</t>
  </si>
  <si>
    <t>Yaniris Vargas</t>
  </si>
  <si>
    <t>240044313982</t>
  </si>
  <si>
    <t>CAUCASIA</t>
  </si>
  <si>
    <t>OFICINA INTERRAPIDISIMO CAUCASIA</t>
  </si>
  <si>
    <t>3046620975</t>
  </si>
  <si>
    <t>CLIENTE RECLAMA EN OFICINA INTERRAPIDISIMO CAUCASIA</t>
  </si>
  <si>
    <t>62892500</t>
  </si>
  <si>
    <t>Antonia Esther Hernández</t>
  </si>
  <si>
    <t>240044314046</t>
  </si>
  <si>
    <t>Carrera 1C4 CL 19 - 47</t>
  </si>
  <si>
    <t>3147799979</t>
  </si>
  <si>
    <t>62891793</t>
  </si>
  <si>
    <t>Edith Días Madariaga</t>
  </si>
  <si>
    <t>240044314161</t>
  </si>
  <si>
    <t>Carrera 6a # 39-250 Barrio Panamá</t>
  </si>
  <si>
    <t>3107139389</t>
  </si>
  <si>
    <t>Barrio Panamá</t>
  </si>
  <si>
    <t>62891376</t>
  </si>
  <si>
    <t>Lorena Daza</t>
  </si>
  <si>
    <t>240044314214</t>
  </si>
  <si>
    <t>MONTERREY</t>
  </si>
  <si>
    <t>Calle 18 # 02 - 15 La Floresta</t>
  </si>
  <si>
    <t>3118329215</t>
  </si>
  <si>
    <t>62890542</t>
  </si>
  <si>
    <t>Patricia Mejía</t>
  </si>
  <si>
    <t>240044297851</t>
  </si>
  <si>
    <t>SANTA ROSA DE OSOS</t>
  </si>
  <si>
    <t>Carrera 28 # 27 - 83 Tienda infantil</t>
  </si>
  <si>
    <t>3116311610</t>
  </si>
  <si>
    <t>Cale El Palo - Tienda infantil</t>
  </si>
  <si>
    <t>Aceite de Batana x1 + Aceite de Batana x1 + Aceite de Batana x1 + Aceite de Batana x1 + Aceite de Batana x1 + Aceite de Batana x1</t>
  </si>
  <si>
    <t>62889358</t>
  </si>
  <si>
    <t>Dilza Yohana Casas</t>
  </si>
  <si>
    <t>054014214525</t>
  </si>
  <si>
    <t>Carrera 53 # 2 A 36, Barrio Galán</t>
  </si>
  <si>
    <t>3112085330</t>
  </si>
  <si>
    <t>62889299</t>
  </si>
  <si>
    <t>Luis Fernando González</t>
  </si>
  <si>
    <t>240044298163</t>
  </si>
  <si>
    <t>Calle 17B# 54-04, Siglo 21, Las Palmas</t>
  </si>
  <si>
    <t>3015172217</t>
  </si>
  <si>
    <t>NUMERO ALTERNO 3202193280</t>
  </si>
  <si>
    <t>Aceite de Batana x2 + Aceite de Batana x2 + Aceite de Batana x2 + Aceite de Batana x2 + Aceite de Batana x2 + Aceite de Batana x2</t>
  </si>
  <si>
    <t>62867340</t>
  </si>
  <si>
    <t>Maria Puliche</t>
  </si>
  <si>
    <t>014155711419</t>
  </si>
  <si>
    <t>Av Sircuvala #183-2 Ed soho 83 Barrio Rosales</t>
  </si>
  <si>
    <t>3332426680</t>
  </si>
  <si>
    <t>Av Sircuvala # 183 - 2 Ed soho 83 Barrio Rosales, BOGOTA - CUNDINAMARCA</t>
  </si>
  <si>
    <t>62804960</t>
  </si>
  <si>
    <t>Luz E Palacios</t>
  </si>
  <si>
    <t>024032253403</t>
  </si>
  <si>
    <t>Calle 14 #4-45, Local 44, al frente de la empresa Aire. Centro de la ciudad</t>
  </si>
  <si>
    <t>3026646996</t>
  </si>
  <si>
    <t>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</t>
  </si>
  <si>
    <t>62804864</t>
  </si>
  <si>
    <t>Héctor Javier Sogamosa Rodríguez</t>
  </si>
  <si>
    <t>240044223105</t>
  </si>
  <si>
    <t>COYAIMA</t>
  </si>
  <si>
    <t>Cliente recoge pedido en oficina de Interrapidisimo en Coyaima cliente recoge en esa oficina</t>
  </si>
  <si>
    <t>3138589159</t>
  </si>
  <si>
    <t>Aceite de Batana x2 + Aceite de Batana x2 + Aceite de Batana x2 + Aceite de Batana x2 + Aceite de Batana x2 + Aceite de Batana x2 + Aceite de Batana x2 + Aceite de Batana x2</t>
  </si>
  <si>
    <t>62804634</t>
  </si>
  <si>
    <t>Andrea Marcela García López</t>
  </si>
  <si>
    <t>240044228623</t>
  </si>
  <si>
    <t>CARMEN DE APICALA</t>
  </si>
  <si>
    <t>calle 2 #5-07 barrio lucitania hospital nuestra señora del Carmen</t>
  </si>
  <si>
    <t>3106496581</t>
  </si>
  <si>
    <t>Truly Soft Serve + T. Glazed Donut 60ml x1 + Truly Soft Serve + T. Glazed Donut 60ml x1 + Truly Soft Serve + T. Glazed Donut 60ml x1 + Truly Soft Serve + T. Glazed Donut 60ml x1 + Truly Soft Serve + T. Glazed Donut 60ml x1 + Truly Soft Serve + T. Glazed Donut 60ml x1 + Truly Soft Serve + T. Glazed Donut 60ml x1 + Truly Soft Serve + T. Glazed Donut 60ml x1</t>
  </si>
  <si>
    <t>62804613</t>
  </si>
  <si>
    <t>Dora Cataño Ospina</t>
  </si>
  <si>
    <t>240044228628</t>
  </si>
  <si>
    <t>Avenida 30 de agosto #20-08 cafetería el cafetal diagonal ala estacion Olaya del mega bus</t>
  </si>
  <si>
    <t>3135934610</t>
  </si>
  <si>
    <t>62804530</t>
  </si>
  <si>
    <t>Mayra López</t>
  </si>
  <si>
    <t>024032253405</t>
  </si>
  <si>
    <t>Manzana H lote 3 Los Robles 1</t>
  </si>
  <si>
    <t>3224237560</t>
  </si>
  <si>
    <t>62794857</t>
  </si>
  <si>
    <t>Yesika Paola Cuadrado González</t>
  </si>
  <si>
    <t>240044226295</t>
  </si>
  <si>
    <t>TUCHIN</t>
  </si>
  <si>
    <t>Cliente recoge pedido en oficina de Interrapidisimo en Tuchin cliente recoge en esa oficina</t>
  </si>
  <si>
    <t>3127470163</t>
  </si>
  <si>
    <t>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</t>
  </si>
  <si>
    <t>62794505</t>
  </si>
  <si>
    <t>Ever Camilo Moreno Gómez</t>
  </si>
  <si>
    <t>240044226319</t>
  </si>
  <si>
    <t>LA UNION</t>
  </si>
  <si>
    <t>Cliente recoge pedido en oficina de Interrapidisimo en La Union cliente recoge en esa oficina</t>
  </si>
  <si>
    <t>3206435457</t>
  </si>
  <si>
    <t>62794330</t>
  </si>
  <si>
    <t>GABRIELA BLANCO</t>
  </si>
  <si>
    <t>240044228924</t>
  </si>
  <si>
    <t>PUERTO CONCORDIA</t>
  </si>
  <si>
    <t>Cliente recoge pedido en oficina de Interrapidisimo en Puerto Concordia cliente recoge en esa oficina</t>
  </si>
  <si>
    <t>3159306762</t>
  </si>
  <si>
    <t>62794244</t>
  </si>
  <si>
    <t>Lilia María Dávila Rozo</t>
  </si>
  <si>
    <t>240044226406</t>
  </si>
  <si>
    <t>Calle 27 #7 A-37 Buenos Aires</t>
  </si>
  <si>
    <t>3161328914</t>
  </si>
  <si>
    <t>numero adicional 3161428194</t>
  </si>
  <si>
    <t>62794088</t>
  </si>
  <si>
    <t>Cesar Augusto</t>
  </si>
  <si>
    <t>240044228933</t>
  </si>
  <si>
    <t>Calle 2 #10-64, San Bernardo Centro</t>
  </si>
  <si>
    <t>3024291894</t>
  </si>
  <si>
    <t>NUMERO ADICIONAL 3219644204</t>
  </si>
  <si>
    <t>62794037</t>
  </si>
  <si>
    <t>Yorcelis Ricardo cuadro</t>
  </si>
  <si>
    <t>014155675124</t>
  </si>
  <si>
    <t>calle 10 #77-130, Olaya sector Fredonia</t>
  </si>
  <si>
    <t>3238188871</t>
  </si>
  <si>
    <t>numero adicional 3171656441</t>
  </si>
  <si>
    <t>62793973</t>
  </si>
  <si>
    <t>Rosa Rojas</t>
  </si>
  <si>
    <t>240044228946</t>
  </si>
  <si>
    <t>Carrera 12-31.65 Barrio Jorge Liecer Gaitan</t>
  </si>
  <si>
    <t>3232349032</t>
  </si>
  <si>
    <t>62793824</t>
  </si>
  <si>
    <t>Malercy Gómez Monterrosa</t>
  </si>
  <si>
    <t>024032253428</t>
  </si>
  <si>
    <t>Calle 13 Cr 44 #76-69, Fredonia</t>
  </si>
  <si>
    <t>3226581042</t>
  </si>
  <si>
    <t>62793714</t>
  </si>
  <si>
    <t>Liz Gonzalez</t>
  </si>
  <si>
    <t>240044228956</t>
  </si>
  <si>
    <t>FLORIDABLANCA</t>
  </si>
  <si>
    <t>Cliente recoge pedido en oficina PRINCIPAL de Interrapidisimo en Floridablanca cliente recoge en esa oficina</t>
  </si>
  <si>
    <t>3002682543</t>
  </si>
  <si>
    <t>62793677</t>
  </si>
  <si>
    <t>Ana María Miriam Rodríguez moreno</t>
  </si>
  <si>
    <t>240044226549</t>
  </si>
  <si>
    <t>SILVANIA</t>
  </si>
  <si>
    <t>Cliente recoge pedido en oficina de Interrapidisimo en Silvania cliente recoge en esa oficina</t>
  </si>
  <si>
    <t>3114742193</t>
  </si>
  <si>
    <t>62793612</t>
  </si>
  <si>
    <t>Gladys Gómez</t>
  </si>
  <si>
    <t>054014213250</t>
  </si>
  <si>
    <t>Transversal 54 portales de alicante conjunto 2.bloque 4, Ap 115</t>
  </si>
  <si>
    <t>3148049897</t>
  </si>
  <si>
    <t>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</t>
  </si>
  <si>
    <t>62793526</t>
  </si>
  <si>
    <t>Piedad Zúñiga</t>
  </si>
  <si>
    <t>054014213251</t>
  </si>
  <si>
    <t>Calle 34#31 23</t>
  </si>
  <si>
    <t>3104341080</t>
  </si>
  <si>
    <t>DUO capilar ADIOS FRIZZ - 500ml x1 + DUO capilar ADIOS FRIZZ - 500ml x1 + DUO capilar ADIOS FRIZZ - 500ml x1 + DUO capilar ADIOS FRIZZ - 500ml x1 + DUO capilar ADIOS FRIZZ - 500ml x1 + DUO capilar ADIOS FRIZZ - 500ml x1 + DUO capilar ADIOS FRIZZ - 500ml x1 + DUO capilar ADIOS FRIZZ - 500ml x1</t>
  </si>
  <si>
    <t>62793512</t>
  </si>
  <si>
    <t>María nelcy arcos</t>
  </si>
  <si>
    <t>240044229564</t>
  </si>
  <si>
    <t>Calle 8 # 20-74 Santa Isabel</t>
  </si>
  <si>
    <t>3103060746</t>
  </si>
  <si>
    <t>62793495</t>
  </si>
  <si>
    <t>Maria Muñoz Realpe</t>
  </si>
  <si>
    <t>054014213252</t>
  </si>
  <si>
    <t>YUMBO</t>
  </si>
  <si>
    <t>Carrera 3 Norte #14-84 Barrió Guacanda</t>
  </si>
  <si>
    <t>3017768184</t>
  </si>
  <si>
    <t>62793454</t>
  </si>
  <si>
    <t>Marly Viviana Ramos Campuzano</t>
  </si>
  <si>
    <t>240044266846</t>
  </si>
  <si>
    <t>EL CARMEN DE CHUCURI</t>
  </si>
  <si>
    <t>Cliente recoge pedido en oficina de Interrapidisimo en El Carmen De Chucuri cliente recoge en esa oficina</t>
  </si>
  <si>
    <t>3105858743</t>
  </si>
  <si>
    <t>62793370</t>
  </si>
  <si>
    <t>Silce Estrada</t>
  </si>
  <si>
    <t>054014213254</t>
  </si>
  <si>
    <t>Calle 5 M1-7p apartamento 7, barrio Nuevo Campestre, Campestre Sagrado Corazón de Jesús</t>
  </si>
  <si>
    <t>3217192907</t>
  </si>
  <si>
    <t>62793243</t>
  </si>
  <si>
    <t>Jemima Parra</t>
  </si>
  <si>
    <t>054014213255</t>
  </si>
  <si>
    <t>Calle 16 # 13-118 Barrio 1 de julio</t>
  </si>
  <si>
    <t>3003234264</t>
  </si>
  <si>
    <t>62793177</t>
  </si>
  <si>
    <t>Claudia cuellar</t>
  </si>
  <si>
    <t>240044266851</t>
  </si>
  <si>
    <t>Carrera 15 #73-32 oficina 128 Edificio cóndor</t>
  </si>
  <si>
    <t>3112398788</t>
  </si>
  <si>
    <t>62793080</t>
  </si>
  <si>
    <t>Madeleine Arrieta</t>
  </si>
  <si>
    <t>054014213256</t>
  </si>
  <si>
    <t>MAICAO</t>
  </si>
  <si>
    <t>Carrera  14 # 2-70, Barrio boscan</t>
  </si>
  <si>
    <t>3136212499</t>
  </si>
  <si>
    <t>62792951</t>
  </si>
  <si>
    <t>Patricia Gonzalez</t>
  </si>
  <si>
    <t>054014213257</t>
  </si>
  <si>
    <t>Carrera 33 #36-56, barrio Diamante</t>
  </si>
  <si>
    <t>3177031910</t>
  </si>
  <si>
    <t>62792355</t>
  </si>
  <si>
    <t>Maria Dolly Marin</t>
  </si>
  <si>
    <t>054014213258</t>
  </si>
  <si>
    <t>Calle 32A sur #43-38 San marcos</t>
  </si>
  <si>
    <t>3117484352</t>
  </si>
  <si>
    <t>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</t>
  </si>
  <si>
    <t>62791485</t>
  </si>
  <si>
    <t>Yessica Jhoana Rangel Segura</t>
  </si>
  <si>
    <t>240044266864</t>
  </si>
  <si>
    <t>Cliente recoge pedido en oficina de Interrapidisimo en Pitalito cliente recoge en esa oficina</t>
  </si>
  <si>
    <t>3028064858</t>
  </si>
  <si>
    <t>62791388</t>
  </si>
  <si>
    <t>Nayelis Montes Ochoa</t>
  </si>
  <si>
    <t>054014213259</t>
  </si>
  <si>
    <t>PLANETA RICA</t>
  </si>
  <si>
    <t>Carrera 15A #16-29 Villa libia</t>
  </si>
  <si>
    <t>3127153068</t>
  </si>
  <si>
    <t>62789906</t>
  </si>
  <si>
    <t>Diana Marcela Agudelo Cardona</t>
  </si>
  <si>
    <t>240044266872</t>
  </si>
  <si>
    <t>SAN VICENTE</t>
  </si>
  <si>
    <t>Cliente recoge pedido en oficina de Interrapidisimo en San Vicente cliente recoge en esa oficina</t>
  </si>
  <si>
    <t>3105957650</t>
  </si>
  <si>
    <t>62782615</t>
  </si>
  <si>
    <t>Jovanni García</t>
  </si>
  <si>
    <t>240044237140</t>
  </si>
  <si>
    <t>VISTAHERMOSA</t>
  </si>
  <si>
    <t>Cliente recoge pedido en oficina de Interrapidisimo en Vistahermosa cliente recoge en esa oficina</t>
  </si>
  <si>
    <t>3112744748</t>
  </si>
  <si>
    <t>Aceite de Batana x1 + Combo Shampo y Aceite de Batana x1 + Aceite de Batana x1 + Combo Shampo y Aceite de Batana x1 + Aceite de Batana x1 + Combo Shampo y Aceite de Batana x1 + Aceite de Batana x1 + Combo Shampo y Aceite de Batana x1 + Aceite de Batana x1 + Combo Shampo y Aceite de Batana x1 + Aceite de Batana x1 + Combo Shampo y Aceite de Batana x1 + Aceite de Batana x1 + Combo Shampo y Aceite de Batana x1 + Aceite de Batana x1 + Combo Shampo y Aceite de Batana x1</t>
  </si>
  <si>
    <t>62782554</t>
  </si>
  <si>
    <t>Luis Osorio</t>
  </si>
  <si>
    <t>024032253553</t>
  </si>
  <si>
    <t>CIENAGA</t>
  </si>
  <si>
    <t>CALLE 36#27-63 Alborada</t>
  </si>
  <si>
    <t>3042908731</t>
  </si>
  <si>
    <t>CERCA AL ESTADIO DE FUTBOL</t>
  </si>
  <si>
    <t>62781758</t>
  </si>
  <si>
    <t>Luz María Acevedo Quiceno</t>
  </si>
  <si>
    <t>240044230455</t>
  </si>
  <si>
    <t>OFICINA INTERRAPIDISIMO</t>
  </si>
  <si>
    <t>3217910792</t>
  </si>
  <si>
    <t>62781211</t>
  </si>
  <si>
    <t>Myiceth Rengifo</t>
  </si>
  <si>
    <t>240044230476</t>
  </si>
  <si>
    <t>TAMINANGO</t>
  </si>
  <si>
    <t>OFICINA INTERRAPIDISIMO REMOLINO AV PANAMERICANA</t>
  </si>
  <si>
    <t>3122663095</t>
  </si>
  <si>
    <t>CLIENTE RECLAMA EN OFICINA INTERRAPIDISIMO AV PANAMERICANA REMOLINO TAMINANGO NARIÑO</t>
  </si>
  <si>
    <t>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</t>
  </si>
  <si>
    <t>62780141</t>
  </si>
  <si>
    <t>Luz Belcimejia</t>
  </si>
  <si>
    <t>240044237224</t>
  </si>
  <si>
    <t>RIOBLANCO</t>
  </si>
  <si>
    <t>Calle 5 #3A-14, Centro - CLIENTE RECOGE EN OFICINA INTERRAPIDISIMO</t>
  </si>
  <si>
    <t>3144098092</t>
  </si>
  <si>
    <t>Combo Shampo y Aceite de Batana x1 + Combo Shampo y Aceite de Batana x1 + Combo Shampo y Aceite de Batana x1 + Combo Shampo y Aceite de Batana x1 + Combo Shampo y Aceite de Batana x1 + Combo Shampo y Aceite de Batana x1 + Combo Shampo y Aceite de Batana x1 + Combo Shampo y Aceite de Batana x1</t>
  </si>
  <si>
    <t>62779811</t>
  </si>
  <si>
    <t>Juliana Osorno</t>
  </si>
  <si>
    <t>024032253560</t>
  </si>
  <si>
    <t>CRA 9 #34-122 edificio Morros Epic local 101</t>
  </si>
  <si>
    <t>3147605886</t>
  </si>
  <si>
    <t>Barrio La Boquilla - Peluquería Diego Moya</t>
  </si>
  <si>
    <t>62779454</t>
  </si>
  <si>
    <t>Pabla Olivero Olivo</t>
  </si>
  <si>
    <t>024032253562</t>
  </si>
  <si>
    <t>CALAMAR</t>
  </si>
  <si>
    <t>Tv 2B calle 3 194 Barrio satico</t>
  </si>
  <si>
    <t>3167343058</t>
  </si>
  <si>
    <t>62779294</t>
  </si>
  <si>
    <t>Gilberto Macias</t>
  </si>
  <si>
    <t>240044222682</t>
  </si>
  <si>
    <t>LA PLATA</t>
  </si>
  <si>
    <t>Carrera 3 # 5A - 30 La Plata - Huila</t>
  </si>
  <si>
    <t>3208212183</t>
  </si>
  <si>
    <t>Local llamado LA CACHARRERIA</t>
  </si>
  <si>
    <t>62778759</t>
  </si>
  <si>
    <t>Olga Lucia Gañan</t>
  </si>
  <si>
    <t>240044230553</t>
  </si>
  <si>
    <t>RIOSUCIO</t>
  </si>
  <si>
    <t>RECLAMA OFICINA INTERRAPIDISIMO</t>
  </si>
  <si>
    <t>3145299488</t>
  </si>
  <si>
    <t>62778191</t>
  </si>
  <si>
    <t>Durley Patricia Zuñiga Nerio</t>
  </si>
  <si>
    <t>240044230583</t>
  </si>
  <si>
    <t>3127244792</t>
  </si>
  <si>
    <t>62777936</t>
  </si>
  <si>
    <t>Diana No</t>
  </si>
  <si>
    <t>240044230601</t>
  </si>
  <si>
    <t>Av6 # 9-60 Daniel Jordan los patios</t>
  </si>
  <si>
    <t>3132104588</t>
  </si>
  <si>
    <t>62777790</t>
  </si>
  <si>
    <t>Luz Delcy Mejia</t>
  </si>
  <si>
    <t>OFICINA INTERRAPIDISIMO RIOBLANCO</t>
  </si>
  <si>
    <t>CLIENTE RECLAMA EN OFICINA DE INTERRAPIDISIMO RIO BLANCO. //NUMERO TELEFONICO PARA LLAMADA  3142955019</t>
  </si>
  <si>
    <t>Aceite de Batana x1 + Aceite de Batana x1 + Aceite de Batana x1 + Aceite de Batana x1 + Aceite de Batana x1 + Aceite de Batana x1 + Aceite de Batana x1 + Aceite de Batana x1</t>
  </si>
  <si>
    <t>62777670</t>
  </si>
  <si>
    <t>Diosa Milena Escobar Ocampo</t>
  </si>
  <si>
    <t>240044230633</t>
  </si>
  <si>
    <t>Calle 18A # 32A 58 - Barrio el carmen</t>
  </si>
  <si>
    <t>3105881046</t>
  </si>
  <si>
    <t>Por la iglesia</t>
  </si>
  <si>
    <t>62777096</t>
  </si>
  <si>
    <t>Karina Vallecilla</t>
  </si>
  <si>
    <t>240044230660</t>
  </si>
  <si>
    <t>RECLAMA EN OFICINA INTERRAPIDISIMO AV. ESTUDIANTES</t>
  </si>
  <si>
    <t>3173998454</t>
  </si>
  <si>
    <t>62776054</t>
  </si>
  <si>
    <t>William López Valencia</t>
  </si>
  <si>
    <t>014155675380</t>
  </si>
  <si>
    <t>Calle 45 # 31 - 44 Barrio Buenos Aires</t>
  </si>
  <si>
    <t>3504937795</t>
  </si>
  <si>
    <t>Segundo Piso Apto 201 - llamar a la hora de entregar</t>
  </si>
  <si>
    <t>62774711</t>
  </si>
  <si>
    <t>Anarit Coletti</t>
  </si>
  <si>
    <t>240044238284</t>
  </si>
  <si>
    <t>MAGANGUE</t>
  </si>
  <si>
    <t>OFICINA INTERRAPIDISIMO MAGANGUE</t>
  </si>
  <si>
    <t>3147149856</t>
  </si>
  <si>
    <t>RECLAMA EN OFICINA INTERRAPIDISIMO MAGANGUÉ</t>
  </si>
  <si>
    <t>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</t>
  </si>
  <si>
    <t>62774096</t>
  </si>
  <si>
    <t>Jorge Muñoz</t>
  </si>
  <si>
    <t>014155667203</t>
  </si>
  <si>
    <t>Calle 24 # 50a-35 Barrio Zaragocilla</t>
  </si>
  <si>
    <t>3234729711</t>
  </si>
  <si>
    <t>Por favor llamar antes de la entrega
Numero alterno - 3126604369</t>
  </si>
  <si>
    <t>62773082</t>
  </si>
  <si>
    <t>Maria Cecilia Tamayo</t>
  </si>
  <si>
    <t>240044212905</t>
  </si>
  <si>
    <t>SAN PEDRO DE LOS MILAGROS</t>
  </si>
  <si>
    <t>OFICINA INTERRAPIDISIMO SAN PEDRO DE LOS MILAGROS</t>
  </si>
  <si>
    <t>3127348422</t>
  </si>
  <si>
    <t>RECLAMA EN OFICINA INTERRAPIDISIMO SAN PEDRO DE LOS MILAGROS // NUM ALTERNO 3507095265</t>
  </si>
  <si>
    <t>62772101</t>
  </si>
  <si>
    <t>Jennifer Dayana Montoya Aguilar</t>
  </si>
  <si>
    <t>014155666738</t>
  </si>
  <si>
    <t>SEVILLA</t>
  </si>
  <si>
    <t>Calle 60 # 54-81 Barrio Belén</t>
  </si>
  <si>
    <t>3172854772</t>
  </si>
  <si>
    <t>Calle 60 # 54-81, Barrio Belén, Sevilla, Valle</t>
  </si>
  <si>
    <t>62694593</t>
  </si>
  <si>
    <t>Yaquelin rivera rodriguez</t>
  </si>
  <si>
    <t>014155638347</t>
  </si>
  <si>
    <t>Calle 40e #12-70 barrio el minuto de dios</t>
  </si>
  <si>
    <t>3017697064</t>
  </si>
  <si>
    <t>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</t>
  </si>
  <si>
    <t>62690029</t>
  </si>
  <si>
    <t>Carmen González</t>
  </si>
  <si>
    <t>240044159115</t>
  </si>
  <si>
    <t>Calle 36 # 41 - 114 Centro de Barranquilla</t>
  </si>
  <si>
    <t>3045876200</t>
  </si>
  <si>
    <t>Óptica visión perfecta</t>
  </si>
  <si>
    <t>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</t>
  </si>
  <si>
    <t>62689604</t>
  </si>
  <si>
    <t>MÓNICA ORDOÑEZ</t>
  </si>
  <si>
    <t>240044206514</t>
  </si>
  <si>
    <t>Calle 18A # 1 - 03 Lorenzo</t>
  </si>
  <si>
    <t>3163465183</t>
  </si>
  <si>
    <t>Calle 18a. N. 1- 03 Barrio Lorenzo</t>
  </si>
  <si>
    <t>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 + Ampolleta Brillo y Suavidad x10ml x1 + DUO capilar ADIOS FRIZZ - 500ml x1</t>
  </si>
  <si>
    <t>62688786</t>
  </si>
  <si>
    <t>MIRIAM CIFUENTES</t>
  </si>
  <si>
    <t>240044206519</t>
  </si>
  <si>
    <t>AMALFI</t>
  </si>
  <si>
    <t>CARRERA 17 #18-14</t>
  </si>
  <si>
    <t>3146545785</t>
  </si>
  <si>
    <t>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</t>
  </si>
  <si>
    <t>62687902</t>
  </si>
  <si>
    <t>Yisela Esmeralda Cortes</t>
  </si>
  <si>
    <t>240044170543</t>
  </si>
  <si>
    <t>PAIME</t>
  </si>
  <si>
    <t>RECLAMA OFICINA INTERRAPIDISIMO PAIME CUNDINAMARCA</t>
  </si>
  <si>
    <t>3234930457</t>
  </si>
  <si>
    <t>CLIENTE RECLAMA EN OFICINA DE INTER RAPIDISIMO PAIME</t>
  </si>
  <si>
    <t>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</t>
  </si>
  <si>
    <t>62687833</t>
  </si>
  <si>
    <t>Deyanira Carabali Carabali</t>
  </si>
  <si>
    <t>240044206529</t>
  </si>
  <si>
    <t>SOLITA</t>
  </si>
  <si>
    <t>RECLAMA EN OFICINA INTERRAPIDISIMO</t>
  </si>
  <si>
    <t>3212357129</t>
  </si>
  <si>
    <t>CLIENTE RECLAMA EN OFICINA SOLITA CAQUETA CARRERA 4 CALLE 6 BARRIO CENTRO</t>
  </si>
  <si>
    <t>62686968</t>
  </si>
  <si>
    <t>Dexy Carrero</t>
  </si>
  <si>
    <t>240044171409</t>
  </si>
  <si>
    <t>PUERTO GAITAN</t>
  </si>
  <si>
    <t>OFICINA PUERTO GAITAN INTERRAPIDISIMO CRA 10 #8-38</t>
  </si>
  <si>
    <t>3148342256</t>
  </si>
  <si>
    <t>CLIENTE RECLAMA EN OFICINA DE PUERTO GAITAN META.</t>
  </si>
  <si>
    <t>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</t>
  </si>
  <si>
    <t>PAGADO</t>
  </si>
  <si>
    <t>62686736</t>
  </si>
  <si>
    <t>María Rosales</t>
  </si>
  <si>
    <t>024032242479</t>
  </si>
  <si>
    <t>Centro comercial los ángeles calle 49# 53 - 34. Local 208.</t>
  </si>
  <si>
    <t>3156797364</t>
  </si>
  <si>
    <t>Centro comercial los ángeles</t>
  </si>
  <si>
    <t>62686391</t>
  </si>
  <si>
    <t>Henrry Gomez</t>
  </si>
  <si>
    <t>240044171534</t>
  </si>
  <si>
    <t>RECLAMA OFICINA INTERRAPIDISIMO EL TAMBO - CAUCA</t>
  </si>
  <si>
    <t>3505659200</t>
  </si>
  <si>
    <t>CLIENTE RECLAMA OFICINA INTERRAPIDISIMO EL TAMBO - CAUCA</t>
  </si>
  <si>
    <t>62686164</t>
  </si>
  <si>
    <t>Claudia Milena Herrera Guevara</t>
  </si>
  <si>
    <t>240044159233</t>
  </si>
  <si>
    <t>RECLAMA OFICINA INTERRAPIDISIMO CAQUEZA</t>
  </si>
  <si>
    <t>3202038971</t>
  </si>
  <si>
    <t>CLIENTE RECLAMA EN OFICINA INTERRAPIDISIMO CAQUEZA Cll.4#413</t>
  </si>
  <si>
    <t>62685778</t>
  </si>
  <si>
    <t>Sandra Milena Arenas Lozano</t>
  </si>
  <si>
    <t>024032242484</t>
  </si>
  <si>
    <t>RECLAMA OFICINA INTERRAPIDISIMO LA ESTRELLA</t>
  </si>
  <si>
    <t>3053068597</t>
  </si>
  <si>
    <t>CLIENTE RECLAMA EN OFICINA INTERRAPIDISIMO LA ESTRELLA</t>
  </si>
  <si>
    <t>62683943</t>
  </si>
  <si>
    <t>Jesús Antonio Duque Guerra</t>
  </si>
  <si>
    <t>240044152499</t>
  </si>
  <si>
    <t>PEQUE</t>
  </si>
  <si>
    <t>Cliente recoge pedido en oficina de Interrapidisimo en Peque cliente recoge en esa oficina</t>
  </si>
  <si>
    <t>3117848478</t>
  </si>
  <si>
    <t>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</t>
  </si>
  <si>
    <t>62655002</t>
  </si>
  <si>
    <t>Gloria Elena Restrepo</t>
  </si>
  <si>
    <t>054014211749</t>
  </si>
  <si>
    <t>Calle 93 #50B-32 4 piso aranjuez</t>
  </si>
  <si>
    <t>3014361622</t>
  </si>
  <si>
    <t>DUO capilar ADIOS FRIZZ - 500ml x1 + DUO capilar ADIOS FRIZZ - 500ml x1 + DUO capilar ADIOS FRIZZ - 500ml x1 + DUO capilar ADIOS FRIZZ - 500ml x1 + DUO capilar ADIOS FRIZZ - 500ml x1 + DUO capilar ADIOS FRIZZ - 500ml x1 + DUO capilar ADIOS FRIZZ - 500ml x1 + DUO capilar ADIOS FRIZZ - 500ml x1 + DUO capilar ADIOS FRIZZ - 500ml x1 + DUO capilar ADIOS FRIZZ - 500ml x1</t>
  </si>
  <si>
    <t>62654878</t>
  </si>
  <si>
    <t>JOrge Viloria</t>
  </si>
  <si>
    <t>014155640664</t>
  </si>
  <si>
    <t>Calle 101C #85-117, Cancha los lotes frente al de uno, barrio Picacho</t>
  </si>
  <si>
    <t>3145098228</t>
  </si>
  <si>
    <t>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 + Varicose veins crema para varices x1 + Bee Venom BSWELL x1 + Beevana crema dolores - 1 x1</t>
  </si>
  <si>
    <t>MERCANCIA RECOGIDA EN BOGOTA</t>
  </si>
  <si>
    <t>62653035</t>
  </si>
  <si>
    <t>Angie Muñoz</t>
  </si>
  <si>
    <t>054014211750</t>
  </si>
  <si>
    <t>Calle 60 #74A -134 bloque 10, APTO 203 san Germán</t>
  </si>
  <si>
    <t>3012753923</t>
  </si>
  <si>
    <t>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 + SHAMPOO ADIOS FRIZZ 450ML x1 + DUO capilar ADIOS FRIZZ - 500ml x1</t>
  </si>
  <si>
    <t>62651461</t>
  </si>
  <si>
    <t>Carolina guarin</t>
  </si>
  <si>
    <t>240044182682</t>
  </si>
  <si>
    <t>Calle 6ta # 15a -91 Parque campestre etapa 3 , casa 25</t>
  </si>
  <si>
    <t>3144552989</t>
  </si>
  <si>
    <t>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 + Beevana crema +Varicose veins x1 + Bee Venom BSWELL x1 + Beevana crema dolores - 1 x1</t>
  </si>
  <si>
    <t>62650982</t>
  </si>
  <si>
    <t>Viky Ruiz</t>
  </si>
  <si>
    <t>240044182801</t>
  </si>
  <si>
    <t>Cliente recoge pedido en oficina de Interrapidisimo en San Marcos cliente recoge en esa oficina</t>
  </si>
  <si>
    <t>3043522634</t>
  </si>
  <si>
    <t>Aceite de Batana x2 + Aceite de Batana x2 + Aceite de Batana x2 + Aceite de Batana x2 + Aceite de Batana x2 + Aceite de Batana x2 + Aceite de Batana x2 + Aceite de Batana x2 + Aceite de Batana x2 + Aceite de Batana x2</t>
  </si>
  <si>
    <t>62650805</t>
  </si>
  <si>
    <t>Yulian Paola palacio Gómez</t>
  </si>
  <si>
    <t>240044184791</t>
  </si>
  <si>
    <t>Cliente recoge en OFICINA INTERRAPIDISIMO Carreraa 13 #13A-4</t>
  </si>
  <si>
    <t>3245354317</t>
  </si>
  <si>
    <t>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 + Cepillo Plancha Secador 2 en 1 Alisador x1</t>
  </si>
  <si>
    <t>62650354</t>
  </si>
  <si>
    <t>Gloria Sanchez</t>
  </si>
  <si>
    <t>054014211751</t>
  </si>
  <si>
    <t>Calle 78B#75-21 Clinica Cardiovid, porteria principal.</t>
  </si>
  <si>
    <t>3117689494</t>
  </si>
  <si>
    <t>DISPONIBLE LUNEAS A VIERNES 7AM - 4PM</t>
  </si>
  <si>
    <t>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 + DUO capilar ADIOS FRIZZ - 300 ml x1 + DUO capilar ADIOS FRIZZ - 500ml x1</t>
  </si>
  <si>
    <t>62650206</t>
  </si>
  <si>
    <t>Osmarly Toyo</t>
  </si>
  <si>
    <t>240044160715</t>
  </si>
  <si>
    <t>calle 15 # 0-63 este supermercado merkahogar</t>
  </si>
  <si>
    <t>3225032482</t>
  </si>
  <si>
    <t>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 + Quemador de grasa Lemme Burn 60 cáps x2</t>
  </si>
  <si>
    <t>62649630</t>
  </si>
  <si>
    <t>Jose Neil</t>
  </si>
  <si>
    <t>014155639506</t>
  </si>
  <si>
    <t>Carrera 4 #62b-48 Villa del portal torre 12 apto 502</t>
  </si>
  <si>
    <t>3013962709</t>
  </si>
  <si>
    <t>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</t>
  </si>
  <si>
    <t>62649492</t>
  </si>
  <si>
    <t>Luz dari DíazTellez</t>
  </si>
  <si>
    <t>240044150142</t>
  </si>
  <si>
    <t>Calle 72 manzana 6 casa 2, barrio las de licias</t>
  </si>
  <si>
    <t>3123212795</t>
  </si>
  <si>
    <t>62649410</t>
  </si>
  <si>
    <t>Enilda luz Montiel</t>
  </si>
  <si>
    <t>240044150144</t>
  </si>
  <si>
    <t>carrera 25A  #5-60, barrio Asovivienda</t>
  </si>
  <si>
    <t>3142826560</t>
  </si>
  <si>
    <t>62647909</t>
  </si>
  <si>
    <t>Nancy Padilla</t>
  </si>
  <si>
    <t>014155639774</t>
  </si>
  <si>
    <t>Carrera 47B #41 28 Barrio Mariano Ramos</t>
  </si>
  <si>
    <t>3178706653</t>
  </si>
  <si>
    <t>62647828</t>
  </si>
  <si>
    <t>Luz bania Londoño Puerta</t>
  </si>
  <si>
    <t>240044150426</t>
  </si>
  <si>
    <t>Carrera 7 #7 40 San Mariano</t>
  </si>
  <si>
    <t>3115926558</t>
  </si>
  <si>
    <t>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 + Varicose veins crema para varices x1 + Bee Venom BSWELL x2</t>
  </si>
  <si>
    <t>62647105</t>
  </si>
  <si>
    <t>Erika Pérez</t>
  </si>
  <si>
    <t>240044160868</t>
  </si>
  <si>
    <t>Calle 55 # 23A-60 Barrio: San Antonio del Carrizal</t>
  </si>
  <si>
    <t>3203467047</t>
  </si>
  <si>
    <t>COMBO SERUM UNICORN - SMOOTH LEGEND 60ml x1 + COMBO SERUM UNICORN - SMOOTH LEGEND 60ml x1 + COMBO SERUM UNICORN - SMOOTH LEGEND 60ml x1 + COMBO SERUM UNICORN - SMOOTH LEGEND 60ml x1 + COMBO SERUM UNICORN - SMOOTH LEGEND 60ml x1 + COMBO SERUM UNICORN - SMOOTH LEGEND 60ml x1 + COMBO SERUM UNICORN - SMOOTH LEGEND 60ml x1 + COMBO SERUM UNICORN - SMOOTH LEGEND 60ml x1 + COMBO SERUM UNICORN - SMOOTH LEGEND 60ml x1 + COMBO SERUM UNICORN - SMOOTH LEGEND 60ml x1</t>
  </si>
  <si>
    <t>62646800</t>
  </si>
  <si>
    <t>Marilyn Barrada</t>
  </si>
  <si>
    <t>240044185399</t>
  </si>
  <si>
    <t>LA FLORIDA</t>
  </si>
  <si>
    <t>Cliente recoge pedido en oficina de Interrapidisimo en La Florida cliente recoge en esa oficina</t>
  </si>
  <si>
    <t>3223621207</t>
  </si>
  <si>
    <t>62646420</t>
  </si>
  <si>
    <t>Paola Beltrán</t>
  </si>
  <si>
    <t>240044185463</t>
  </si>
  <si>
    <t>Carrera 94l #91a-46, Luis carlos galan</t>
  </si>
  <si>
    <t>3245241321</t>
  </si>
  <si>
    <t>NUMERO ADICIONAL 3208690790 (PARA LLAMADAS)</t>
  </si>
  <si>
    <t>62646219</t>
  </si>
  <si>
    <t>Yina luzceidy delgado</t>
  </si>
  <si>
    <t>240044185484</t>
  </si>
  <si>
    <t>BARBACOAS</t>
  </si>
  <si>
    <t>Cliente recoge pedido en oficina de Interrapidisimo en Barbacoas cliente recoge en esa oficina</t>
  </si>
  <si>
    <t>3114016554</t>
  </si>
  <si>
    <t>62646031</t>
  </si>
  <si>
    <t>Lisbeth Cano</t>
  </si>
  <si>
    <t>240044185502</t>
  </si>
  <si>
    <t>3215472382</t>
  </si>
  <si>
    <t>62645898</t>
  </si>
  <si>
    <t>María asceneth villegas</t>
  </si>
  <si>
    <t>240044185524</t>
  </si>
  <si>
    <t>FRESNO</t>
  </si>
  <si>
    <t>Cliente recoge pedido en oficina de Interrapidisimo en Fresno cliente recoge en esa oficina</t>
  </si>
  <si>
    <t>3228705676</t>
  </si>
  <si>
    <t>62645633</t>
  </si>
  <si>
    <t>Saira Valencia</t>
  </si>
  <si>
    <t>240044185560</t>
  </si>
  <si>
    <t>calle 15A #4-45 porvenir rio Mosquera</t>
  </si>
  <si>
    <t>3229133780</t>
  </si>
  <si>
    <t>62645425</t>
  </si>
  <si>
    <t>Lavessi hernandez</t>
  </si>
  <si>
    <t>014155640761</t>
  </si>
  <si>
    <t>Calle 59D Bis #4C-83</t>
  </si>
  <si>
    <t>3166955563</t>
  </si>
  <si>
    <t>62644902</t>
  </si>
  <si>
    <t>Yoneidis Rodriguez</t>
  </si>
  <si>
    <t>240044187005</t>
  </si>
  <si>
    <t>Cliente recoge pedido en oficina de Interrapidisimo en Montecristo Bolivar cliente recoge en esa oficina</t>
  </si>
  <si>
    <t>3104278840</t>
  </si>
  <si>
    <t>62644775</t>
  </si>
  <si>
    <t>Gleidy Yineth Pérez Hurtado</t>
  </si>
  <si>
    <t>240044206584</t>
  </si>
  <si>
    <t>Carrera 16 # 3c -18 barrio Obrero Por la central del obrero cerca a la escuela</t>
  </si>
  <si>
    <t>3134206238</t>
  </si>
  <si>
    <t>62644692</t>
  </si>
  <si>
    <t>Máxima Jiménez Morales</t>
  </si>
  <si>
    <t>054014211752</t>
  </si>
  <si>
    <t>Calle San Antonio #21-82 bajando por la esquina del sabor bajando la frente el callejón a la derecha</t>
  </si>
  <si>
    <t>3007362245</t>
  </si>
  <si>
    <t>62643608</t>
  </si>
  <si>
    <t>yadith toro Osorio</t>
  </si>
  <si>
    <t>054014213263</t>
  </si>
  <si>
    <t>Carrera 8 #31-52, Barrio arroz barato</t>
  </si>
  <si>
    <t>3106909290</t>
  </si>
  <si>
    <t>62643418</t>
  </si>
  <si>
    <t>Norida Estela Muñoz Velasquez</t>
  </si>
  <si>
    <t>054014213264</t>
  </si>
  <si>
    <t>Carrera 92DD #57C-61, Barrio Blanquizal</t>
  </si>
  <si>
    <t>3103678666</t>
  </si>
  <si>
    <t>62642849</t>
  </si>
  <si>
    <t>Yulis Paola Cantillo</t>
  </si>
  <si>
    <t>240044266939</t>
  </si>
  <si>
    <t>LA MACARENA</t>
  </si>
  <si>
    <t>Cliente recoge pedido en oficina de Interrapidisimo en La Macarena cliente recoge en esa oficina</t>
  </si>
  <si>
    <t>3223263659</t>
  </si>
  <si>
    <t>DUO capilar ADIOS FRIZZ - 300 ml x2 + DUO capilar ADIOS FRIZZ - 300 ml x2 + DUO capilar ADIOS FRIZZ - 300 ml x2 + DUO capilar ADIOS FRIZZ - 300 ml x2 + DUO capilar ADIOS FRIZZ - 300 ml x2 + DUO capilar ADIOS FRIZZ - 300 ml x2 + DUO capilar ADIOS FRIZZ - 300 ml x2 + DUO capilar ADIOS FRIZZ - 300 ml x2 + DUO capilar ADIOS FRIZZ - 300 ml x2 + DUO capilar ADIOS FRIZZ - 300 ml x2</t>
  </si>
  <si>
    <t>62642553</t>
  </si>
  <si>
    <t>Nilyeth Johana Ospina Morales</t>
  </si>
  <si>
    <t>054014213265</t>
  </si>
  <si>
    <t>PALMIRA</t>
  </si>
  <si>
    <t>Carrera 30a #5b -98 Barrio Oasis de la Italia</t>
  </si>
  <si>
    <t>3132070219</t>
  </si>
  <si>
    <t>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 + DUO capilar ADIOS FRIZZ - 300 ml x1</t>
  </si>
  <si>
    <t>62642381</t>
  </si>
  <si>
    <t>Maria Ines Arzuaga</t>
  </si>
  <si>
    <t>240044162894</t>
  </si>
  <si>
    <t>LA PAZ</t>
  </si>
  <si>
    <t>Transversal 4 #5-96, Barrio centro</t>
  </si>
  <si>
    <t>3162788761</t>
  </si>
  <si>
    <t>62641801</t>
  </si>
  <si>
    <t>Anayansen Vargas</t>
  </si>
  <si>
    <t>024032237520</t>
  </si>
  <si>
    <t>Carrera 51 #53-50, Itagüí, barrio Villa Paula</t>
  </si>
  <si>
    <t>3008519673</t>
  </si>
  <si>
    <t>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 + Quemador de grasa Lemme Burn 60 cáps x1</t>
  </si>
  <si>
    <t>62629450</t>
  </si>
  <si>
    <t>Yessica velasquez</t>
  </si>
  <si>
    <t>240044266947</t>
  </si>
  <si>
    <t>SAN PEDRO(V)</t>
  </si>
  <si>
    <t>Cliente recoge pedido en oficina de Interrapidisimo en San Pedro(v) cliente recoge en esa oficina</t>
  </si>
  <si>
    <t>3173736307</t>
  </si>
  <si>
    <t>62578778</t>
  </si>
  <si>
    <t>Diana Patricia Oyola</t>
  </si>
  <si>
    <t>240044069171</t>
  </si>
  <si>
    <t>LA MONTAÑITA</t>
  </si>
  <si>
    <t>Cliente recoge pedido en oficina de Interrapidisimo en La Montañita cliente recoge en esa oficina</t>
  </si>
  <si>
    <t>3151209442</t>
  </si>
  <si>
    <t>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 + Beevana crema dolores - 1 x1 + Beevana crema +Varicose veins x1</t>
  </si>
  <si>
    <t>62578674</t>
  </si>
  <si>
    <t>Frank Enrique Charris Payares</t>
  </si>
  <si>
    <t>240044069197</t>
  </si>
  <si>
    <t>Cliente recoge pedido en oficina de Interrapidisimo en Yumbo / BARRIO BOLIVAR cliente recoge en esa oficina</t>
  </si>
  <si>
    <t>3136481996</t>
  </si>
  <si>
    <t>62578482</t>
  </si>
  <si>
    <t>Henry Rojas</t>
  </si>
  <si>
    <t>WCO2000443452</t>
  </si>
  <si>
    <t>Carrera 87 #39-09 sur patio bonito</t>
  </si>
  <si>
    <t>3102295796</t>
  </si>
  <si>
    <t>62578001</t>
  </si>
  <si>
    <t>Carlos Mario Botero Toro</t>
  </si>
  <si>
    <t>014155597938</t>
  </si>
  <si>
    <t>Carrera 58 #86aa-18, barrió moravia barbería Javi frente a la cancha sintética de Moravia</t>
  </si>
  <si>
    <t>3105011266</t>
  </si>
  <si>
    <t>62577864</t>
  </si>
  <si>
    <t>Pedro Pablo Martínez</t>
  </si>
  <si>
    <t>014155597940</t>
  </si>
  <si>
    <t>Carrera 36 #26B-89 BARRIO EL JARDÍN</t>
  </si>
  <si>
    <t>3155404127</t>
  </si>
  <si>
    <t>62577752</t>
  </si>
  <si>
    <t>Segundo Hugo Torres</t>
  </si>
  <si>
    <t>240044069360</t>
  </si>
  <si>
    <t>Calle 8#2-66 barrio tres cruses avenida feria 9:18 PM</t>
  </si>
  <si>
    <t>3227141159</t>
  </si>
  <si>
    <t>62577330</t>
  </si>
  <si>
    <t>Amparo Puentes Gómez</t>
  </si>
  <si>
    <t>240044077262</t>
  </si>
  <si>
    <t>Cliente recoge pedido en oficina PRINCIPAL de Interrapidisimo en Tunja cliente recoge en esa oficina</t>
  </si>
  <si>
    <t>3136070472</t>
  </si>
  <si>
    <t>62571526</t>
  </si>
  <si>
    <t>Francis Navas</t>
  </si>
  <si>
    <t>240044099885</t>
  </si>
  <si>
    <t>CACHIPAY</t>
  </si>
  <si>
    <t>RECLAMA INTERRAPIDISIMO EL PROGRESO</t>
  </si>
  <si>
    <t>3224635943</t>
  </si>
  <si>
    <t>CLIENTE RECLAMA EN OFICINA INTERRAPIDISIMO EL PROGRESO - NÚMERO ALTERNO  584243083957</t>
  </si>
  <si>
    <t>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 + Cepillo Plancha Secador 2 en 1 Alisador x2</t>
  </si>
  <si>
    <t>62570612</t>
  </si>
  <si>
    <t>Verónica Gómez</t>
  </si>
  <si>
    <t>024032229829</t>
  </si>
  <si>
    <t>Calle 26A # 58BB 33 Apto 101</t>
  </si>
  <si>
    <t>3146881750</t>
  </si>
  <si>
    <t>Primer timbre de abajo hacia arriba - Barrio Cabañas</t>
  </si>
  <si>
    <t>62569609</t>
  </si>
  <si>
    <t>Carolina Cifuentes</t>
  </si>
  <si>
    <t>240044076548</t>
  </si>
  <si>
    <t>AGUAZUL</t>
  </si>
  <si>
    <t>Carrera 2a #4-100 villa Yolanda</t>
  </si>
  <si>
    <t>3194325598</t>
  </si>
  <si>
    <t>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 + Beevana crema +Varicose veins x1 + Bee Venom BSWELL x1</t>
  </si>
  <si>
    <t>62569347</t>
  </si>
  <si>
    <t>Andrea Tolosa</t>
  </si>
  <si>
    <t>240044077533</t>
  </si>
  <si>
    <t>Calle 43 #1J-17, Barrio sinaí</t>
  </si>
  <si>
    <t>3118578690</t>
  </si>
  <si>
    <t>PERMITIR QUE REVISE EL PEDIDO ANTES DE REALIZAR EL PAGO</t>
  </si>
  <si>
    <t>62569290</t>
  </si>
  <si>
    <t>Nicolas Vidal</t>
  </si>
  <si>
    <t>240044077570</t>
  </si>
  <si>
    <t>Carrera 16 #114-47 barrio Jesus Mora, En la Casa de pitico</t>
  </si>
  <si>
    <t>3007825041</t>
  </si>
  <si>
    <t>62569073</t>
  </si>
  <si>
    <t>Luci Acosta Zuñiga</t>
  </si>
  <si>
    <t>240044077596</t>
  </si>
  <si>
    <t>ORITO</t>
  </si>
  <si>
    <t>Cliente recoge pedido en oficina de Interrapidisimo en Orito cliente recoge en esa oficina</t>
  </si>
  <si>
    <t>3188797528</t>
  </si>
  <si>
    <t>62568904</t>
  </si>
  <si>
    <t>Norani Picon</t>
  </si>
  <si>
    <t>240044102291</t>
  </si>
  <si>
    <t>Calle 6a #14-148 barrio San José</t>
  </si>
  <si>
    <t>3133606029</t>
  </si>
  <si>
    <t>62568873</t>
  </si>
  <si>
    <t>Martha Cecilia Ribera Triviño</t>
  </si>
  <si>
    <t>240044077606</t>
  </si>
  <si>
    <t>diagonal 2 B norte # 4-06 barrio la cabaña(frente al salón comunal)</t>
  </si>
  <si>
    <t>3204908728</t>
  </si>
  <si>
    <t>62568754</t>
  </si>
  <si>
    <t>240044102302</t>
  </si>
  <si>
    <t>RICAURTE</t>
  </si>
  <si>
    <t>Cliente recoge pedido en oficina de Interrapidisimo en Ricaurte cliente recoge en esa oficina</t>
  </si>
  <si>
    <t>3118953294</t>
  </si>
  <si>
    <t>62568745</t>
  </si>
  <si>
    <t>Nuvia camacho</t>
  </si>
  <si>
    <t>240044069033</t>
  </si>
  <si>
    <t>CARRERA 81 a # 13d-56 , C 21, localidad Kennedy, barrio Andalucía Conjunto villas de San diego</t>
  </si>
  <si>
    <t>3209875720</t>
  </si>
  <si>
    <t>62568609</t>
  </si>
  <si>
    <t>ZOILA AMERICA ALCARAZ CASSIANI</t>
  </si>
  <si>
    <t>014155598014</t>
  </si>
  <si>
    <t>SECTOR 1, MANZANA N, LOTE 13, URB VILLA LEIDY, TURBACO</t>
  </si>
  <si>
    <t>3045426761</t>
  </si>
  <si>
    <t>62568430</t>
  </si>
  <si>
    <t>Yuly andrea Martin</t>
  </si>
  <si>
    <t>240044077542</t>
  </si>
  <si>
    <t>Carrera 13 #90-20 oficina 509 Chico</t>
  </si>
  <si>
    <t>3118879087</t>
  </si>
  <si>
    <t>62568195</t>
  </si>
  <si>
    <t>José Rufino yande</t>
  </si>
  <si>
    <t>240044069073</t>
  </si>
  <si>
    <t>MORALES (C)</t>
  </si>
  <si>
    <t>Cliente recoge pedido en oficina de Interrapidisimo en Morales (c) cliente recoge en esa oficina</t>
  </si>
  <si>
    <t>3234870695</t>
  </si>
  <si>
    <t>Aceite de Batana x1 + Aceite de Batana x1 + Aceite de Batana x1 + Aceite de Batana x1 + Aceite de Batana x1 + Aceite de Batana x1 + Aceite de Batana x1 + Aceite de Batana x1 + Aceite de Batana x1 + Aceite de Batana x1</t>
  </si>
  <si>
    <t>62567921</t>
  </si>
  <si>
    <t>Omar Antonio Cano</t>
  </si>
  <si>
    <t>024032229978</t>
  </si>
  <si>
    <t>Carrera 48D #100D sur-84</t>
  </si>
  <si>
    <t>3137415666</t>
  </si>
  <si>
    <t>Combo Shampo y Aceite de Batana x1 + Combo Shampo y Aceite de Batana x1 + Combo Shampo y Aceite de Batana x1 + Combo Shampo y Aceite de Batana x1 + Combo Shampo y Aceite de Batana x1 + Combo Shampo y Aceite de Batana x1 + Combo Shampo y Aceite de Batana x1 + Combo Shampo y Aceite de Batana x1 + Combo Shampo y Aceite de Batana x1 + Combo Shampo y Aceite de Batana x1</t>
  </si>
  <si>
    <t>62567904</t>
  </si>
  <si>
    <t>Miriam del carmen hernandez Alzate</t>
  </si>
  <si>
    <t>240044069105</t>
  </si>
  <si>
    <t>REMEDIOS</t>
  </si>
  <si>
    <t>Cliente recoge pedido en oficina de Interrapidisimo en Remedios cliente recoge en esa oficina</t>
  </si>
  <si>
    <t>3122264102</t>
  </si>
  <si>
    <t>62567756</t>
  </si>
  <si>
    <t>Humberto Bedoya Obando</t>
  </si>
  <si>
    <t>240044069112</t>
  </si>
  <si>
    <t>Cliente recoge pedido en oficina principal de Interrapidisimo en Villavicencio cliente recoge en esa oficina</t>
  </si>
  <si>
    <t>3145204857</t>
  </si>
  <si>
    <t>62567699</t>
  </si>
  <si>
    <t>Claudia Yaneth Araujo Barco</t>
  </si>
  <si>
    <t>054014208957</t>
  </si>
  <si>
    <t>FLORIDA</t>
  </si>
  <si>
    <t>Carrera 8 #7-04, La Cabaña</t>
  </si>
  <si>
    <t>3145513138</t>
  </si>
  <si>
    <t>62560770</t>
  </si>
  <si>
    <t>María Cristina Herrera Erazo</t>
  </si>
  <si>
    <t>054014208962</t>
  </si>
  <si>
    <t>Carrera 47 #32sur-64 bloque 3 apto 402, condominio Portal Norte</t>
  </si>
  <si>
    <t>3178073996</t>
  </si>
  <si>
    <t>62560666</t>
  </si>
  <si>
    <t>Yuliana Medina</t>
  </si>
  <si>
    <t>054014208963</t>
  </si>
  <si>
    <t>Carrera 95A #78A-31 interior 107 apartamento, Robledo Aures</t>
  </si>
  <si>
    <t>3114355202</t>
  </si>
  <si>
    <t>62560528</t>
  </si>
  <si>
    <t>Gloria Montoya</t>
  </si>
  <si>
    <t>054014208964</t>
  </si>
  <si>
    <t>Calle 52 #12-12 villacolombia</t>
  </si>
  <si>
    <t>3043725232</t>
  </si>
  <si>
    <t>62559794</t>
  </si>
  <si>
    <t>María Irma cardona</t>
  </si>
  <si>
    <t>054014208966</t>
  </si>
  <si>
    <t>Calle 54a #43c-25 Morichal de Confandi</t>
  </si>
  <si>
    <t>3183721812</t>
  </si>
  <si>
    <t>62559698</t>
  </si>
  <si>
    <t>Sorany Orozco</t>
  </si>
  <si>
    <t>240044110771</t>
  </si>
  <si>
    <t>OFICINA INTER RAPIDISIMO EL TAMBO CAUCA</t>
  </si>
  <si>
    <t>3126309020</t>
  </si>
  <si>
    <t>CIENTE RECLAMA EN OFICINA DE EL TAMBO CAUCA</t>
  </si>
  <si>
    <t>62559674</t>
  </si>
  <si>
    <t>Rocío Galíndez</t>
  </si>
  <si>
    <t>240044102396</t>
  </si>
  <si>
    <t>ARGELIA (C)</t>
  </si>
  <si>
    <t>Cliente recoge pedido en oficina de Interrapidisimo en Argelia (c) cliente recoge en esa oficina</t>
  </si>
  <si>
    <t>3116164136</t>
  </si>
  <si>
    <t>62559567</t>
  </si>
  <si>
    <t>Mariela Yacue</t>
  </si>
  <si>
    <t>240044102407</t>
  </si>
  <si>
    <t>Calle 10b #6a-21 barrio San Rafael</t>
  </si>
  <si>
    <t>3115152118</t>
  </si>
  <si>
    <t>62559487</t>
  </si>
  <si>
    <t>Yeribeth Camacaro</t>
  </si>
  <si>
    <t>240044110804</t>
  </si>
  <si>
    <t>VIJES</t>
  </si>
  <si>
    <t>Vijes - barrio las Malvinas - casa 10/17</t>
  </si>
  <si>
    <t>3147658549</t>
  </si>
  <si>
    <t>LOCALIZACIÓN GOOGLE MAPS: 3.6940033,-76.4399198</t>
  </si>
  <si>
    <t>Cepillo Plancha Secador 2 en 1 Alisador x4 + Cepillo Plancha Secador 2 en 1 Alisador x4 + Cepillo Plancha Secador 2 en 1 Alisador x4 + Cepillo Plancha Secador 2 en 1 Alisador x4 + Cepillo Plancha Secador 2 en 1 Alisador x4 + Cepillo Plancha Secador 2 en 1 Alisador x4 + Cepillo Plancha Secador 2 en 1 Alisador x4 + Cepillo Plancha Secador 2 en 1 Alisador x4 + Cepillo Plancha Secador 2 en 1 Alisador x4 + Cepillo Plancha Secador 2 en 1 Alisador x4</t>
  </si>
  <si>
    <t>62559374</t>
  </si>
  <si>
    <t>Johana López</t>
  </si>
  <si>
    <t>240044110823</t>
  </si>
  <si>
    <t>Carrera 39 #13 - 121 Barrio Ciudad verde</t>
  </si>
  <si>
    <t>3102592739</t>
  </si>
  <si>
    <t>Barrio Ciudad verde / Conjunto Heliconia</t>
  </si>
  <si>
    <t>62558269</t>
  </si>
  <si>
    <t>Amelia Alcázar Melendez</t>
  </si>
  <si>
    <t>240044111195</t>
  </si>
  <si>
    <t>OFICINA INTERRAPIDISIMO BELEN DE UMBRIA</t>
  </si>
  <si>
    <t>3116234087</t>
  </si>
  <si>
    <t>CLIENTE RECLAMA EN LA OFICINA DE BELEN DE UMBRIA</t>
  </si>
  <si>
    <t>62558127</t>
  </si>
  <si>
    <t>Erika Pacheco Diaz</t>
  </si>
  <si>
    <t>240044111284</t>
  </si>
  <si>
    <t>Calle 36 # 7-20</t>
  </si>
  <si>
    <t>3214468103</t>
  </si>
  <si>
    <t>62557917</t>
  </si>
  <si>
    <t>Miriam Moreno Moreno</t>
  </si>
  <si>
    <t>240044111298</t>
  </si>
  <si>
    <t>ORTEGA</t>
  </si>
  <si>
    <t>OFICINA INTERRAPIDISIMO ORTEGA</t>
  </si>
  <si>
    <t>3224344231</t>
  </si>
  <si>
    <t>CLIENTE RECLAMA EN OFICINA INTERRAPIDISIMO ORTEGA</t>
  </si>
  <si>
    <t>62557765</t>
  </si>
  <si>
    <t>Cindy Anaya</t>
  </si>
  <si>
    <t>Calle 85 # 67 - 07 BARRIO=Bosa la Esmeralda</t>
  </si>
  <si>
    <t>3105552362</t>
  </si>
  <si>
    <t>BARRIO=Bosa la Esmeralda / NUM ALTERNO= 3018068972</t>
  </si>
  <si>
    <t>62557384</t>
  </si>
  <si>
    <t>Doralba Velasco Villamizar</t>
  </si>
  <si>
    <t>240044111575</t>
  </si>
  <si>
    <t>TOLEDO</t>
  </si>
  <si>
    <t>Carrera 5 # 12 - 54 Centro Hotel Orquídea Real</t>
  </si>
  <si>
    <t>3214497703</t>
  </si>
  <si>
    <t>62557301</t>
  </si>
  <si>
    <t>Adilver Cubillos Giradol</t>
  </si>
  <si>
    <t>240044111600</t>
  </si>
  <si>
    <t>PITAL</t>
  </si>
  <si>
    <t>OFICINA INTERRAPIDISIMO PITAL HUILA</t>
  </si>
  <si>
    <t>3114977336</t>
  </si>
  <si>
    <t>CLIENTE RECLAMA EN OFICINA</t>
  </si>
  <si>
    <t>62557123</t>
  </si>
  <si>
    <t>Milena Oviedo</t>
  </si>
  <si>
    <t>014155621077</t>
  </si>
  <si>
    <t>Calle 35cra34b 18, Caribe</t>
  </si>
  <si>
    <t>3217156837</t>
  </si>
  <si>
    <t>62557079</t>
  </si>
  <si>
    <t>Glinis Ortiz Escorcia</t>
  </si>
  <si>
    <t>240044111703</t>
  </si>
  <si>
    <t>CHIRIGUANA</t>
  </si>
  <si>
    <t>Calle 7 # 9 - 20 Barrio el Carmen</t>
  </si>
  <si>
    <t>3218875274</t>
  </si>
  <si>
    <t>Barrio el Carmen</t>
  </si>
  <si>
    <t>62556922</t>
  </si>
  <si>
    <t>Azucena Soto</t>
  </si>
  <si>
    <t>240044079322</t>
  </si>
  <si>
    <t>Carrera 11 este #15 28 sur Barrio Villamelida</t>
  </si>
  <si>
    <t>3144361590</t>
  </si>
  <si>
    <t>62556803</t>
  </si>
  <si>
    <t>Luz De la rosa</t>
  </si>
  <si>
    <t>240044111762</t>
  </si>
  <si>
    <t>Calle 22 carrera 1a - 3 - 3 Colegio Juan 23</t>
  </si>
  <si>
    <t>3002297971</t>
  </si>
  <si>
    <t>Calle 22 con carrera 1a 3 3 colegio Juan 23 pregunta por el segundazo de Tata barrio brisas del Río</t>
  </si>
  <si>
    <t>62556702</t>
  </si>
  <si>
    <t>Martha Lucia Bedoya</t>
  </si>
  <si>
    <t>240044061016</t>
  </si>
  <si>
    <t>Calle 50 #55-01 Parque Residencial Oviedo</t>
  </si>
  <si>
    <t>3123168513</t>
  </si>
  <si>
    <t>Apto 909 torre 1 barro el poblado</t>
  </si>
  <si>
    <t>62556553</t>
  </si>
  <si>
    <t>Yudy Díaz Morales</t>
  </si>
  <si>
    <t>024032228008</t>
  </si>
  <si>
    <t>Cra 39A # 52-21 apto 101</t>
  </si>
  <si>
    <t>3113716035</t>
  </si>
  <si>
    <t>62535404</t>
  </si>
  <si>
    <t>Tatiana Diaz</t>
  </si>
  <si>
    <t>240044061102</t>
  </si>
  <si>
    <t>ESPINAL</t>
  </si>
  <si>
    <t>Manzana 6, Casa 8, Portal del Bunde</t>
  </si>
  <si>
    <t>3169353720</t>
  </si>
  <si>
    <t>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 + Serum despigmentante SMOOTH LEGEND 60ml x1 + Truly Soft Serve MINI 60ml x1</t>
  </si>
  <si>
    <t>62482752</t>
  </si>
  <si>
    <t>Sonia del Castillo</t>
  </si>
  <si>
    <t>240043970262</t>
  </si>
  <si>
    <t>EL COPEY</t>
  </si>
  <si>
    <t>Cliente recoge pedido en oficina de Interrapidisimo en El Copey cliente recoge en esa oficina</t>
  </si>
  <si>
    <t>3122607938</t>
  </si>
  <si>
    <t>62481026</t>
  </si>
  <si>
    <t>Lucia Valencia</t>
  </si>
  <si>
    <t>240043965554</t>
  </si>
  <si>
    <t>Carrera 8 #27-05, barrio 20 de julio, cliente recoge en esa oficina de interrapidisimo</t>
  </si>
  <si>
    <t>3175034559</t>
  </si>
  <si>
    <t>62479847</t>
  </si>
  <si>
    <t>Mónica Andre Parra Hernández</t>
  </si>
  <si>
    <t>240043999702</t>
  </si>
  <si>
    <t>PORE</t>
  </si>
  <si>
    <t>Carrera 9 #10-59, Barrio: Jan José</t>
  </si>
  <si>
    <t>3124338092</t>
  </si>
  <si>
    <t>62479700</t>
  </si>
  <si>
    <t>Paola Escobar</t>
  </si>
  <si>
    <t>240043999734</t>
  </si>
  <si>
    <t>Cliente recoge pedido en oficina de Interrapidisimo en Caucasia cliente recoge en esa oficina</t>
  </si>
  <si>
    <t>3209928295</t>
  </si>
  <si>
    <t>62479429</t>
  </si>
  <si>
    <t>Helena Figueroa Guarin</t>
  </si>
  <si>
    <t>240044029513</t>
  </si>
  <si>
    <t>Calle 48 A Sur #79-10, bloque 10 Int 5, Apto 103, Casablanca 25 Kennedy</t>
  </si>
  <si>
    <t>3138338165</t>
  </si>
  <si>
    <t>62479160</t>
  </si>
  <si>
    <t>Gloria esther orozco licona</t>
  </si>
  <si>
    <t>240044084985</t>
  </si>
  <si>
    <t>PUERTO NARE</t>
  </si>
  <si>
    <t>Cliente recoge pedido en oficina de Interrapidisimo en Puerto Nare cliente recoge en esa oficina</t>
  </si>
  <si>
    <t>3137769005</t>
  </si>
  <si>
    <t>62478842</t>
  </si>
  <si>
    <t>Martha Murillo</t>
  </si>
  <si>
    <t>240044085009</t>
  </si>
  <si>
    <t>Manzana 8 Casa 35, Monte libano</t>
  </si>
  <si>
    <t>3175126723</t>
  </si>
  <si>
    <t>62474485</t>
  </si>
  <si>
    <t>Pablo Valero</t>
  </si>
  <si>
    <t>240044022179</t>
  </si>
  <si>
    <t>calle 128 # 93 a-81 suba Rincón</t>
  </si>
  <si>
    <t>3144618044</t>
  </si>
  <si>
    <t>62472991</t>
  </si>
  <si>
    <t>Claudia Patricia Moreno Orellana</t>
  </si>
  <si>
    <t>240043999775</t>
  </si>
  <si>
    <t>Cliente recoge pedido en oficina principal de Interrapidisimo en Floridablanca cliente recoge en esa oficina</t>
  </si>
  <si>
    <t>3138473785</t>
  </si>
  <si>
    <t>DUO capilar ADIOS FRIZZ - 500ml x2 + DUO capilar ADIOS FRIZZ - 500ml x2 + DUO capilar ADIOS FRIZZ - 500ml x2 + DUO capilar ADIOS FRIZZ - 500ml x2 + DUO capilar ADIOS FRIZZ - 500ml x2 + DUO capilar ADIOS FRIZZ - 500ml x2 + DUO capilar ADIOS FRIZZ - 500ml x2 + DUO capilar ADIOS FRIZZ - 500ml x2 + DUO capilar ADIOS FRIZZ - 500ml x2 + DUO capilar ADIOS FRIZZ - 500ml x2</t>
  </si>
  <si>
    <t>62446153</t>
  </si>
  <si>
    <t>Martha Nuñez</t>
  </si>
  <si>
    <t>240043927524</t>
  </si>
  <si>
    <t>Manzana 28 Casa # 7 Barrio Villa Jaidith</t>
  </si>
  <si>
    <t>3024017657</t>
  </si>
  <si>
    <t>62445740</t>
  </si>
  <si>
    <t>Albenis Sanchez Ramirez</t>
  </si>
  <si>
    <t>240043962212</t>
  </si>
  <si>
    <t>OFICINA INTERRAPIDISIMO GARZON</t>
  </si>
  <si>
    <t>3202748381</t>
  </si>
  <si>
    <t>CLIENTE RECLAMA EN OFICINA INTERRAPIDISIMO GRAZON</t>
  </si>
  <si>
    <t>62443708</t>
  </si>
  <si>
    <t>Belarmina Simanca Guzmán</t>
  </si>
  <si>
    <t>014155540327</t>
  </si>
  <si>
    <t>ARJONA B</t>
  </si>
  <si>
    <t>CLIENTE RECLAMA OFICINA INTERRAPIDISIMO</t>
  </si>
  <si>
    <t>3226716387</t>
  </si>
  <si>
    <t>62443673</t>
  </si>
  <si>
    <t>Ada Luz Escobar</t>
  </si>
  <si>
    <t>240043927616</t>
  </si>
  <si>
    <t>Calle 19 D casa 1316, Barrio la granja</t>
  </si>
  <si>
    <t>3113838990</t>
  </si>
  <si>
    <t>62443308</t>
  </si>
  <si>
    <t>Aty Gundiwa Villafaña</t>
  </si>
  <si>
    <t>014155540336</t>
  </si>
  <si>
    <t>Carrera 49 # 30 ‑ 94 Torre 4 Apartamento 601</t>
  </si>
  <si>
    <t>3234225668</t>
  </si>
  <si>
    <t>Conjunto Residencial Torres del Parque, Torre 4 Apartamento 601, Barrio Mamatoco
NUMERO DE QUIEN RECIBE 3193688098</t>
  </si>
  <si>
    <t>62443117</t>
  </si>
  <si>
    <t>Adriana Casallas</t>
  </si>
  <si>
    <t>240043963793</t>
  </si>
  <si>
    <t>EL ROSAL</t>
  </si>
  <si>
    <t>Cra 4 # 12-17 Bochica</t>
  </si>
  <si>
    <t>3212918769</t>
  </si>
  <si>
    <t>62442880</t>
  </si>
  <si>
    <t>Tatiana Dueñas</t>
  </si>
  <si>
    <t>240043963828</t>
  </si>
  <si>
    <t>TAURAMENA</t>
  </si>
  <si>
    <t>Carrera 3 N 4-47, Barrio La Primavera</t>
  </si>
  <si>
    <t>3118473716</t>
  </si>
  <si>
    <t>62442716</t>
  </si>
  <si>
    <t>Ofelia Lozano</t>
  </si>
  <si>
    <t>014155549319</t>
  </si>
  <si>
    <t>EL CERRITO</t>
  </si>
  <si>
    <t>Calle 8 # 8-45, barrio la estrella</t>
  </si>
  <si>
    <t>3188215057</t>
  </si>
  <si>
    <t>62442557</t>
  </si>
  <si>
    <t>Johana Barrera</t>
  </si>
  <si>
    <t>240043963877</t>
  </si>
  <si>
    <t>Cll 2#56a 27, Barrio Galán</t>
  </si>
  <si>
    <t>3212727327</t>
  </si>
  <si>
    <t>62442534</t>
  </si>
  <si>
    <t>Beatriz González</t>
  </si>
  <si>
    <t>240043927642</t>
  </si>
  <si>
    <t>OFICINA INTER RAPIDISIMO RIO SUCIO / CALDAS</t>
  </si>
  <si>
    <t>3154698323</t>
  </si>
  <si>
    <t>CLIENTE RECLAMA EN OFICINA RIO SUCIO</t>
  </si>
  <si>
    <t>62442519</t>
  </si>
  <si>
    <t>Martha pabon</t>
  </si>
  <si>
    <t>240043950276</t>
  </si>
  <si>
    <t>Manzana p 18, n 43 valle de los caballeros</t>
  </si>
  <si>
    <t>3176729277</t>
  </si>
  <si>
    <t>62442396</t>
  </si>
  <si>
    <t>Dellys Ortega Mercado</t>
  </si>
  <si>
    <t>024032210220</t>
  </si>
  <si>
    <t>Calle 16A 24-66</t>
  </si>
  <si>
    <t>3006903254</t>
  </si>
  <si>
    <t>NUMERO ALTERNO 3502151395</t>
  </si>
  <si>
    <t>62442252</t>
  </si>
  <si>
    <t>Adriana Niampira Cucaita</t>
  </si>
  <si>
    <t>240043940863</t>
  </si>
  <si>
    <t>Carrera 15 Este #52 A-13, Barrio La Capilla Cazuca</t>
  </si>
  <si>
    <t>3212321340</t>
  </si>
  <si>
    <t>62442048</t>
  </si>
  <si>
    <t>Denys Montero</t>
  </si>
  <si>
    <t>240043924669</t>
  </si>
  <si>
    <t>LA CHAPARRERA</t>
  </si>
  <si>
    <t>OFICINA  INTER RAPIDISIMO LA CHAPARRERA</t>
  </si>
  <si>
    <t>3112348042</t>
  </si>
  <si>
    <t>CLIENTE RECLAMA EN OFICINA  INTER RAPIDISIMO LA CHAPARRERA</t>
  </si>
  <si>
    <t>62442005</t>
  </si>
  <si>
    <t>Karen Garcia</t>
  </si>
  <si>
    <t>NOVEDAD SOLUCIONADA</t>
  </si>
  <si>
    <t>054014206751</t>
  </si>
  <si>
    <t>Barrio Luz del Mundo, Manzana 21, Casa 13</t>
  </si>
  <si>
    <t>3217629428</t>
  </si>
  <si>
    <t>62441953</t>
  </si>
  <si>
    <t>Glenis Pinzón</t>
  </si>
  <si>
    <t>240043963894</t>
  </si>
  <si>
    <t>Calle 24 #85C 70 - Barrio Modelia</t>
  </si>
  <si>
    <t>3224365881</t>
  </si>
  <si>
    <t>62441690</t>
  </si>
  <si>
    <t>Yenis Madrid Arrieta</t>
  </si>
  <si>
    <t>240043924675</t>
  </si>
  <si>
    <t>RECLAMA EN OFICINA INTER RAPIDISIMO CIENAGA DE ORO</t>
  </si>
  <si>
    <t>3147119398</t>
  </si>
  <si>
    <t>CLIENTE RECLAMA EN OFICINA INTER RAPIDISIMO CIENAGA DE ORO</t>
  </si>
  <si>
    <t>62441575</t>
  </si>
  <si>
    <t>Saire Gaitán Rojas</t>
  </si>
  <si>
    <t>240043964689</t>
  </si>
  <si>
    <t>Carrera 17 #19-40 Barrio mancera Asadero Maxi pollo</t>
  </si>
  <si>
    <t>3134800392</t>
  </si>
  <si>
    <t>62441487</t>
  </si>
  <si>
    <t>Luz Dary NO</t>
  </si>
  <si>
    <t>240044029549</t>
  </si>
  <si>
    <t>Calle 57 sur # 89-16, Bosa san martín</t>
  </si>
  <si>
    <t>3102279114</t>
  </si>
  <si>
    <t>62441404</t>
  </si>
  <si>
    <t>Diana Sánchez Mercado</t>
  </si>
  <si>
    <t>240043924686</t>
  </si>
  <si>
    <t>RECLAMA OFICINA INTER RAPIDISIMO EL BANCO MAGDALENA</t>
  </si>
  <si>
    <t>3219944483</t>
  </si>
  <si>
    <t>62441375</t>
  </si>
  <si>
    <t>Sharoll Mármol</t>
  </si>
  <si>
    <t>024032210228</t>
  </si>
  <si>
    <t>ALBANIA</t>
  </si>
  <si>
    <t>villa one, manzana L casa 3</t>
  </si>
  <si>
    <t>3128055062</t>
  </si>
  <si>
    <t>62441359</t>
  </si>
  <si>
    <t>Yolivis Jiménez</t>
  </si>
  <si>
    <t>014155549390</t>
  </si>
  <si>
    <t>Cra 36a #46a -49, barrio Ríos de Aguas Vivas</t>
  </si>
  <si>
    <t>3205904384</t>
  </si>
  <si>
    <t>Punto de referencia: la clínica de la policía en la circunvalar</t>
  </si>
  <si>
    <t>62441266</t>
  </si>
  <si>
    <t>María Irene Santiago Pacheco</t>
  </si>
  <si>
    <t>240043941086</t>
  </si>
  <si>
    <t>CARRERA 1A #9 - 04 Barrio el Carmen</t>
  </si>
  <si>
    <t>3136492351</t>
  </si>
  <si>
    <t>62441215</t>
  </si>
  <si>
    <t>Angie Torres</t>
  </si>
  <si>
    <t>240043924691</t>
  </si>
  <si>
    <t>Transversal 87 # 58D 33 sur/ Bosa Paraiso</t>
  </si>
  <si>
    <t>3115762813</t>
  </si>
  <si>
    <t>Barrio: Bosa Paraíso</t>
  </si>
  <si>
    <t>62441153</t>
  </si>
  <si>
    <t>Blanca Zapata</t>
  </si>
  <si>
    <t>240043964724</t>
  </si>
  <si>
    <t>Carrera 4 # 4a-40 Barrio rincon del norte</t>
  </si>
  <si>
    <t>3123508950</t>
  </si>
  <si>
    <t>62441087</t>
  </si>
  <si>
    <t>Sandra Velasco</t>
  </si>
  <si>
    <t>240044000075</t>
  </si>
  <si>
    <t>Calle 2 # 4-49, Barrio Centro</t>
  </si>
  <si>
    <t>3126361650</t>
  </si>
  <si>
    <t>62440846</t>
  </si>
  <si>
    <t>Nancy Ochoa</t>
  </si>
  <si>
    <t>240043924700</t>
  </si>
  <si>
    <t>Carrera 14 # 1 - 136 Edificio Panorama</t>
  </si>
  <si>
    <t>3026512491</t>
  </si>
  <si>
    <t>Barrio Fundadores / Edificio Panorama (llamar cuando estén en portería ella lo recibe)
Numero Alterno= 3024662950</t>
  </si>
  <si>
    <t>62440812</t>
  </si>
  <si>
    <t>Nuvis samboni</t>
  </si>
  <si>
    <t>240043941211</t>
  </si>
  <si>
    <t>ACEVEDO</t>
  </si>
  <si>
    <t>Cliente recoge pedido en oficina de Interrapidisimo en Acevedo cliente recoge en esa oficina</t>
  </si>
  <si>
    <t>3045589859</t>
  </si>
  <si>
    <t>62440604</t>
  </si>
  <si>
    <t>Gleidimar Davila</t>
  </si>
  <si>
    <t>240043964763</t>
  </si>
  <si>
    <t>CALLE 7 N 17-56, Nuevo Fortul</t>
  </si>
  <si>
    <t>3144543795</t>
  </si>
  <si>
    <t>62440165</t>
  </si>
  <si>
    <t>Daniela Bucheli</t>
  </si>
  <si>
    <t>024032210235</t>
  </si>
  <si>
    <t>Carrera 50 calle 58-9 Barrio el congolo</t>
  </si>
  <si>
    <t>3104611993</t>
  </si>
  <si>
    <t>62439802</t>
  </si>
  <si>
    <t>Nalbis López Ramírez</t>
  </si>
  <si>
    <t>240043941578</t>
  </si>
  <si>
    <t>SANTA ANA (M)</t>
  </si>
  <si>
    <t>calle 3 # 20-07 barrio villa Rosario</t>
  </si>
  <si>
    <t>3217242755</t>
  </si>
  <si>
    <t>62439585</t>
  </si>
  <si>
    <t>Virgelina Giraldo</t>
  </si>
  <si>
    <t>240043941613</t>
  </si>
  <si>
    <t>Transversal 26a bis # 45a-08 sur barrio el claret</t>
  </si>
  <si>
    <t>3133618694</t>
  </si>
  <si>
    <t>LLAMAR ANTES</t>
  </si>
  <si>
    <t>62439164</t>
  </si>
  <si>
    <t>GLADYS VELEZ TORRES</t>
  </si>
  <si>
    <t>014155549501</t>
  </si>
  <si>
    <t>carrera 78A #1A SUR, manzana 92-57, barrio Nuevo horizonte subiendo las dos huellas a mano derecha</t>
  </si>
  <si>
    <t>3183866745</t>
  </si>
  <si>
    <t>barrio Nuevo horizonte subiendo las dos huellas a mano derecha</t>
  </si>
  <si>
    <t>62438181</t>
  </si>
  <si>
    <t>Mayerlis Salazar</t>
  </si>
  <si>
    <t>240044000298</t>
  </si>
  <si>
    <t>Carrera 35a #74c-16 ciudadela pipaton</t>
  </si>
  <si>
    <t>3144266719</t>
  </si>
  <si>
    <t>62437992</t>
  </si>
  <si>
    <t>Bibiana Rodríguez</t>
  </si>
  <si>
    <t>240044000407</t>
  </si>
  <si>
    <t>Oficina interrapisimo Avenida 1ro de mayo #68f-59</t>
  </si>
  <si>
    <t>3506850672</t>
  </si>
  <si>
    <t>62437903</t>
  </si>
  <si>
    <t>jacqueline castro</t>
  </si>
  <si>
    <t>240044000438</t>
  </si>
  <si>
    <t>Manzana 7 casa 83 barrio Cuba Santafe</t>
  </si>
  <si>
    <t>3207355440</t>
  </si>
  <si>
    <t>62437848</t>
  </si>
  <si>
    <t>Piedad Hoyos Mendoza</t>
  </si>
  <si>
    <t>240044029564</t>
  </si>
  <si>
    <t>Carrera 15  #78-33 Centro comercial Unilago local 2-251</t>
  </si>
  <si>
    <t>3017376640</t>
  </si>
  <si>
    <t>62437814</t>
  </si>
  <si>
    <t>Wilmer Ortega</t>
  </si>
  <si>
    <t>240043950714</t>
  </si>
  <si>
    <t>carrera 9 # 31-60 sur barrio San Isidro</t>
  </si>
  <si>
    <t>3102582051</t>
  </si>
  <si>
    <t>62437505</t>
  </si>
  <si>
    <t>Sandra Milena Madaríaga Bernal</t>
  </si>
  <si>
    <t>240044000467</t>
  </si>
  <si>
    <t>Calle 47 #43-114 torre san Ignacio barrio la candelaria.</t>
  </si>
  <si>
    <t>3222163641</t>
  </si>
  <si>
    <t>62437309</t>
  </si>
  <si>
    <t>Amalia Gómez</t>
  </si>
  <si>
    <t>240044000489</t>
  </si>
  <si>
    <t>CAICEDO</t>
  </si>
  <si>
    <t>Cliente recoge pedido en oficina de Interrapidisimo en Caicedo cliente recoge en esa oficina</t>
  </si>
  <si>
    <t>3205242846</t>
  </si>
  <si>
    <t>62436312</t>
  </si>
  <si>
    <t>Sandra Fernanda Borrero</t>
  </si>
  <si>
    <t>054014206756</t>
  </si>
  <si>
    <t>Calle 33f #24D-22. Casa primer piso barrio / Alfonso Barberena</t>
  </si>
  <si>
    <t>3216841317</t>
  </si>
  <si>
    <t>62435812</t>
  </si>
  <si>
    <t>Ana Galindo Sánchez</t>
  </si>
  <si>
    <t>240044000619</t>
  </si>
  <si>
    <t>Carrera 12 # 3-37 B/ Sta Bárbara</t>
  </si>
  <si>
    <t>3212848747</t>
  </si>
  <si>
    <t>62435664</t>
  </si>
  <si>
    <t>Neidiluz Vargas</t>
  </si>
  <si>
    <t>054014206757</t>
  </si>
  <si>
    <t>Calle 72t # 27-81</t>
  </si>
  <si>
    <t>3022164256</t>
  </si>
  <si>
    <t>62435595</t>
  </si>
  <si>
    <t>Tatiana Toledo</t>
  </si>
  <si>
    <t>240044000683</t>
  </si>
  <si>
    <t>MILAN</t>
  </si>
  <si>
    <t>Cliente recoge pedido en oficina de Interrapidisimo en Milan cliente recoge en esa oficina</t>
  </si>
  <si>
    <t>3144660256</t>
  </si>
  <si>
    <t>62432441</t>
  </si>
  <si>
    <t>CARLOS CAJIAO</t>
  </si>
  <si>
    <t>240043941161</t>
  </si>
  <si>
    <t>carrera 116 #14B-95, FONTIBÓN Recodo</t>
  </si>
  <si>
    <t>3104671392</t>
  </si>
  <si>
    <t>62432298</t>
  </si>
  <si>
    <t>Marleny Quintero</t>
  </si>
  <si>
    <t>240044000754</t>
  </si>
  <si>
    <t>Manzana n casa 16 pacande</t>
  </si>
  <si>
    <t>3102071325</t>
  </si>
  <si>
    <t>62431849</t>
  </si>
  <si>
    <t>Yamile Quintero Ríascos</t>
  </si>
  <si>
    <t>V4002115133</t>
  </si>
  <si>
    <t>Calle 2 C Oeste #94 B-54, Meléndez Algarrobo,</t>
  </si>
  <si>
    <t>3126868150</t>
  </si>
  <si>
    <t>62431832</t>
  </si>
  <si>
    <t>Sofía Garcia Trejos</t>
  </si>
  <si>
    <t>240044000786</t>
  </si>
  <si>
    <t>PUERTO BOYACA</t>
  </si>
  <si>
    <t>Calle 27 #4-34 - Barrio galan</t>
  </si>
  <si>
    <t>3016456473</t>
  </si>
  <si>
    <t>62431643</t>
  </si>
  <si>
    <t>Luz Mary Brito</t>
  </si>
  <si>
    <t>240044000857</t>
  </si>
  <si>
    <t>cra 16 20a 05 centro de armenia quindio</t>
  </si>
  <si>
    <t>3013625360</t>
  </si>
  <si>
    <t>62431048</t>
  </si>
  <si>
    <t>Tania Álvarez blanquicet</t>
  </si>
  <si>
    <t>014155549827</t>
  </si>
  <si>
    <t>CARRERA 30 #27-356, conjunto residencial el Portillo</t>
  </si>
  <si>
    <t>3244478175</t>
  </si>
  <si>
    <t>LLAMAR CUANDO ESTEN ALLI 3244478175</t>
  </si>
  <si>
    <t>62430775</t>
  </si>
  <si>
    <t>Adriana Vanegas</t>
  </si>
  <si>
    <t>240044000981</t>
  </si>
  <si>
    <t>SUAZA</t>
  </si>
  <si>
    <t>CLIENTE RECLAMA EN OFICINA INTERRAPIDISIMO</t>
  </si>
  <si>
    <t>3189316397</t>
  </si>
  <si>
    <t>62430290</t>
  </si>
  <si>
    <t>Darcy del Carmen Florez Berrio</t>
  </si>
  <si>
    <t>054014206762</t>
  </si>
  <si>
    <t>Barrio La Palma Mz 18 Lote 3 Segundo Piso 2</t>
  </si>
  <si>
    <t>3168512292</t>
  </si>
  <si>
    <t>Segundo Piso 2</t>
  </si>
  <si>
    <t>62429880</t>
  </si>
  <si>
    <t>Angela Banguero</t>
  </si>
  <si>
    <t>240044001032</t>
  </si>
  <si>
    <t>CLIENTE RECLAMA OFICINA PRINCIPAL INTERRAPIDISIMO</t>
  </si>
  <si>
    <t>3137767830</t>
  </si>
  <si>
    <t>62429036</t>
  </si>
  <si>
    <t>Leidy Johana Rojas</t>
  </si>
  <si>
    <t>240044001062</t>
  </si>
  <si>
    <t>CLIENTE RECLAMA OFICINA INTERRAPIDISIMO PUERTO RICO</t>
  </si>
  <si>
    <t>3123191571</t>
  </si>
  <si>
    <t>62428914</t>
  </si>
  <si>
    <t>Rosa Emilia Quintana Zapata</t>
  </si>
  <si>
    <t>014155549840</t>
  </si>
  <si>
    <t>Carrera 107 #35-24 Belencito villa Laura</t>
  </si>
  <si>
    <t>3122172562</t>
  </si>
  <si>
    <t>62428669</t>
  </si>
  <si>
    <t>Ivon Flórez Hurtado</t>
  </si>
  <si>
    <t>054014206764</t>
  </si>
  <si>
    <t>Calle 31B #89DD-04, Belén Las Violetas</t>
  </si>
  <si>
    <t>3148177160</t>
  </si>
  <si>
    <t>Dos casas después de la Sede Social Las Violetas</t>
  </si>
  <si>
    <t>62428384</t>
  </si>
  <si>
    <t>240044001109</t>
  </si>
  <si>
    <t>Calle 27 # 4 - 34 Barrio Galan</t>
  </si>
  <si>
    <t>Barrio Galán</t>
  </si>
  <si>
    <t>62428313</t>
  </si>
  <si>
    <t>claudia patricia lozano</t>
  </si>
  <si>
    <t>V4002123336</t>
  </si>
  <si>
    <t>calle 13 A bis #80-45 torres de BADALONA, barrio el ijenio</t>
  </si>
  <si>
    <t>3122061620</t>
  </si>
  <si>
    <t>62427934</t>
  </si>
  <si>
    <t>Sara Castro</t>
  </si>
  <si>
    <t>240044001191</t>
  </si>
  <si>
    <t>RECLAMA OFICINA INTER RAPIDISIMO GIRARDOT</t>
  </si>
  <si>
    <t>3203317448</t>
  </si>
  <si>
    <t>CLIENTE RECLAMA OFICINA INTER RAPIDISIMO</t>
  </si>
  <si>
    <t>62427582</t>
  </si>
  <si>
    <t>Rosa Elena García Hernández</t>
  </si>
  <si>
    <t>240044001272</t>
  </si>
  <si>
    <t>BOSCONIA</t>
  </si>
  <si>
    <t>Cra 17a #14 26. Barrio San Martin</t>
  </si>
  <si>
    <t>3004944843</t>
  </si>
  <si>
    <t>62427515</t>
  </si>
  <si>
    <t>Yulieth gomez</t>
  </si>
  <si>
    <t>240044072937</t>
  </si>
  <si>
    <t>CHIGORODO</t>
  </si>
  <si>
    <t>Cliente recoge pedido en oficina de Interrapidisimo en Chigorodo cliente recoge en esa oficina</t>
  </si>
  <si>
    <t>3235748493</t>
  </si>
  <si>
    <t>62427397</t>
  </si>
  <si>
    <t>Bersey Monroy Montero</t>
  </si>
  <si>
    <t>240044029573</t>
  </si>
  <si>
    <t>Carrera 78 bis # 78 - 52</t>
  </si>
  <si>
    <t>3108155355</t>
  </si>
  <si>
    <t>62427313</t>
  </si>
  <si>
    <t>Eldis Miranda Soto</t>
  </si>
  <si>
    <t>240044001335</t>
  </si>
  <si>
    <t>CLIENTE RECLAMA EN OFICINA INTERRAPIDISIMO BARRIO EL SOCORRO</t>
  </si>
  <si>
    <t>3173205954</t>
  </si>
  <si>
    <t>62426985</t>
  </si>
  <si>
    <t>Alison flores</t>
  </si>
  <si>
    <t>V4002115758</t>
  </si>
  <si>
    <t>Calle 72z #28B-3 11 poblado 2</t>
  </si>
  <si>
    <t>3176722544</t>
  </si>
  <si>
    <t>Aceite de Batana x3 + Aceite de Batana x3 + Aceite de Batana x3 + Aceite de Batana x3 + Aceite de Batana x3 + Aceite de Batana x3 + Aceite de Batana x3 + Aceite de Batana x3 + Aceite de Batana x3 + Aceite de Batana x3</t>
  </si>
  <si>
    <t>EN CAMINO</t>
  </si>
  <si>
    <t>62426978</t>
  </si>
  <si>
    <t>62426818</t>
  </si>
  <si>
    <t>240044070588</t>
  </si>
  <si>
    <t>AV LOS ESTUDIANTES, TUMACO cliente recoge en esa oficina de interrapidisimo</t>
  </si>
  <si>
    <t>3115680720</t>
  </si>
  <si>
    <t>62426742</t>
  </si>
  <si>
    <t>Marly Diaz Hernamdez</t>
  </si>
  <si>
    <t>240044001404</t>
  </si>
  <si>
    <t>CLIENTE RECLAMA OFICINA INTER RAPIDISIOMO PTO/9786 Av. Pedro de Heredia No 31-04</t>
  </si>
  <si>
    <t>3045730143</t>
  </si>
  <si>
    <t>CLIENTE RECLAMA OFICINA INTER RAPIDISIMO PTO/9786 Av. Pedro de Heredia No 31-04</t>
  </si>
  <si>
    <t>62426022</t>
  </si>
  <si>
    <t>Paola Pava</t>
  </si>
  <si>
    <t>240044029589</t>
  </si>
  <si>
    <t>Cra 11a #191-28 conjunto residencial Balcones de San Carlos</t>
  </si>
  <si>
    <t>3134819508</t>
  </si>
  <si>
    <t>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 + Shampoo Post Alisado - 100 x1 + DUO capilar ADIOS FRIZZ - 500ml x1</t>
  </si>
  <si>
    <t>62425794</t>
  </si>
  <si>
    <t>Marley Macana Bautista</t>
  </si>
  <si>
    <t>240043967532</t>
  </si>
  <si>
    <t>Calle 37 sur # 3 41, Ciudadela Entre Ríos, Torre 23 Apto 301</t>
  </si>
  <si>
    <t>3138770108</t>
  </si>
  <si>
    <t>62425696</t>
  </si>
  <si>
    <t>Hermen David Ramírez Gamarra</t>
  </si>
  <si>
    <t>240044070994</t>
  </si>
  <si>
    <t>SIBATE</t>
  </si>
  <si>
    <t>Cliente recoge pedido en oficina de Interrapidisimo en Sibate cliente recoge en esa oficina</t>
  </si>
  <si>
    <t>3202586001</t>
  </si>
  <si>
    <t>62425292</t>
  </si>
  <si>
    <t>Angela Yanela Navas alegrias</t>
  </si>
  <si>
    <t>240044071117</t>
  </si>
  <si>
    <t>3170118124</t>
  </si>
  <si>
    <t>62425188</t>
  </si>
  <si>
    <t>Fernando Taborda</t>
  </si>
  <si>
    <t>054014206773</t>
  </si>
  <si>
    <t>Calle 21 #12 48 Barrio María Luisa de la espada</t>
  </si>
  <si>
    <t>3187731522</t>
  </si>
  <si>
    <t>62425150</t>
  </si>
  <si>
    <t>Laura Guerrero</t>
  </si>
  <si>
    <t>024032210318</t>
  </si>
  <si>
    <t>Carrera 26b # 77 - 35 Barrio Alirio Mora</t>
  </si>
  <si>
    <t>3186339457</t>
  </si>
  <si>
    <t>Barrio Alirio Mora</t>
  </si>
  <si>
    <t>62425061</t>
  </si>
  <si>
    <t>María Joris</t>
  </si>
  <si>
    <t>240043967868</t>
  </si>
  <si>
    <t>3174560662</t>
  </si>
  <si>
    <t>62424702</t>
  </si>
  <si>
    <t>Anyi Viviana Contreras</t>
  </si>
  <si>
    <t>240044074178</t>
  </si>
  <si>
    <t>LA PLAYA</t>
  </si>
  <si>
    <t>Cliente recoge pedido en oficina de Interrapidisimo en La Playa DE BELEN cliente recoge en esa oficina</t>
  </si>
  <si>
    <t>3124499564</t>
  </si>
  <si>
    <t>62424440</t>
  </si>
  <si>
    <t>Liceth Rosero</t>
  </si>
  <si>
    <t>240044071379</t>
  </si>
  <si>
    <t>TIMBIO</t>
  </si>
  <si>
    <t>Calle 14 - Cra 18 # 17-55</t>
  </si>
  <si>
    <t>3112963629</t>
  </si>
  <si>
    <t>62424373</t>
  </si>
  <si>
    <t>Celmira Soler</t>
  </si>
  <si>
    <t>240044009606</t>
  </si>
  <si>
    <t>Calle 78c #18h-32 sur, barrio Tesoro</t>
  </si>
  <si>
    <t>3022835429</t>
  </si>
  <si>
    <t>62424216</t>
  </si>
  <si>
    <t>Rubey Narváez</t>
  </si>
  <si>
    <t>240044001481</t>
  </si>
  <si>
    <t>LEIVA</t>
  </si>
  <si>
    <t>CLIENTE RECLAMA EN OFICINA INTER RAPIDISIMO  - LEIVA NARIÑO</t>
  </si>
  <si>
    <t>3148476701</t>
  </si>
  <si>
    <t>62424099</t>
  </si>
  <si>
    <t>Carmen olvida Hurtado</t>
  </si>
  <si>
    <t>240044010002</t>
  </si>
  <si>
    <t>EL DONCELLO</t>
  </si>
  <si>
    <t>Calle 11 #3-43, Barrio La Libertad</t>
  </si>
  <si>
    <t>3148595659</t>
  </si>
  <si>
    <t>62424005</t>
  </si>
  <si>
    <t>Leidy Díaz Torres</t>
  </si>
  <si>
    <t>240044074324</t>
  </si>
  <si>
    <t>Av. 2 #4-21, Barrio El Aeropuerto, Cúcuta,  cliente recoge en esa oficina de interrapidisimo</t>
  </si>
  <si>
    <t>3001109975</t>
  </si>
  <si>
    <t>NUMERO ADICIONAL 3013843764</t>
  </si>
  <si>
    <t>62423879</t>
  </si>
  <si>
    <t>Ginna Leon</t>
  </si>
  <si>
    <t>240043968058</t>
  </si>
  <si>
    <t>Carrera 90A # 72B - 21</t>
  </si>
  <si>
    <t>3212017286</t>
  </si>
  <si>
    <t>Barrio Engativá - Bogotá</t>
  </si>
  <si>
    <t>62423740</t>
  </si>
  <si>
    <t>Rubiela Cardona</t>
  </si>
  <si>
    <t>014155549696</t>
  </si>
  <si>
    <t>Carrera 69 # 36 C SUR 37, Barrio Santa Rita</t>
  </si>
  <si>
    <t>3117209397</t>
  </si>
  <si>
    <t>62423581</t>
  </si>
  <si>
    <t>Nelson Fabián Díaz</t>
  </si>
  <si>
    <t>240043941403</t>
  </si>
  <si>
    <t>Carrera 7  #35-42 San Simón parte alta</t>
  </si>
  <si>
    <t>3156402727</t>
  </si>
  <si>
    <t>62423528</t>
  </si>
  <si>
    <t>Yenifer Yeisireth González Oñate</t>
  </si>
  <si>
    <t>054014206775</t>
  </si>
  <si>
    <t>Cll 69. # 11b-76 Dividivi</t>
  </si>
  <si>
    <t>3243767203</t>
  </si>
  <si>
    <t>62423399</t>
  </si>
  <si>
    <t>Juana Zabaleta Santana</t>
  </si>
  <si>
    <t>014155601022</t>
  </si>
  <si>
    <t>CARRERA 38 #35-87 La candelaria</t>
  </si>
  <si>
    <t>3004060643</t>
  </si>
  <si>
    <t>62423270</t>
  </si>
  <si>
    <t>Arides López Quintero</t>
  </si>
  <si>
    <t>240043941664</t>
  </si>
  <si>
    <t>Carrera 1d # 13A-80 barrio el paraíso</t>
  </si>
  <si>
    <t>3161535884</t>
  </si>
  <si>
    <t>62423187</t>
  </si>
  <si>
    <t>Lubi Lara</t>
  </si>
  <si>
    <t>240043968105</t>
  </si>
  <si>
    <t>carrera 97c#157A -60, barrio la orquídea suba salitre</t>
  </si>
  <si>
    <t>3042592093</t>
  </si>
  <si>
    <t>Carrera 97c#157A -60, barrio la orquídea suba salitre</t>
  </si>
  <si>
    <t>62423178</t>
  </si>
  <si>
    <t>Gloria Ospina González</t>
  </si>
  <si>
    <t>240044074422</t>
  </si>
  <si>
    <t>Calle 22 # 23-57 oficina Interrapidísimo</t>
  </si>
  <si>
    <t>3016286689</t>
  </si>
  <si>
    <t>62423094</t>
  </si>
  <si>
    <t>Pilar Cartagena Polo</t>
  </si>
  <si>
    <t>014155550016</t>
  </si>
  <si>
    <t>Calle 71  #17B-23, sector la poza, Danil Lemaitre</t>
  </si>
  <si>
    <t>3162950670</t>
  </si>
  <si>
    <t>62423017</t>
  </si>
  <si>
    <t>Darmely Ricaurte</t>
  </si>
  <si>
    <t>240044074463</t>
  </si>
  <si>
    <t>3107872370</t>
  </si>
  <si>
    <t>62422968</t>
  </si>
  <si>
    <t>Rosa Gil Duran</t>
  </si>
  <si>
    <t>240044001563</t>
  </si>
  <si>
    <t>CLIENTE RECLAMA EN OFICINA INTER RAPIDISIMO - LANDAZURI</t>
  </si>
  <si>
    <t>3124181059</t>
  </si>
  <si>
    <t>62422892</t>
  </si>
  <si>
    <t>Luz ariza</t>
  </si>
  <si>
    <t>240043941874</t>
  </si>
  <si>
    <t>Carrera 20b #72-44 local Barrio San felipe Localidad barrios unidos</t>
  </si>
  <si>
    <t>3112959226</t>
  </si>
  <si>
    <t>62422876</t>
  </si>
  <si>
    <t>Anyi Ramirez Soto</t>
  </si>
  <si>
    <t>240043968124</t>
  </si>
  <si>
    <t>Carrera 1 H #45-79, 2do piso, Ciudadela 20 de Julio</t>
  </si>
  <si>
    <t>3022676538</t>
  </si>
  <si>
    <t>Entregar en casa 2do piso/ Barrio: Ciudadela 20 de Julio</t>
  </si>
  <si>
    <t>62422846</t>
  </si>
  <si>
    <t>Glotia Zuñiga</t>
  </si>
  <si>
    <t>240043941894</t>
  </si>
  <si>
    <t>BARU</t>
  </si>
  <si>
    <t>Cliente recoge pedido en oficina de Interrapidisimo en Baru cliente recoge en esa oficina</t>
  </si>
  <si>
    <t>3167374228</t>
  </si>
  <si>
    <t>62422723</t>
  </si>
  <si>
    <t>Fernando Ferreira neto</t>
  </si>
  <si>
    <t>240043941961</t>
  </si>
  <si>
    <t>GIGANTE</t>
  </si>
  <si>
    <t>Cliente recoge pedido en oficina de Interrapidisimo en Gigante cliente recoge en esa oficina</t>
  </si>
  <si>
    <t>3018424841</t>
  </si>
  <si>
    <t>62422689</t>
  </si>
  <si>
    <t>Flor claro</t>
  </si>
  <si>
    <t>240044074557</t>
  </si>
  <si>
    <t>SARDINATA</t>
  </si>
  <si>
    <t>Cliente recoge pedido en oficina de Interrapidisimo en Sardinata cliente recoge en esa oficina</t>
  </si>
  <si>
    <t>3202779498</t>
  </si>
  <si>
    <t>62422673</t>
  </si>
  <si>
    <t>Amparo Lopera</t>
  </si>
  <si>
    <t>240043968167</t>
  </si>
  <si>
    <t>DON MATIAS</t>
  </si>
  <si>
    <t>Carrera 37 #30 79 Barrio Fatima</t>
  </si>
  <si>
    <t>3104538736</t>
  </si>
  <si>
    <t>Barrio Fátima - Carrera 37 # 3079</t>
  </si>
  <si>
    <t>62422520</t>
  </si>
  <si>
    <t>Martha Ballesteros</t>
  </si>
  <si>
    <t>240043942052</t>
  </si>
  <si>
    <t>GUACHETA</t>
  </si>
  <si>
    <t>Cliente recoge pedido en oficina de Interrapidisimo en Guachetá cliente recoge en esa oficina</t>
  </si>
  <si>
    <t>3223911544</t>
  </si>
  <si>
    <t>62422362</t>
  </si>
  <si>
    <t>Ada Luz Meza</t>
  </si>
  <si>
    <t>014155550042</t>
  </si>
  <si>
    <t>Carrera 4J# 10-35 Barrio Gonzalo Mejía</t>
  </si>
  <si>
    <t>3216800742</t>
  </si>
  <si>
    <t>62422264</t>
  </si>
  <si>
    <t>Anyuli Nayiber Anacona Diaz</t>
  </si>
  <si>
    <t>240043942139</t>
  </si>
  <si>
    <t>3163021783</t>
  </si>
  <si>
    <t>62422201</t>
  </si>
  <si>
    <t>Merari Ferraro</t>
  </si>
  <si>
    <t>054014206776</t>
  </si>
  <si>
    <t>Calle 34 A # 112-60 Interior 124 - barrio Belencito corazón</t>
  </si>
  <si>
    <t>3117727262</t>
  </si>
  <si>
    <t>Interior 124 - Barrio Belencito corazón</t>
  </si>
  <si>
    <t>62422081</t>
  </si>
  <si>
    <t>Diana Díaz</t>
  </si>
  <si>
    <t>240043942187</t>
  </si>
  <si>
    <t>HATO COROZAL</t>
  </si>
  <si>
    <t>Carrera 12 # 5- 24</t>
  </si>
  <si>
    <t>3219878469</t>
  </si>
  <si>
    <t>62422055</t>
  </si>
  <si>
    <t>Kelly Romero</t>
  </si>
  <si>
    <t>240044074653</t>
  </si>
  <si>
    <t>PUEBLO NUEVO</t>
  </si>
  <si>
    <t>Oficina de interapidicimo Jorge elicer, cliente recoge en esa oficina de interrapidisimo</t>
  </si>
  <si>
    <t>3127116798</t>
  </si>
  <si>
    <t>62422034</t>
  </si>
  <si>
    <t>Maria camila</t>
  </si>
  <si>
    <t>014155550050</t>
  </si>
  <si>
    <t>Avenida 40b #62-93 Hermosa provincia</t>
  </si>
  <si>
    <t>3042928108</t>
  </si>
  <si>
    <t>62422005</t>
  </si>
  <si>
    <t>Yomaira del carmen villalba</t>
  </si>
  <si>
    <t>014155550056</t>
  </si>
  <si>
    <t>Transversal 54 #64-19, Barrio las delicias edificio villa josefa piso 3 apto 301</t>
  </si>
  <si>
    <t>3232842043</t>
  </si>
  <si>
    <t>Beevana crema dolores - 2 x1 + Beevana crema dolores - 2 x1 + Beevana crema dolores - 2 x1 + Beevana crema dolores - 2 x1 + Beevana crema dolores - 2 x1 + Beevana crema dolores - 2 x1 + Beevana crema dolores - 2 x1 + Beevana crema dolores - 2 x1 + Beevana crema dolores - 2 x1 + Beevana crema dolores - 2 x1</t>
  </si>
  <si>
    <t>62421850</t>
  </si>
  <si>
    <t>Alba Angélica alian hernandez</t>
  </si>
  <si>
    <t>240043942279</t>
  </si>
  <si>
    <t>BARBOSA</t>
  </si>
  <si>
    <t>Cliente recoge pedido en oficina de Interrapidisimo COLIBRI en Barbosa cliente recoge en esa oficina</t>
  </si>
  <si>
    <t>3238856126</t>
  </si>
  <si>
    <t>62421762</t>
  </si>
  <si>
    <t>Viviana marquez</t>
  </si>
  <si>
    <t>240044074677</t>
  </si>
  <si>
    <t>MANZANA 09 lote 15A El poblado</t>
  </si>
  <si>
    <t>3242347240</t>
  </si>
  <si>
    <t>62421547</t>
  </si>
  <si>
    <t>Danna González</t>
  </si>
  <si>
    <t>024032210340</t>
  </si>
  <si>
    <t>Calle 13 # 46 - 18</t>
  </si>
  <si>
    <t>3206290618</t>
  </si>
  <si>
    <t>Barrio: Panamericano //  NUMERO ALTERNO: 3206290617, 3116024662</t>
  </si>
  <si>
    <t>62421526</t>
  </si>
  <si>
    <t>Marisol Medina</t>
  </si>
  <si>
    <t>240043942429</t>
  </si>
  <si>
    <t>SAN JOSE DEL FRAGUA</t>
  </si>
  <si>
    <t>Cliente recoge pedido en oficina de Interrapidisimo en San Jose Del Fragua cliente recoge en esa oficina</t>
  </si>
  <si>
    <t>3114416258</t>
  </si>
  <si>
    <t>Beevana crema dolores - 4 x1 + Beevana crema dolores - 4 x1 + Beevana crema dolores - 4 x1 + Beevana crema dolores - 4 x1 + Beevana crema dolores - 4 x1 + Beevana crema dolores - 4 x1 + Beevana crema dolores - 4 x1 + Beevana crema dolores - 4 x1 + Beevana crema dolores - 4 x1 + Beevana crema dolores - 4 x1</t>
  </si>
  <si>
    <t>62421385</t>
  </si>
  <si>
    <t>Rosa guzman</t>
  </si>
  <si>
    <t>240043942496</t>
  </si>
  <si>
    <t>SOPLAVIENTO B</t>
  </si>
  <si>
    <t>Calle centro #605</t>
  </si>
  <si>
    <t>3124649438</t>
  </si>
  <si>
    <t>62421324</t>
  </si>
  <si>
    <t>Claudia Lorena Valencia</t>
  </si>
  <si>
    <t>240044029598</t>
  </si>
  <si>
    <t>Calle 51a # 3f 26 Barrio Samaria</t>
  </si>
  <si>
    <t>3125045309</t>
  </si>
  <si>
    <t>62421299</t>
  </si>
  <si>
    <t>Gloria Amparo Córdoba</t>
  </si>
  <si>
    <t>240043942582</t>
  </si>
  <si>
    <t>Cliente recoge pedido en oficina de Interrapidisimo en Roldanillo cliente recoge en esa oficina</t>
  </si>
  <si>
    <t>3154770896</t>
  </si>
  <si>
    <t>62421131</t>
  </si>
  <si>
    <t>Inés Serrano Gómez</t>
  </si>
  <si>
    <t>240044073067</t>
  </si>
  <si>
    <t>PUERTO WILCHES</t>
  </si>
  <si>
    <t>Cliente recoge pedido en oficina de Interrapidisimo en Puerto Wilches cliente recoge en esa oficina</t>
  </si>
  <si>
    <t>3229736163</t>
  </si>
  <si>
    <t>62420964</t>
  </si>
  <si>
    <t>Nelly Sanchez</t>
  </si>
  <si>
    <t>014155550112</t>
  </si>
  <si>
    <t>Carrera 1C #63-67, Chiminangos, unidad Alcalá bloque 25 apartamento 101</t>
  </si>
  <si>
    <t>3122335018</t>
  </si>
  <si>
    <t>62420949</t>
  </si>
  <si>
    <t>Milbia Paz</t>
  </si>
  <si>
    <t>240044029611</t>
  </si>
  <si>
    <t>CLIENTE RECLAMA OFICINA INTER RAPIDISIMO - SAN AGUSTIN</t>
  </si>
  <si>
    <t>3138301388</t>
  </si>
  <si>
    <t>62420675</t>
  </si>
  <si>
    <t>Fani Castellanos</t>
  </si>
  <si>
    <t>240044074866</t>
  </si>
  <si>
    <t>CARRERA 10 #10 -18 mercados uno a Barrio la esmeralda</t>
  </si>
  <si>
    <t>3203688019</t>
  </si>
  <si>
    <t>62420562</t>
  </si>
  <si>
    <t>Albanis Rocío Medina Martínez</t>
  </si>
  <si>
    <t>240044029621</t>
  </si>
  <si>
    <t>SAN JACINTO DEL CAUCA</t>
  </si>
  <si>
    <t>CLIENTE RECLAMA OFICINA INTER RAPIDISIMO - BARRIO SAGRADO CORAZON DE JESÚS</t>
  </si>
  <si>
    <t>3206996161</t>
  </si>
  <si>
    <t>CLIENTE RECLAMA OFICINA INTER RAPIDISIMO - BARRIO SAGRADO CORAZÓN DE JESÚS</t>
  </si>
  <si>
    <t>62420560</t>
  </si>
  <si>
    <t>Nedda Perez</t>
  </si>
  <si>
    <t>240044073118</t>
  </si>
  <si>
    <t>Cliente recoge pedido en oficina de Interrapidisimo en Santander De Quilichao cliente recoge en esa oficina</t>
  </si>
  <si>
    <t>3127577897</t>
  </si>
  <si>
    <t>62420519</t>
  </si>
  <si>
    <t>Luis Alberto Daza</t>
  </si>
  <si>
    <t>014155550131</t>
  </si>
  <si>
    <t>Calle 38 #2C-03, Manzana F Lote 13 - Reservas de Santa M</t>
  </si>
  <si>
    <t>3104182343</t>
  </si>
  <si>
    <t>62420512</t>
  </si>
  <si>
    <t>Maria Angélica Rincón</t>
  </si>
  <si>
    <t>240043968485</t>
  </si>
  <si>
    <t>RECLAMA OFICINA INTERRAPIDISIMO RICAURTE</t>
  </si>
  <si>
    <t>3115123496</t>
  </si>
  <si>
    <t>62420377</t>
  </si>
  <si>
    <t>Lucia García Montoya</t>
  </si>
  <si>
    <t>014155550134</t>
  </si>
  <si>
    <t>Calle 50C #20-99 urbanización Loyola Bloque 42AP 402 Buenos Aires</t>
  </si>
  <si>
    <t>3106453331</t>
  </si>
  <si>
    <t>62420180</t>
  </si>
  <si>
    <t>Yulieth paola cerpa Jiménez</t>
  </si>
  <si>
    <t>240044122841</t>
  </si>
  <si>
    <t>EL DIFICIL</t>
  </si>
  <si>
    <t>Manzana j casa 18 agua clara</t>
  </si>
  <si>
    <t>3114262071</t>
  </si>
  <si>
    <t>NUMERO ADICIONAL 3146005376</t>
  </si>
  <si>
    <t>62420016</t>
  </si>
  <si>
    <t>Mónica Patricia Hoyos</t>
  </si>
  <si>
    <t>240043968611</t>
  </si>
  <si>
    <t>Carrera 72L # 39A - 49 SUR interior 2 apto 301 Barrio Carimagua</t>
  </si>
  <si>
    <t>3106070697</t>
  </si>
  <si>
    <t>62419906</t>
  </si>
  <si>
    <t>Lucy dagua</t>
  </si>
  <si>
    <t>240044122860</t>
  </si>
  <si>
    <t>Oficina de Interrapidisimo diagonal al frente de la alcaldía Toribio</t>
  </si>
  <si>
    <t>3103934995</t>
  </si>
  <si>
    <t>COLOR VERDE Y ROJO</t>
  </si>
  <si>
    <t>62419889</t>
  </si>
  <si>
    <t>Yorleidys Buelvas</t>
  </si>
  <si>
    <t>240044110832</t>
  </si>
  <si>
    <t>Cliente recoge pedido en oficina de Interrapidisimo en Aguachica cliente recoge en esa oficina</t>
  </si>
  <si>
    <t>3160838875</t>
  </si>
  <si>
    <t>62419818</t>
  </si>
  <si>
    <t>Maria puliche</t>
  </si>
  <si>
    <t>62419747</t>
  </si>
  <si>
    <t>Marcela Manicurista</t>
  </si>
  <si>
    <t>240044110942</t>
  </si>
  <si>
    <t>Cafasur, segunda fase, manzana Q, casa 31.</t>
  </si>
  <si>
    <t>3223455384</t>
  </si>
  <si>
    <t>62419656</t>
  </si>
  <si>
    <t>Mileleidy Suárez</t>
  </si>
  <si>
    <t>240044122897</t>
  </si>
  <si>
    <t>CARRERA 12 #13 A SUR-35, BLOQUE 9 APTO 603, ARMARIO</t>
  </si>
  <si>
    <t>3202461392</t>
  </si>
  <si>
    <t>62419572</t>
  </si>
  <si>
    <t>Olga Giraldo</t>
  </si>
  <si>
    <t>014155550148</t>
  </si>
  <si>
    <t>calle 18#14 15. Barrio los fundadores</t>
  </si>
  <si>
    <t>3207785627</t>
  </si>
  <si>
    <t>62419514</t>
  </si>
  <si>
    <t>Rosa María Erazo Córdoba</t>
  </si>
  <si>
    <t>240043968897</t>
  </si>
  <si>
    <t>SAN PEDRO DE CARTAGO</t>
  </si>
  <si>
    <t>Carrera 1A # 2 - 06 Barrio El Carmelo</t>
  </si>
  <si>
    <t>3235398526</t>
  </si>
  <si>
    <t>Barrio El Carmelo</t>
  </si>
  <si>
    <t>62419419</t>
  </si>
  <si>
    <t>Adriana Ospina</t>
  </si>
  <si>
    <t>014155550155</t>
  </si>
  <si>
    <t>Calle 36D Sur #27D-166, loma del escobero envigado urbanisacion gascuña casa 218</t>
  </si>
  <si>
    <t>3163933638</t>
  </si>
  <si>
    <t>62419208</t>
  </si>
  <si>
    <t>Liliana Luna Martinez</t>
  </si>
  <si>
    <t>240043943815</t>
  </si>
  <si>
    <t>Cliente recoge pedido en oficina de Interrapidisimo en Montelibano cliente recoge en esa oficina</t>
  </si>
  <si>
    <t>3126924985</t>
  </si>
  <si>
    <t>Beevana crema dolores - 1 x1 + Bee Venom BSWELL x2 + Beevana crema dolores - 1 x1 + Bee Venom BSWELL x2 + Beevana crema dolores - 1 x1 + Bee Venom BSWELL x2 + Beevana crema dolores - 1 x1 + Bee Venom BSWELL x2 + Beevana crema dolores - 1 x1 + Bee Venom BSWELL x2 + Beevana crema dolores - 1 x1 + Bee Venom BSWELL x2 + Beevana crema dolores - 1 x1 + Bee Venom BSWELL x2 + Beevana crema dolores - 1 x1 + Bee Venom BSWELL x2 + Beevana crema dolores - 1 x1 + Bee Venom BSWELL x2 + Beevana crema dolores - 1 x1 + Bee Venom BSWELL x2</t>
  </si>
  <si>
    <t>62419109</t>
  </si>
  <si>
    <t>Carlos Alcides Alvarado Herrera</t>
  </si>
  <si>
    <t>240043943835</t>
  </si>
  <si>
    <t>GUAMAL (MAG)</t>
  </si>
  <si>
    <t>Cliente recoge pedido en oficina de Interrapidisimo en Guamal (mag) cliente recoge en esa oficina</t>
  </si>
  <si>
    <t>3126897486</t>
  </si>
  <si>
    <t>62419028</t>
  </si>
  <si>
    <t>Cecilia del Pilar Pernett Enamorado</t>
  </si>
  <si>
    <t>014155550162</t>
  </si>
  <si>
    <t>Calle 35A #122W B/ JUAN XXIII MARGEN IZQUIERDA DEL RIO SINU</t>
  </si>
  <si>
    <t>3239544995</t>
  </si>
  <si>
    <t>Bee Venom BSWELL x3 + Bee Venom BSWELL x3 + Bee Venom BSWELL x3 + Bee Venom BSWELL x3 + Bee Venom BSWELL x3 + Bee Venom BSWELL x3 + Bee Venom BSWELL x3 + Bee Venom BSWELL x3 + Bee Venom BSWELL x3 + Bee Venom BSWELL x3</t>
  </si>
  <si>
    <t>62418943</t>
  </si>
  <si>
    <t>Marlene yule</t>
  </si>
  <si>
    <t>240043943941</t>
  </si>
  <si>
    <t>Cliente recoge pedido en oficina de Interrapidisimo en Toribio CENTRO DIAGONAL ALCADIA</t>
  </si>
  <si>
    <t>3136279777</t>
  </si>
  <si>
    <t>62418733</t>
  </si>
  <si>
    <t>Angie Stephania Hernández Vargas</t>
  </si>
  <si>
    <t>024032210352</t>
  </si>
  <si>
    <t>Carrera 43#43-43  República de Israel, Tercer piso</t>
  </si>
  <si>
    <t>3216850252</t>
  </si>
  <si>
    <t>República de Israel, Tercer piso</t>
  </si>
  <si>
    <t>62418711</t>
  </si>
  <si>
    <t>Rosa Alejandra Muñoz Urbina</t>
  </si>
  <si>
    <t>240044029633</t>
  </si>
  <si>
    <t>Calle 5 # 403, Los Olivos, Antonia Santo</t>
  </si>
  <si>
    <t>3124063979</t>
  </si>
  <si>
    <t>62418675</t>
  </si>
  <si>
    <t>Laura Perozo</t>
  </si>
  <si>
    <t>240044123000</t>
  </si>
  <si>
    <t>Barrio nueva Aranda manzana f 2 casa 23</t>
  </si>
  <si>
    <t>3001449873</t>
  </si>
  <si>
    <t>62418417</t>
  </si>
  <si>
    <t>014155626022</t>
  </si>
  <si>
    <t>Calle 60 # 54-81, Barrio Belén</t>
  </si>
  <si>
    <t>62418153</t>
  </si>
  <si>
    <t>Laura Valentina Correa Hernández</t>
  </si>
  <si>
    <t>054014207210</t>
  </si>
  <si>
    <t>RECLAMA EN OFICINA INTER RAPIDISIMO EL PLACER</t>
  </si>
  <si>
    <t>3175432835</t>
  </si>
  <si>
    <t>62418107</t>
  </si>
  <si>
    <t>Francy Avila</t>
  </si>
  <si>
    <t>240043969104</t>
  </si>
  <si>
    <t>Calle 25 d # 17 - 25 dos mil bajo</t>
  </si>
  <si>
    <t>3116028812</t>
  </si>
  <si>
    <t>Barrio Dos mil bajo</t>
  </si>
  <si>
    <t>62417624</t>
  </si>
  <si>
    <t>Kelly Julieth Aguirre</t>
  </si>
  <si>
    <t>024032210355</t>
  </si>
  <si>
    <t>Carrera 35 # 95 - 19</t>
  </si>
  <si>
    <t>3104700328</t>
  </si>
  <si>
    <t>62417254</t>
  </si>
  <si>
    <t>Catherine Ospina</t>
  </si>
  <si>
    <t>240044029651</t>
  </si>
  <si>
    <t>Calle 29d #1b 26 villa del río</t>
  </si>
  <si>
    <t>3144816115</t>
  </si>
  <si>
    <t>62417087</t>
  </si>
  <si>
    <t>Yurani Velasco quilcue</t>
  </si>
  <si>
    <t>240044123142</t>
  </si>
  <si>
    <t>GAITANIA</t>
  </si>
  <si>
    <t>Cliente recoge pedido en oficina de Interrapidisimo en Gaitania cliente recoge en esa oficina</t>
  </si>
  <si>
    <t>3162682882</t>
  </si>
  <si>
    <t>62416848</t>
  </si>
  <si>
    <t>Jayzuli Ferrin</t>
  </si>
  <si>
    <t>024032210363</t>
  </si>
  <si>
    <t>Carrera 35 #38 12, barrio Antonio Nariño</t>
  </si>
  <si>
    <t>3142307934</t>
  </si>
  <si>
    <t>Barrio Antonio Nariño</t>
  </si>
  <si>
    <t>62416790</t>
  </si>
  <si>
    <t>Elsa María Paguana Rueda</t>
  </si>
  <si>
    <t>240044123165</t>
  </si>
  <si>
    <t>Cl. 49 #8-81, Barrancabermeja, cliente recoge en esa oficina</t>
  </si>
  <si>
    <t>3212103144</t>
  </si>
  <si>
    <t>62416642</t>
  </si>
  <si>
    <t>Eliza Tavera Barbosa</t>
  </si>
  <si>
    <t>240043969259</t>
  </si>
  <si>
    <t>CIMITARRA</t>
  </si>
  <si>
    <t>Carrera 8 # 8A - 12 piso 2, Barrio Alfonso López</t>
  </si>
  <si>
    <t>3214434603</t>
  </si>
  <si>
    <t>Barrio Alfonso López</t>
  </si>
  <si>
    <t>62416343</t>
  </si>
  <si>
    <t>Sandra Milena Alvarez Fernández</t>
  </si>
  <si>
    <t>240044123225</t>
  </si>
  <si>
    <t>MANZANA p LOTE 4, Manpujancito, Rosas de Manpujan</t>
  </si>
  <si>
    <t>3135566604</t>
  </si>
  <si>
    <t>NUMERO ADICIONAL 3007631277</t>
  </si>
  <si>
    <t>62416091</t>
  </si>
  <si>
    <t>Alejandra Ramirez</t>
  </si>
  <si>
    <t>240044029664</t>
  </si>
  <si>
    <t>POTOSI</t>
  </si>
  <si>
    <t>RECLAMA OFICINA INTER RAPIDISIMO - POTOSI</t>
  </si>
  <si>
    <t>3158391089</t>
  </si>
  <si>
    <t>62416082</t>
  </si>
  <si>
    <t>Brayan Rivera</t>
  </si>
  <si>
    <t>240044123236</t>
  </si>
  <si>
    <t>Calle 45 # 33-189 en casa, Las Margaritas</t>
  </si>
  <si>
    <t>3150755632</t>
  </si>
  <si>
    <t>62416064</t>
  </si>
  <si>
    <t>Yeimi Magali Guayara</t>
  </si>
  <si>
    <t>240043969338</t>
  </si>
  <si>
    <t>RECLAMA OFICINA INTER RAPIDISIMO TIERRA BUENA</t>
  </si>
  <si>
    <t>3142703955</t>
  </si>
  <si>
    <t>CLIENTE RECLAMA EN OFICINA DE INTER RAPIDISIMO TIERRA BUENA</t>
  </si>
  <si>
    <t>62415847</t>
  </si>
  <si>
    <t>Arledys Roldan Ramos</t>
  </si>
  <si>
    <t>240044123254</t>
  </si>
  <si>
    <t>NECOCLI</t>
  </si>
  <si>
    <t>Cliente recoge pedido en oficina de Interrapidisimo en Necocli cliente recoge en esa oficina</t>
  </si>
  <si>
    <t>3218934403</t>
  </si>
  <si>
    <t>62415656</t>
  </si>
  <si>
    <t>yeidis judith figueroa moreno</t>
  </si>
  <si>
    <t>014155626106</t>
  </si>
  <si>
    <t>MINGUEO</t>
  </si>
  <si>
    <t>CALLE 6 #6 - 47, campo alegre</t>
  </si>
  <si>
    <t>3146687155</t>
  </si>
  <si>
    <t>color negro</t>
  </si>
  <si>
    <t>62415432</t>
  </si>
  <si>
    <t>Angélica Molina</t>
  </si>
  <si>
    <t>054014207215</t>
  </si>
  <si>
    <t>Calle72-2 # 3an 04 segundo piso, Floralia</t>
  </si>
  <si>
    <t>3122784188</t>
  </si>
  <si>
    <t>Barrio Floralia - Entregar en el segundo piso</t>
  </si>
  <si>
    <t>62415128</t>
  </si>
  <si>
    <t>Miriam Chunata</t>
  </si>
  <si>
    <t>240043969964</t>
  </si>
  <si>
    <t>IPIALES</t>
  </si>
  <si>
    <t>Balcones de la Frontera, Manzana 29, Casa 2</t>
  </si>
  <si>
    <t>3128256509</t>
  </si>
  <si>
    <t>62415109</t>
  </si>
  <si>
    <t>Rina Maestre</t>
  </si>
  <si>
    <t>240044123310</t>
  </si>
  <si>
    <t>Diagonal 20a # 22-83 barrio fundadores</t>
  </si>
  <si>
    <t>3022870766</t>
  </si>
  <si>
    <t>62414965</t>
  </si>
  <si>
    <t>Mirley Berrio</t>
  </si>
  <si>
    <t>014155626125</t>
  </si>
  <si>
    <t>Barrio Colombiaton, Manzana 6 lote 861</t>
  </si>
  <si>
    <t>3145267875</t>
  </si>
  <si>
    <t>62414654</t>
  </si>
  <si>
    <t>Luis Mario Blanco Manga</t>
  </si>
  <si>
    <t>024032210365</t>
  </si>
  <si>
    <t>90A vía Manzanillo del mar km 1 finca casa verde Manzanillo del mar</t>
  </si>
  <si>
    <t>3225273754</t>
  </si>
  <si>
    <t>90A vía Manzanillo del mar klm 1 finca casa verde Manzanillo del mar</t>
  </si>
  <si>
    <t>Quemador de grasa Lemme Burn 60 cáps x3 + Quemador de grasa Lemme Burn 60 cáps x3 + Quemador de grasa Lemme Burn 60 cáps x3 + Quemador de grasa Lemme Burn 60 cáps x3 + Quemador de grasa Lemme Burn 60 cáps x3 + Quemador de grasa Lemme Burn 60 cáps x3 + Quemador de grasa Lemme Burn 60 cáps x3 + Quemador de grasa Lemme Burn 60 cáps x3 + Quemador de grasa Lemme Burn 60 cáps x3 + Quemador de grasa Lemme Burn 60 cáps x3</t>
  </si>
  <si>
    <t>62414099</t>
  </si>
  <si>
    <t>Blanca Liliana NO</t>
  </si>
  <si>
    <t>240043970055</t>
  </si>
  <si>
    <t>TV 11 A # 10 - 54 Planta 2</t>
  </si>
  <si>
    <t>3124094611</t>
  </si>
  <si>
    <t>Apartamento</t>
  </si>
  <si>
    <t>62413715</t>
  </si>
  <si>
    <t>Paola Barrios</t>
  </si>
  <si>
    <t>014155626155</t>
  </si>
  <si>
    <t>REPELON</t>
  </si>
  <si>
    <t>carrera 9 manzana 6, # 21-59 villa Carolina etapa 2</t>
  </si>
  <si>
    <t>3016915762</t>
  </si>
  <si>
    <t>62413507</t>
  </si>
  <si>
    <t>Maritza Gutiérrez</t>
  </si>
  <si>
    <t>240044123442</t>
  </si>
  <si>
    <t>Calle 5 # 8-59 Centro</t>
  </si>
  <si>
    <t>3134643298</t>
  </si>
  <si>
    <t>62413399</t>
  </si>
  <si>
    <t>Ana Cristina Arroyo Ramos</t>
  </si>
  <si>
    <t>240043970204</t>
  </si>
  <si>
    <t>Nelson Mandela-Sector Los Olivos, manzana K, lote 8B</t>
  </si>
  <si>
    <t>3236680866</t>
  </si>
  <si>
    <t>Nelson Mandela-Sector Los Olivos, Manzana K, Lote 8B
Punto de referencia subiendo por el colegio el salvador</t>
  </si>
  <si>
    <t>62413342</t>
  </si>
  <si>
    <t>Maribel Gonzáles</t>
  </si>
  <si>
    <t>V4002126204</t>
  </si>
  <si>
    <t>carrera 1a 7 #73 a-63, Tercer piso, Calimio norte</t>
  </si>
  <si>
    <t>3137213794</t>
  </si>
  <si>
    <t>62412851</t>
  </si>
  <si>
    <t>Nubia Quiñones</t>
  </si>
  <si>
    <t>014155626187</t>
  </si>
  <si>
    <t>transversal 69 M #8-21, Villa</t>
  </si>
  <si>
    <t>3003934784</t>
  </si>
  <si>
    <t>62412732</t>
  </si>
  <si>
    <t>María Juliana Muñoz</t>
  </si>
  <si>
    <t>240043970264</t>
  </si>
  <si>
    <t>Carrera 15 A # 149-95 Manzana 4 casa 18</t>
  </si>
  <si>
    <t>3127605868</t>
  </si>
  <si>
    <t>Cra 15 a # 149-95 Casas del campo Galicia alta manzana 4 casa 18</t>
  </si>
  <si>
    <t>62412550</t>
  </si>
  <si>
    <t>Martha Cecilia Hernández rojas</t>
  </si>
  <si>
    <t>240044123595</t>
  </si>
  <si>
    <t>CAMPOALEGRE</t>
  </si>
  <si>
    <t>Cliente recoge pedido en oficina de Interrapidisimo en Campoalegre cliente recoge en esa oficina</t>
  </si>
  <si>
    <t>3227647605</t>
  </si>
  <si>
    <t>62412170</t>
  </si>
  <si>
    <t>Sofía Cardona</t>
  </si>
  <si>
    <t>240044123621</t>
  </si>
  <si>
    <t>MARSELLA</t>
  </si>
  <si>
    <t>Cliente recoge pedido en oficina de Interrapidisimo en Marsella cliente recoge en esa oficina</t>
  </si>
  <si>
    <t>3216261802</t>
  </si>
  <si>
    <t>62411452</t>
  </si>
  <si>
    <t>Omaira González Avendaño</t>
  </si>
  <si>
    <t>240043970468</t>
  </si>
  <si>
    <t>SAN MARTIN (C)</t>
  </si>
  <si>
    <t>Villa Marcela manzana D casa 21</t>
  </si>
  <si>
    <t>3165767776</t>
  </si>
  <si>
    <t>62175256</t>
  </si>
  <si>
    <t>María Angélica Parra Viloria</t>
  </si>
  <si>
    <t>240043843263</t>
  </si>
  <si>
    <t>Carrera 70#80-86, barrio Paraíso</t>
  </si>
  <si>
    <t>3106128328</t>
  </si>
  <si>
    <t>62174823</t>
  </si>
  <si>
    <t>240043851229</t>
  </si>
  <si>
    <t>62174765</t>
  </si>
  <si>
    <t>María Edelmira Wilches tidabuiza</t>
  </si>
  <si>
    <t>240043851241</t>
  </si>
  <si>
    <t>Calle 22 Carrera 24 edificio plaza centro local 11 pastelería con amor</t>
  </si>
  <si>
    <t>3185936399</t>
  </si>
  <si>
    <t>62174626</t>
  </si>
  <si>
    <t>Yorledis Flórez</t>
  </si>
  <si>
    <t>240043851256</t>
  </si>
  <si>
    <t>RIONEGRO (ANT)</t>
  </si>
  <si>
    <t>Cliente recoge pedido en oficina de Interrapidisimo en Rionegro (ant) cliente recoge en esa oficina</t>
  </si>
  <si>
    <t>3136242428</t>
  </si>
  <si>
    <t>62174176</t>
  </si>
  <si>
    <t>Diego Santamaria</t>
  </si>
  <si>
    <t>V4002105624</t>
  </si>
  <si>
    <t>Carrera 40A # 32-19, Ciudad Modelo</t>
  </si>
  <si>
    <t>3164422519</t>
  </si>
  <si>
    <t>62173902</t>
  </si>
  <si>
    <t>024032200650</t>
  </si>
  <si>
    <t>62173775</t>
  </si>
  <si>
    <t>Iban Gómez</t>
  </si>
  <si>
    <t>V4002106699</t>
  </si>
  <si>
    <t>Diagonal 45f sur #13f-67, Carnicería la sierra</t>
  </si>
  <si>
    <t>3229149380</t>
  </si>
  <si>
    <t>62172963</t>
  </si>
  <si>
    <t>Lina Villalobos</t>
  </si>
  <si>
    <t>240043849400</t>
  </si>
  <si>
    <t>CHOACHI</t>
  </si>
  <si>
    <t>Cliente recoge pedido en oficina de Interrapidisimo en Choachi cliente recoge en esa oficina</t>
  </si>
  <si>
    <t>3123347964</t>
  </si>
  <si>
    <t>62172876</t>
  </si>
  <si>
    <t>Cilia Maria Campo</t>
  </si>
  <si>
    <t>054014204373</t>
  </si>
  <si>
    <t>Hacienda el Castillo condominio Pradera 3 casa 52</t>
  </si>
  <si>
    <t>3146352517</t>
  </si>
  <si>
    <t>62172710</t>
  </si>
  <si>
    <t>Stefanny Valencia</t>
  </si>
  <si>
    <t>240043849412</t>
  </si>
  <si>
    <t>POLICARPA</t>
  </si>
  <si>
    <t>Cliente recoge pedido en oficina PRINCIPAL de Interrapidisimo en POLICARPA cliente recoge en esa oficina</t>
  </si>
  <si>
    <t>3135661049</t>
  </si>
  <si>
    <t>62172592</t>
  </si>
  <si>
    <t>Maria Alejandra No</t>
  </si>
  <si>
    <t>240043849416</t>
  </si>
  <si>
    <t>Calle 5 #19-54, Barrio San Jose</t>
  </si>
  <si>
    <t>3148931407</t>
  </si>
  <si>
    <t>REENVIO</t>
  </si>
  <si>
    <t>62172043</t>
  </si>
  <si>
    <t>Elisa Mora</t>
  </si>
  <si>
    <t>240043849428</t>
  </si>
  <si>
    <t>Calle 11C Sur #54-93, Guayabal la colinita</t>
  </si>
  <si>
    <t>3122560782</t>
  </si>
  <si>
    <t>62171489</t>
  </si>
  <si>
    <t>Rosa Elvira Jiménez</t>
  </si>
  <si>
    <t>240043844151</t>
  </si>
  <si>
    <t>BOLIVAR (V)</t>
  </si>
  <si>
    <t>Cliente recoge pedido en oficina de Interrapidisimo en Bolivar (v) cliente recoge en esa oficina</t>
  </si>
  <si>
    <t>3183602837</t>
  </si>
  <si>
    <t>NUMERO ADICIONAL 3186020033</t>
  </si>
  <si>
    <t>62171293</t>
  </si>
  <si>
    <t>Indira Fuenmayor</t>
  </si>
  <si>
    <t>240043844179</t>
  </si>
  <si>
    <t>Carrera 49 #72-20</t>
  </si>
  <si>
    <t>3013535072</t>
  </si>
  <si>
    <t>62162450</t>
  </si>
  <si>
    <t>Emel Rangel</t>
  </si>
  <si>
    <t>240043844217</t>
  </si>
  <si>
    <t>Calle 29 #22-18 Barrio Primero de Mayo</t>
  </si>
  <si>
    <t>3107122831</t>
  </si>
  <si>
    <t>62161322</t>
  </si>
  <si>
    <t>Geovanis canencia fonseca</t>
  </si>
  <si>
    <t>054014204382</t>
  </si>
  <si>
    <t>CARRERA 57 #75-130, Nte. Centro Historico, Edificio</t>
  </si>
  <si>
    <t>3137765644</t>
  </si>
  <si>
    <t>62161030</t>
  </si>
  <si>
    <t>Carmen Padilla</t>
  </si>
  <si>
    <t>240043849526</t>
  </si>
  <si>
    <t>CARRERA 7 # 18-26, Barrio La Granja</t>
  </si>
  <si>
    <t>3113291728</t>
  </si>
  <si>
    <t>62160946</t>
  </si>
  <si>
    <t>Gloria Ramirez Rúa</t>
  </si>
  <si>
    <t>240043849532</t>
  </si>
  <si>
    <t>3147408782</t>
  </si>
  <si>
    <t>62160729</t>
  </si>
  <si>
    <t>Yenny Noriega</t>
  </si>
  <si>
    <t>240043853466</t>
  </si>
  <si>
    <t>Transversal 74 # 83 a-10, Barrio minuto de dios</t>
  </si>
  <si>
    <t>3227520024</t>
  </si>
  <si>
    <t>62160373</t>
  </si>
  <si>
    <t>Jeaneth patiño</t>
  </si>
  <si>
    <t>240043853506</t>
  </si>
  <si>
    <t>VELEZ</t>
  </si>
  <si>
    <t>Calle 6 # 7-74, Palenque</t>
  </si>
  <si>
    <t>3142508859</t>
  </si>
  <si>
    <t>62160256</t>
  </si>
  <si>
    <t>Yanila Rag</t>
  </si>
  <si>
    <t>240043844549</t>
  </si>
  <si>
    <t>Carrera 7 # 57b - 02, INT 206, Oficina</t>
  </si>
  <si>
    <t>3146520095</t>
  </si>
  <si>
    <t>62159596</t>
  </si>
  <si>
    <t>Nubia Guzmán Borja</t>
  </si>
  <si>
    <t>240043844684</t>
  </si>
  <si>
    <t>Calle 80 #100 - 31, barrio. El prado</t>
  </si>
  <si>
    <t>3147675835</t>
  </si>
  <si>
    <t>62159489</t>
  </si>
  <si>
    <t>Carmen Edilia Torrado Arias</t>
  </si>
  <si>
    <t>240043849542</t>
  </si>
  <si>
    <t>Calle 17A #8-26, Urbanización Kennedy</t>
  </si>
  <si>
    <t>3104787992</t>
  </si>
  <si>
    <t>62159182</t>
  </si>
  <si>
    <t>Luz Carola Chalacan</t>
  </si>
  <si>
    <t>054014204383</t>
  </si>
  <si>
    <t>Calle 54 b #29 a-17 casa, Barrio Couneros 1</t>
  </si>
  <si>
    <t>3155970651</t>
  </si>
  <si>
    <t>62158891</t>
  </si>
  <si>
    <t>Yesid Gavilan</t>
  </si>
  <si>
    <t>054014204384</t>
  </si>
  <si>
    <t>Calle 72 b #3 an-11, floralia</t>
  </si>
  <si>
    <t>3118608733</t>
  </si>
  <si>
    <t>62158717</t>
  </si>
  <si>
    <t>Elizabeth Rivas Caicedo</t>
  </si>
  <si>
    <t>240043852523</t>
  </si>
  <si>
    <t>Carrera 6 #2-20, cliente recoge en esa oficina de interrapidisimo</t>
  </si>
  <si>
    <t>3137892665</t>
  </si>
  <si>
    <t>62158505</t>
  </si>
  <si>
    <t>Yaneth Paternina Alvarez</t>
  </si>
  <si>
    <t>054014204385</t>
  </si>
  <si>
    <t>Calle 75 A #24-03, Barrio Carlos Meisel</t>
  </si>
  <si>
    <t>3138380675</t>
  </si>
  <si>
    <t>62158379</t>
  </si>
  <si>
    <t>Aura Cayon</t>
  </si>
  <si>
    <t>054014204386</t>
  </si>
  <si>
    <t>carrera 16d #11a-34 urbanización Riascos</t>
  </si>
  <si>
    <t>3003900510</t>
  </si>
  <si>
    <t>62158273</t>
  </si>
  <si>
    <t>Ofelia rentería naranjo</t>
  </si>
  <si>
    <t>240043849554</t>
  </si>
  <si>
    <t>VALPARAISO (CAQ)</t>
  </si>
  <si>
    <t>Cliente recoge pedido en oficina de Interrapidisimo en Valparaiso  cliente recoge en esa oficina</t>
  </si>
  <si>
    <t>3204717387</t>
  </si>
  <si>
    <t>62158222</t>
  </si>
  <si>
    <t>Edila Olivares</t>
  </si>
  <si>
    <t>240043843015</t>
  </si>
  <si>
    <t>ARAUQUITA</t>
  </si>
  <si>
    <t>Cliente recoge pedido en oficina de Interrapidisimo en Arauquita cliente recoge en esa oficina</t>
  </si>
  <si>
    <t>3227513389</t>
  </si>
  <si>
    <t>62157733</t>
  </si>
  <si>
    <t>240043849565</t>
  </si>
  <si>
    <t>62157183</t>
  </si>
  <si>
    <t>Mirian Hernández</t>
  </si>
  <si>
    <t>240043843055</t>
  </si>
  <si>
    <t>Carrera 23 #13B-25, Barrio Primero la gente</t>
  </si>
  <si>
    <t>3154362253</t>
  </si>
  <si>
    <t>62157030</t>
  </si>
  <si>
    <t>Alix Arguello</t>
  </si>
  <si>
    <t>240043849569</t>
  </si>
  <si>
    <t>Manzana e casa 1 barrio monte alegre Oficina</t>
  </si>
  <si>
    <t>3177429999</t>
  </si>
  <si>
    <t>62156518</t>
  </si>
  <si>
    <t>Katherine ramirez</t>
  </si>
  <si>
    <t>240043849576</t>
  </si>
  <si>
    <t>Barrio la María calle 43#42-69</t>
  </si>
  <si>
    <t>3206078012</t>
  </si>
  <si>
    <t>62155706</t>
  </si>
  <si>
    <t>Vanessa Perez</t>
  </si>
  <si>
    <t>240043853188</t>
  </si>
  <si>
    <t>CALLE 1 # 5-99, REF: atras del parque de la inglesia</t>
  </si>
  <si>
    <t>3132830842</t>
  </si>
  <si>
    <t>62155373</t>
  </si>
  <si>
    <t>Niyirth Oviedo</t>
  </si>
  <si>
    <t>240043853240</t>
  </si>
  <si>
    <t>CHAPARRAL</t>
  </si>
  <si>
    <t>Cliente recoge pedido en oficina de Interrapidisimo en Chaparral cliente recoge en esa oficina</t>
  </si>
  <si>
    <t>3144827145</t>
  </si>
  <si>
    <t>COLOR VERDE</t>
  </si>
  <si>
    <t>62155006</t>
  </si>
  <si>
    <t>Alejandra zulay blanco vargas</t>
  </si>
  <si>
    <t>240043853306</t>
  </si>
  <si>
    <t>AIPE</t>
  </si>
  <si>
    <t>Cliente recoge pedido en oficina de Interrapidisimo en Aipe cliente recoge en esa oficina</t>
  </si>
  <si>
    <t>3209754122</t>
  </si>
  <si>
    <t>62154817</t>
  </si>
  <si>
    <t>Isabel Pérez</t>
  </si>
  <si>
    <t>240043853330</t>
  </si>
  <si>
    <t>MUTATA</t>
  </si>
  <si>
    <t>Cliente recoge pedido en oficina de Interrapidisimo en Mutata cliente recoge en esa oficina</t>
  </si>
  <si>
    <t>3114240234</t>
  </si>
  <si>
    <t>62154665</t>
  </si>
  <si>
    <t>Yerica Palencia</t>
  </si>
  <si>
    <t>240043863794</t>
  </si>
  <si>
    <t>Manzana uu casa 17 pinares del Oriente Barrio porfia</t>
  </si>
  <si>
    <t>3222892887</t>
  </si>
  <si>
    <t>62154576</t>
  </si>
  <si>
    <t>Yucelis becerra</t>
  </si>
  <si>
    <t>240043863842</t>
  </si>
  <si>
    <t>Calle 7a #29-27 Camilo torres</t>
  </si>
  <si>
    <t>3022756984</t>
  </si>
  <si>
    <t>62154065</t>
  </si>
  <si>
    <t>Yarelis García Díaz</t>
  </si>
  <si>
    <t>014155494701</t>
  </si>
  <si>
    <t>CARRERA 12 # 15- 10, Barrio La Concepción</t>
  </si>
  <si>
    <t>3115933964</t>
  </si>
  <si>
    <t>62153544</t>
  </si>
  <si>
    <t>Liney Ospino</t>
  </si>
  <si>
    <t>240043853507</t>
  </si>
  <si>
    <t>Cliente recoge pedido en oficina de Interrapidisimo en El Dificil cliente recoge en esa oficina</t>
  </si>
  <si>
    <t>3116896184</t>
  </si>
  <si>
    <t>62153437</t>
  </si>
  <si>
    <t>Yanet Liliana tapia sequera</t>
  </si>
  <si>
    <t>240043853553</t>
  </si>
  <si>
    <t>Calle 138 A Sur #14i-39 ciudadela torre 1 apto102, USME</t>
  </si>
  <si>
    <t>3219320241</t>
  </si>
  <si>
    <t>62153242</t>
  </si>
  <si>
    <t>Leonor Castro Villa</t>
  </si>
  <si>
    <t>014155494759</t>
  </si>
  <si>
    <t>manzana 1, LOTE 91, barrio Villa de Arafuez</t>
  </si>
  <si>
    <t>3114095224</t>
  </si>
  <si>
    <t>62152614</t>
  </si>
  <si>
    <t>Patricia Sanmartin</t>
  </si>
  <si>
    <t>014155488555</t>
  </si>
  <si>
    <t>Carrera 48 # 68-27, Campo Valdés, Apt 3, Piso 301</t>
  </si>
  <si>
    <t>3127111796</t>
  </si>
  <si>
    <t>62152481</t>
  </si>
  <si>
    <t>luis barrero</t>
  </si>
  <si>
    <t>V4002105720</t>
  </si>
  <si>
    <t>Calle 72 J # 28 i- 16 Barrio Poblado 1</t>
  </si>
  <si>
    <t>3159904269</t>
  </si>
  <si>
    <t>62152372</t>
  </si>
  <si>
    <t>Fernando Machado Álvarez</t>
  </si>
  <si>
    <t>V4002105721</t>
  </si>
  <si>
    <t>Calle 58 A #101C-16, Olaya Herrera</t>
  </si>
  <si>
    <t>3105051051</t>
  </si>
  <si>
    <t>62151992</t>
  </si>
  <si>
    <t>Víctor Julio Ángel Díaz</t>
  </si>
  <si>
    <t>240043845542</t>
  </si>
  <si>
    <t>Casa 26 Manzana L, La cesilia condominio monte Madero</t>
  </si>
  <si>
    <t>3213346246</t>
  </si>
  <si>
    <t>62151174</t>
  </si>
  <si>
    <t>Magnolia Pelaez</t>
  </si>
  <si>
    <t>240043845844</t>
  </si>
  <si>
    <t>GUAVIARE</t>
  </si>
  <si>
    <t>SAN JOSE DEL GUAVIARE</t>
  </si>
  <si>
    <t>Calle 11 #17-30 Barrio Porvenir</t>
  </si>
  <si>
    <t>3167521369</t>
  </si>
  <si>
    <t>62150680</t>
  </si>
  <si>
    <t>Mercedes Bonilla</t>
  </si>
  <si>
    <t>V4002105723</t>
  </si>
  <si>
    <t>Calle 84 #28 d-71 mojica</t>
  </si>
  <si>
    <t>3126445125</t>
  </si>
  <si>
    <t>62150326</t>
  </si>
  <si>
    <t>Isabel epieyu uriana</t>
  </si>
  <si>
    <t>240043845941</t>
  </si>
  <si>
    <t>Calle 15# 12a-1...Riohacha la guajira cliente recoge en esa oficina de interrapidisimo</t>
  </si>
  <si>
    <t>3174208421</t>
  </si>
  <si>
    <t>62149339</t>
  </si>
  <si>
    <t>Mónica Andrea Castellanos Martinez</t>
  </si>
  <si>
    <t>240043864190</t>
  </si>
  <si>
    <t>Carrera 1 f # 40-149, local 104, cliente recoge en esa oficina de interrapidisimo</t>
  </si>
  <si>
    <t>3105781414</t>
  </si>
  <si>
    <t>62148915</t>
  </si>
  <si>
    <t>Ade Bogotá</t>
  </si>
  <si>
    <t>240043846207</t>
  </si>
  <si>
    <t>Calle 15 #19A -159, TORRE 16 A, APTO 604, Hogares Soacha Prado Vegas</t>
  </si>
  <si>
    <t>3208299235</t>
  </si>
  <si>
    <t>62148472</t>
  </si>
  <si>
    <t>Yuleida Duarte Sepúlveda</t>
  </si>
  <si>
    <t>240043846247</t>
  </si>
  <si>
    <t>Cliente recoge pedido en oficina de Interrapidisimo en Frontino cliente recoge en esa oficina</t>
  </si>
  <si>
    <t>3227404094</t>
  </si>
  <si>
    <t>NUMERO ADICIONAL 3145423947</t>
  </si>
  <si>
    <t>62148037</t>
  </si>
  <si>
    <t>María Quiros Benitez</t>
  </si>
  <si>
    <t>240043846259</t>
  </si>
  <si>
    <t>calle 19 #3-30, barrio llano de Bolívar organización Guillermo correa</t>
  </si>
  <si>
    <t>3222556370</t>
  </si>
  <si>
    <t>62147472</t>
  </si>
  <si>
    <t>Fidelina Rusinque</t>
  </si>
  <si>
    <t>240043846313</t>
  </si>
  <si>
    <t>LA DORADA</t>
  </si>
  <si>
    <t>Calle 17 # 9-27, Barrio: Cabrero</t>
  </si>
  <si>
    <t>3122753646</t>
  </si>
  <si>
    <t>62147313</t>
  </si>
  <si>
    <t>Marcial yalanda yalanda</t>
  </si>
  <si>
    <t>240043844135</t>
  </si>
  <si>
    <t>barrio garcia rovira oficina, cliente recoge en esa oficina de interrapidisimo</t>
  </si>
  <si>
    <t>3228564302</t>
  </si>
  <si>
    <t>62146629</t>
  </si>
  <si>
    <t>Patricia García</t>
  </si>
  <si>
    <t>240043844193</t>
  </si>
  <si>
    <t>TRANSVERSAL 1b este # 81d sur-54 barrio la esperanza</t>
  </si>
  <si>
    <t>3214996926</t>
  </si>
  <si>
    <t>62146528</t>
  </si>
  <si>
    <t>Ophelina Niño Ochoa</t>
  </si>
  <si>
    <t>240043844201</t>
  </si>
  <si>
    <t>CALLE 67 B SUR # 65-73, Barrio Isla del Sol. Tercer piso. Zona Tufelito.</t>
  </si>
  <si>
    <t>3123058698</t>
  </si>
  <si>
    <t>62146202</t>
  </si>
  <si>
    <t>Angel Castillo</t>
  </si>
  <si>
    <t>V4002105639</t>
  </si>
  <si>
    <t>Carrera 38 #38-70, Barrio Antonio Nariño</t>
  </si>
  <si>
    <t>3128695877</t>
  </si>
  <si>
    <t>62145848</t>
  </si>
  <si>
    <t>Mayerli guerrero</t>
  </si>
  <si>
    <t>240043844247</t>
  </si>
  <si>
    <t>Oficina Avenidas los estudiantes cliente recoge en esa oficina de interrapidisimo</t>
  </si>
  <si>
    <t>3169426873</t>
  </si>
  <si>
    <t>62145508</t>
  </si>
  <si>
    <t>Leidy jhoana usuga bedoya</t>
  </si>
  <si>
    <t>240043864474</t>
  </si>
  <si>
    <t>3136350920</t>
  </si>
  <si>
    <t>62063129</t>
  </si>
  <si>
    <t>Yocelyn Ortiz</t>
  </si>
  <si>
    <t>240043778645</t>
  </si>
  <si>
    <t>Diagonal 78 B Bis A sur #16 T-09, Barrio san Joaquín</t>
  </si>
  <si>
    <t>3143183676</t>
  </si>
  <si>
    <t>Lemme Burne (2) x1 + Lemme Burne (2) x1 + Lemme Burne (2) x1 + Lemme Burne (2) x1 + Lemme Burne (2) x1 + Lemme Burne (2) x1 + Lemme Burne (2) x1 + Lemme Burne (2) x1 + Lemme Burne (2) x1 + Lemme Burne (2) x1</t>
  </si>
  <si>
    <t>62061508</t>
  </si>
  <si>
    <t>Claudia no</t>
  </si>
  <si>
    <t>054014203558</t>
  </si>
  <si>
    <t>KARRERA 5 # 33-95 BARRIO MANZANARES, llamar antes</t>
  </si>
  <si>
    <t>3127034009</t>
  </si>
  <si>
    <t>62057036</t>
  </si>
  <si>
    <t>Sara Isabel Gutiérrez</t>
  </si>
  <si>
    <t>014155457864</t>
  </si>
  <si>
    <t>Carrera 13A #15-35 La Quemada en Gaira</t>
  </si>
  <si>
    <t>3015251579</t>
  </si>
  <si>
    <t>62055662</t>
  </si>
  <si>
    <t>Soren Lizeth Aguilar</t>
  </si>
  <si>
    <t>240043784270</t>
  </si>
  <si>
    <t>Carrera 3 # 22-01 conjunto atardeceres para la portería</t>
  </si>
  <si>
    <t>3104891473</t>
  </si>
  <si>
    <t>62055562</t>
  </si>
  <si>
    <t>Kati Nuñez</t>
  </si>
  <si>
    <t>240043784365</t>
  </si>
  <si>
    <t>GUARANDA</t>
  </si>
  <si>
    <t>Cliente recoge pedido en oficina de Interrapidisimo en Guaranda cliente recoge en esa oficina</t>
  </si>
  <si>
    <t>3017501313</t>
  </si>
  <si>
    <t>62055482</t>
  </si>
  <si>
    <t>Azucena Buitrago Aristizabal</t>
  </si>
  <si>
    <t>240043784385</t>
  </si>
  <si>
    <t>Calle 54 #23-11 Belén, Manizales.</t>
  </si>
  <si>
    <t>3113501170</t>
  </si>
  <si>
    <t>62055261</t>
  </si>
  <si>
    <t>Irina Wilchez</t>
  </si>
  <si>
    <t>240043781465</t>
  </si>
  <si>
    <t>GALAPA</t>
  </si>
  <si>
    <t>Calle 8a #16-49, Barrio El Carmen de Galapa</t>
  </si>
  <si>
    <t>3107415992</t>
  </si>
  <si>
    <t>62055055</t>
  </si>
  <si>
    <t>Yolanda Rico</t>
  </si>
  <si>
    <t>240043781629</t>
  </si>
  <si>
    <t>CARRERA 12 #9-20 centro Sogamoso</t>
  </si>
  <si>
    <t>3124534572</t>
  </si>
  <si>
    <t>62054821</t>
  </si>
  <si>
    <t>Viviana Maria Valencia Montoya</t>
  </si>
  <si>
    <t>054014203563</t>
  </si>
  <si>
    <t>Carrera 10B #17a-21 Barrio los almendros</t>
  </si>
  <si>
    <t>3155251339</t>
  </si>
  <si>
    <t>62054687</t>
  </si>
  <si>
    <t>Mildred Salcedo</t>
  </si>
  <si>
    <t>240043821420</t>
  </si>
  <si>
    <t>CONVENCION</t>
  </si>
  <si>
    <t>Cliente recoge pedido en oficina de Interrapidisimo en Convencion cliente recoge en esa oficina</t>
  </si>
  <si>
    <t>3247119922</t>
  </si>
  <si>
    <t>62054669</t>
  </si>
  <si>
    <t>Leydy Cumbal</t>
  </si>
  <si>
    <t>240043782107</t>
  </si>
  <si>
    <t>Calle 127a # 71B-89, Edificio Mirador del Parque, Degar en recepción, Niza</t>
  </si>
  <si>
    <t>3123434459</t>
  </si>
  <si>
    <t>62054608</t>
  </si>
  <si>
    <t>Rosa Maria Ramirez henao</t>
  </si>
  <si>
    <t>054014203564</t>
  </si>
  <si>
    <t>Calle 15 #5-11 Santa barbara</t>
  </si>
  <si>
    <t>3156938926</t>
  </si>
  <si>
    <t>62054497</t>
  </si>
  <si>
    <t>Claudia Patricia Medina Sánchez</t>
  </si>
  <si>
    <t>240043821431</t>
  </si>
  <si>
    <t>CURITI</t>
  </si>
  <si>
    <t>Calle 9 #12-12 barrio Libertador</t>
  </si>
  <si>
    <t>3208869665</t>
  </si>
  <si>
    <t>62054471</t>
  </si>
  <si>
    <t>María Beatriz Díaz</t>
  </si>
  <si>
    <t>240043777176</t>
  </si>
  <si>
    <t>Cliente recoge pedido en oficina de Interrapidisimo en Riosucio cliente recoge en esa oficina</t>
  </si>
  <si>
    <t>3152768185</t>
  </si>
  <si>
    <t>62054341</t>
  </si>
  <si>
    <t>Liliana Romero Murcia</t>
  </si>
  <si>
    <t>240043821440</t>
  </si>
  <si>
    <t>Calle 57Z sur #75D-07 casa 111, Ciudad Bolívar</t>
  </si>
  <si>
    <t>3152227450</t>
  </si>
  <si>
    <t>62054266</t>
  </si>
  <si>
    <t>Luz Meryl Blanco</t>
  </si>
  <si>
    <t>240043782268</t>
  </si>
  <si>
    <t>CERINZA</t>
  </si>
  <si>
    <t>Calle 7 # 4 - 29 Cerinza Centro</t>
  </si>
  <si>
    <t>3208003284</t>
  </si>
  <si>
    <t>Beevana crema dolores - 3 x1 + Bee Venom BSWELL x3 + Beevana crema dolores - 3 x1 + Bee Venom BSWELL x3 + Beevana crema dolores - 3 x1 + Bee Venom BSWELL x3 + Beevana crema dolores - 3 x1 + Bee Venom BSWELL x3 + Beevana crema dolores - 3 x1 + Bee Venom BSWELL x3 + Beevana crema dolores - 3 x1 + Bee Venom BSWELL x3 + Beevana crema dolores - 3 x1 + Bee Venom BSWELL x3 + Beevana crema dolores - 3 x1 + Bee Venom BSWELL x3 + Beevana crema dolores - 3 x1 + Bee Venom BSWELL x3 + Beevana crema dolores - 3 x1 + Bee Venom BSWELL x3</t>
  </si>
  <si>
    <t>62054195</t>
  </si>
  <si>
    <t>Fanny Mendoza</t>
  </si>
  <si>
    <t>240043821460</t>
  </si>
  <si>
    <t>Calle 83 #95-55 int 106 Bachue 2</t>
  </si>
  <si>
    <t>3112697112</t>
  </si>
  <si>
    <t>62053941</t>
  </si>
  <si>
    <t>Eliana Vélez</t>
  </si>
  <si>
    <t>240043782564</t>
  </si>
  <si>
    <t>LA VIRGINIA</t>
  </si>
  <si>
    <t>Calle 11b #1a-46, barrio Alfonso López</t>
  </si>
  <si>
    <t>3127281716</t>
  </si>
  <si>
    <t>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 + Beevana crema dolores - 2 x1 + Bee Venom BSWELL x1</t>
  </si>
  <si>
    <t>62053648</t>
  </si>
  <si>
    <t>Diana Arenas</t>
  </si>
  <si>
    <t>054014203566</t>
  </si>
  <si>
    <t>Calle 26 #43-51 Madera silvestre apto 1108</t>
  </si>
  <si>
    <t>3136602315</t>
  </si>
  <si>
    <t>62053592</t>
  </si>
  <si>
    <t>Amparo vargas</t>
  </si>
  <si>
    <t>240043774291</t>
  </si>
  <si>
    <t>carrera 59 # 45-3 INTERRAPIDISIMO barrio Loma Los zuletas sector los mingos</t>
  </si>
  <si>
    <t>3193587503</t>
  </si>
  <si>
    <t>62053546</t>
  </si>
  <si>
    <t>Yecenia Ocampo</t>
  </si>
  <si>
    <t>054014203567</t>
  </si>
  <si>
    <t>Carrera 6 #12-61 centro comercial la casona local 112 y 119 Centro de Cali</t>
  </si>
  <si>
    <t>3178324006</t>
  </si>
  <si>
    <t>62053415</t>
  </si>
  <si>
    <t>Adriana María teorúa Quintana</t>
  </si>
  <si>
    <t>240043782748</t>
  </si>
  <si>
    <t>Cliente recoge pedido en oficina de Interrapidisimo en Amalfi cliente recoge en esa oficina</t>
  </si>
  <si>
    <t>3205111246</t>
  </si>
  <si>
    <t>62053302</t>
  </si>
  <si>
    <t>yeny paola mercado</t>
  </si>
  <si>
    <t>240043821473</t>
  </si>
  <si>
    <t>SAN PABLO</t>
  </si>
  <si>
    <t>Carrera 4#16-86, Libertad</t>
  </si>
  <si>
    <t>3234244728</t>
  </si>
  <si>
    <t>62053207</t>
  </si>
  <si>
    <t>Nohelia Gómez</t>
  </si>
  <si>
    <t>V4002101930</t>
  </si>
  <si>
    <t>calle 12 #48 bis-05 barrio Panamericano</t>
  </si>
  <si>
    <t>3168398417</t>
  </si>
  <si>
    <t>62053165</t>
  </si>
  <si>
    <t>Leidis castros Pineda</t>
  </si>
  <si>
    <t>240043821487</t>
  </si>
  <si>
    <t>MELGAR</t>
  </si>
  <si>
    <t>carrera 27 #6-41 centro</t>
  </si>
  <si>
    <t>3115362469</t>
  </si>
  <si>
    <t>62053000</t>
  </si>
  <si>
    <t>Luznairis guillen</t>
  </si>
  <si>
    <t>240043821496</t>
  </si>
  <si>
    <t>Carrera 16 #5-53 Villalva</t>
  </si>
  <si>
    <t>3122760421</t>
  </si>
  <si>
    <t>62052957</t>
  </si>
  <si>
    <t>Jorge Luis Narváez</t>
  </si>
  <si>
    <t>240043784658</t>
  </si>
  <si>
    <t>Calle 16 Carrera 16 #16-35, barrio La Popa</t>
  </si>
  <si>
    <t>3138667523</t>
  </si>
  <si>
    <t>62052887</t>
  </si>
  <si>
    <t>Maju Atun</t>
  </si>
  <si>
    <t>240043821501</t>
  </si>
  <si>
    <t>3165379962</t>
  </si>
  <si>
    <t>62052282</t>
  </si>
  <si>
    <t>Sandra suarez</t>
  </si>
  <si>
    <t>240043775290</t>
  </si>
  <si>
    <t>TOLU</t>
  </si>
  <si>
    <t>Cliente recoge pedido en oficina de Interrapidisimo en Tolu cliente recoge en esa oficina</t>
  </si>
  <si>
    <t>3104985002</t>
  </si>
  <si>
    <t>numero adicional 3024109157</t>
  </si>
  <si>
    <t>Bee Venom BSWELL x4 + Bee Venom BSWELL x4 + Bee Venom BSWELL x4 + Bee Venom BSWELL x4 + Bee Venom BSWELL x4 + Bee Venom BSWELL x4 + Bee Venom BSWELL x4 + Bee Venom BSWELL x4 + Bee Venom BSWELL x4 + Bee Venom BSWELL x4</t>
  </si>
  <si>
    <t>62051798</t>
  </si>
  <si>
    <t>Natalia Sarmiento</t>
  </si>
  <si>
    <t>014155456018</t>
  </si>
  <si>
    <t>Calle 64 #34-55, Barrio Zamorano, Casa de rejas blancas, al frente de un monta llantas</t>
  </si>
  <si>
    <t>3145832380</t>
  </si>
  <si>
    <t>62051686</t>
  </si>
  <si>
    <t>Mabel no</t>
  </si>
  <si>
    <t>054014203569</t>
  </si>
  <si>
    <t>calle 40 # 17 a 36, barrio la campiña</t>
  </si>
  <si>
    <t>3118131494</t>
  </si>
  <si>
    <t>62051524</t>
  </si>
  <si>
    <t>María R S</t>
  </si>
  <si>
    <t>240043774261</t>
  </si>
  <si>
    <t>Diagonal 62 H bis Sur #74a-53, casa 61, Conjuntos Galicia, frente al Portal Sur</t>
  </si>
  <si>
    <t>3125330327</t>
  </si>
  <si>
    <t>62051432</t>
  </si>
  <si>
    <t>Edgar soler Arias</t>
  </si>
  <si>
    <t>240043821510</t>
  </si>
  <si>
    <t>3168228027</t>
  </si>
  <si>
    <t>62051334</t>
  </si>
  <si>
    <t>Mercedes Castro Maldonado</t>
  </si>
  <si>
    <t>240043821515</t>
  </si>
  <si>
    <t>carrera 12 #5-42 edificio las brisas apartamento 301</t>
  </si>
  <si>
    <t>3212328438</t>
  </si>
  <si>
    <t>62051209</t>
  </si>
  <si>
    <t>Luz gladys Vargas</t>
  </si>
  <si>
    <t>240043774266</t>
  </si>
  <si>
    <t>Calle 2B # 10-09 éste Barrio rocío alto</t>
  </si>
  <si>
    <t>3223494920</t>
  </si>
  <si>
    <t>62051051</t>
  </si>
  <si>
    <t>Liliana Riascos</t>
  </si>
  <si>
    <t>V4002102094</t>
  </si>
  <si>
    <t>Calle 36 # 27 - 105, llamar antes de ir por favor</t>
  </si>
  <si>
    <t>3106388389</t>
  </si>
  <si>
    <t>62051042</t>
  </si>
  <si>
    <t>Teresa Bernal</t>
  </si>
  <si>
    <t>014155456050</t>
  </si>
  <si>
    <t>Carrera 19 #4-72, Piso 2 Barrio san jerónimo</t>
  </si>
  <si>
    <t>3207991028</t>
  </si>
  <si>
    <t>62050781</t>
  </si>
  <si>
    <t>Ena de Hoyos</t>
  </si>
  <si>
    <t>014155461905</t>
  </si>
  <si>
    <t>calle 3A # 32-75 en casa</t>
  </si>
  <si>
    <t>3008291736</t>
  </si>
  <si>
    <t>62050657</t>
  </si>
  <si>
    <t>Milena Herrera</t>
  </si>
  <si>
    <t>240043796201</t>
  </si>
  <si>
    <t>Oficina Interrapidísimo, Dos de Abril, San Juan de Urabá cliente recoge en esa oficina de interrapidisimo</t>
  </si>
  <si>
    <t>3108924335</t>
  </si>
  <si>
    <t>numero adicional 3136266374</t>
  </si>
  <si>
    <t>62050649</t>
  </si>
  <si>
    <t>Merlide Salina Galicia</t>
  </si>
  <si>
    <t>240043785940</t>
  </si>
  <si>
    <t>3045399971</t>
  </si>
  <si>
    <t>62050374</t>
  </si>
  <si>
    <t>Kerly Viviana nieto</t>
  </si>
  <si>
    <t>240043796226</t>
  </si>
  <si>
    <t>Cliente recoge pedido en oficina de Interrapidisimo en Cartagena Del Chaira cliente recoge en esa oficina</t>
  </si>
  <si>
    <t>3125280292</t>
  </si>
  <si>
    <t>62050282</t>
  </si>
  <si>
    <t>César Vergara</t>
  </si>
  <si>
    <t>240043796249</t>
  </si>
  <si>
    <t>SAMPUES</t>
  </si>
  <si>
    <t>Carrera 14 # 17B-21, Barrio: 7 de agosto</t>
  </si>
  <si>
    <t>3136647157</t>
  </si>
  <si>
    <t>numero adicional 3116141712</t>
  </si>
  <si>
    <t>62049579</t>
  </si>
  <si>
    <t>lady marcela playa</t>
  </si>
  <si>
    <t>240043796388</t>
  </si>
  <si>
    <t>Interrapidisimo CARRERA 15 # 100 - 06, Barrio chico norte cliente recoge en esa oficina de interrapidisimo</t>
  </si>
  <si>
    <t>3229246265</t>
  </si>
  <si>
    <t>62049227</t>
  </si>
  <si>
    <t>Argemiro Castillo</t>
  </si>
  <si>
    <t>240043786772</t>
  </si>
  <si>
    <t>Calle 131D #92-62, Santa Ana de Suba</t>
  </si>
  <si>
    <t>3118307891</t>
  </si>
  <si>
    <t>62049154</t>
  </si>
  <si>
    <t>Juan de Jesus Martínez</t>
  </si>
  <si>
    <t>240043786812</t>
  </si>
  <si>
    <t>CRA 19 # 8 45 torres de santa Isabel barrio comuneros</t>
  </si>
  <si>
    <t>3166425488</t>
  </si>
  <si>
    <t>62049120</t>
  </si>
  <si>
    <t>Noris Garizao</t>
  </si>
  <si>
    <t>240043798578</t>
  </si>
  <si>
    <t>Calle 46 # 16 D-27, barrio Cebillar</t>
  </si>
  <si>
    <t>3169571417</t>
  </si>
  <si>
    <t>62048975</t>
  </si>
  <si>
    <t>Inirida Velilla Manjarrez</t>
  </si>
  <si>
    <t>Cliente recoge pedido en oficina de Interrapidisimo en El Carmen De Bolivar cliente recoge en esa oficina</t>
  </si>
  <si>
    <t>3122090820</t>
  </si>
  <si>
    <t>62048582</t>
  </si>
  <si>
    <t>Gloria Patricia Ceballoz</t>
  </si>
  <si>
    <t>240043798613</t>
  </si>
  <si>
    <t>Cliente recoge pedido en oficina de Interrapidisimo en La Virginia cliente recoge en esa oficina</t>
  </si>
  <si>
    <t>3127652385</t>
  </si>
  <si>
    <t>62048268</t>
  </si>
  <si>
    <t>Jackeline Herrera Diaz</t>
  </si>
  <si>
    <t>240043798651</t>
  </si>
  <si>
    <t>APULO</t>
  </si>
  <si>
    <t>Cliente recoge pedido en oficina de Interrapidisimo en Apulo cliente recoge en esa oficina</t>
  </si>
  <si>
    <t>3202226715</t>
  </si>
  <si>
    <t>62048121</t>
  </si>
  <si>
    <t>Maritza Rodríguez</t>
  </si>
  <si>
    <t>240043798663</t>
  </si>
  <si>
    <t>ALGARROBO</t>
  </si>
  <si>
    <t>Calle 11 #23-45 Barrio 26 de julio</t>
  </si>
  <si>
    <t>3233914613</t>
  </si>
  <si>
    <t>62048055</t>
  </si>
  <si>
    <t>María Teresa Leal</t>
  </si>
  <si>
    <t>240043798691</t>
  </si>
  <si>
    <t>Cliente recoge pedido en oficina PRINCIPAL de Interrapidisimo en La Virginia cliente recoge en esa oficina</t>
  </si>
  <si>
    <t>3116487063</t>
  </si>
  <si>
    <t>COLOR NEGRO O ROJO</t>
  </si>
  <si>
    <t>62047931</t>
  </si>
  <si>
    <t>Beatriz Ramírez Max</t>
  </si>
  <si>
    <t>240043798709</t>
  </si>
  <si>
    <t>BUENAVISTA (COR)</t>
  </si>
  <si>
    <t>Cliente recoge pedido en oficina de Interrapidisimo en Buenavista cliente recoge en esa oficina</t>
  </si>
  <si>
    <t>3148810748</t>
  </si>
  <si>
    <t>NUMERO ADICIONAL 3205827906</t>
  </si>
  <si>
    <t>62047741</t>
  </si>
  <si>
    <t>María Macha</t>
  </si>
  <si>
    <t>240043798758</t>
  </si>
  <si>
    <t>MANATI</t>
  </si>
  <si>
    <t>carrera 6 # 5-48, barrio Cerrezal</t>
  </si>
  <si>
    <t>3046407829</t>
  </si>
  <si>
    <t>62047376</t>
  </si>
  <si>
    <t>Kelly Rojas</t>
  </si>
  <si>
    <t>240043798807</t>
  </si>
  <si>
    <t>Calle Páez al frente del almacén bedolla y cable vision Bario Páez</t>
  </si>
  <si>
    <t>3173532902</t>
  </si>
  <si>
    <t>numero adicional 3167193561</t>
  </si>
  <si>
    <t>62046813</t>
  </si>
  <si>
    <t>Isabella Chang Magallanes</t>
  </si>
  <si>
    <t>240043798841</t>
  </si>
  <si>
    <t>Av los estudiantes Tumaco cliente recoge en esa oficina</t>
  </si>
  <si>
    <t>3178223893</t>
  </si>
  <si>
    <t>numero adicional 3226391588</t>
  </si>
  <si>
    <t>62046414</t>
  </si>
  <si>
    <t>Julia Fernández</t>
  </si>
  <si>
    <t>014155463278</t>
  </si>
  <si>
    <t>Carrera 1 # 0-39, Barrio 8 de enero</t>
  </si>
  <si>
    <t>3122460106</t>
  </si>
  <si>
    <t>61935012</t>
  </si>
  <si>
    <t>Claudia Henao</t>
  </si>
  <si>
    <t>240043713925</t>
  </si>
  <si>
    <t>CACERES</t>
  </si>
  <si>
    <t>Cliente recoge pedido en oficina de Interrapidisimo en Caceres cliente recoge en esa oficina</t>
  </si>
  <si>
    <t>3007515120</t>
  </si>
  <si>
    <t>61934697</t>
  </si>
  <si>
    <t>Ludis Beltrán</t>
  </si>
  <si>
    <t>240043725300</t>
  </si>
  <si>
    <t>PUERTO LIBERTADOR</t>
  </si>
  <si>
    <t>Cliente recoge pedido en oficina de Interrapidisimo en Puerto Libertador cliente recoge en esa oficina</t>
  </si>
  <si>
    <t>3216994483</t>
  </si>
  <si>
    <t>61934458</t>
  </si>
  <si>
    <t>YENNI PAOLA MORENO NIETO</t>
  </si>
  <si>
    <t>240043733598</t>
  </si>
  <si>
    <t>Oficina de Interrapidísimo CENTRO diagonal a la policía</t>
  </si>
  <si>
    <t>3243965042</t>
  </si>
  <si>
    <t>61934088</t>
  </si>
  <si>
    <t>Diana Córdoba</t>
  </si>
  <si>
    <t>054014201276</t>
  </si>
  <si>
    <t>kilómetro 12 # 12-36, Corregimiento de tablones</t>
  </si>
  <si>
    <t>3204584180</t>
  </si>
  <si>
    <t>61933970</t>
  </si>
  <si>
    <t>Nilson Gutiérrez Pérez</t>
  </si>
  <si>
    <t>240043737784</t>
  </si>
  <si>
    <t>RIONEGRO</t>
  </si>
  <si>
    <t>Cliente recoge pedido en oficina de Interrapidisimo en Rionegro cliente recoge en esa oficina</t>
  </si>
  <si>
    <t>3152431319</t>
  </si>
  <si>
    <t>numero adicional 3168149734</t>
  </si>
  <si>
    <t>61926814</t>
  </si>
  <si>
    <t>Ernestina Vargas</t>
  </si>
  <si>
    <t>240043705607</t>
  </si>
  <si>
    <t>manzana h número 25 a 59. Sudadera nuevo jirón cetor uno</t>
  </si>
  <si>
    <t>3183332826</t>
  </si>
  <si>
    <t>61926498</t>
  </si>
  <si>
    <t>Pedro Fruto</t>
  </si>
  <si>
    <t>240043705719</t>
  </si>
  <si>
    <t>SANTO TOMAS</t>
  </si>
  <si>
    <t>carrera 8 #7-65 barrio Villa Clarentina</t>
  </si>
  <si>
    <t>3246525639</t>
  </si>
  <si>
    <t>61926262</t>
  </si>
  <si>
    <t>Rosa maria vargas mesa</t>
  </si>
  <si>
    <t>014155414369</t>
  </si>
  <si>
    <t>ALCALA</t>
  </si>
  <si>
    <t>carrera 10 #2-72</t>
  </si>
  <si>
    <t>3205926584</t>
  </si>
  <si>
    <t>61925638</t>
  </si>
  <si>
    <t>Renzo Bautista</t>
  </si>
  <si>
    <t>240043708867</t>
  </si>
  <si>
    <t>Calle 4 #3-17, La Plata, Huila cliente recoge en esa oficina de interrapidisimo</t>
  </si>
  <si>
    <t>3234933591</t>
  </si>
  <si>
    <t>61924646</t>
  </si>
  <si>
    <t>Mayra Alejandra Villamizar Martínez</t>
  </si>
  <si>
    <t>240043731055</t>
  </si>
  <si>
    <t>Carrera 115 # 17D-06, Barrio: Batavia</t>
  </si>
  <si>
    <t>3502816362</t>
  </si>
  <si>
    <t>61924528</t>
  </si>
  <si>
    <t>Eneyda Sandoval</t>
  </si>
  <si>
    <t>240043731099</t>
  </si>
  <si>
    <t>FUNDACION</t>
  </si>
  <si>
    <t>Oficina 20 de diciembre, cliente recoge en esa oficina de interrapidisimo</t>
  </si>
  <si>
    <t>3235940609</t>
  </si>
  <si>
    <t>61924419</t>
  </si>
  <si>
    <t>Edwar Caro</t>
  </si>
  <si>
    <t>240043731182</t>
  </si>
  <si>
    <t>Manzana A Casa 17, AP 301, La casa queda frente al clud deportivo los gemelos</t>
  </si>
  <si>
    <t>3204242381</t>
  </si>
  <si>
    <t>61924023</t>
  </si>
  <si>
    <t>Sara Manuela López Rodas</t>
  </si>
  <si>
    <t>240043731232</t>
  </si>
  <si>
    <t>SALGAR</t>
  </si>
  <si>
    <t>Cliente recoge pedido en oficina de Interrapidisimo en Salgar cliente recoge en esa oficina</t>
  </si>
  <si>
    <t>3207607728</t>
  </si>
  <si>
    <t>61908931</t>
  </si>
  <si>
    <t>Omaira ul</t>
  </si>
  <si>
    <t>240043687715</t>
  </si>
  <si>
    <t>Santander De Quilichao cliente recoge en esa oficina de interrapidisimo</t>
  </si>
  <si>
    <t>3118293266</t>
  </si>
  <si>
    <t>61908786</t>
  </si>
  <si>
    <t>Sindy Yoana Rodríguez</t>
  </si>
  <si>
    <t>240043687762</t>
  </si>
  <si>
    <t>Santafe De Antioquia cliente recoge en esa oficina</t>
  </si>
  <si>
    <t>3234511557</t>
  </si>
  <si>
    <t>61908402</t>
  </si>
  <si>
    <t>clemencia asmaza</t>
  </si>
  <si>
    <t>240043725190</t>
  </si>
  <si>
    <t>calle 2 #56-97 barrio lomas de Granada</t>
  </si>
  <si>
    <t>3186426495</t>
  </si>
  <si>
    <t>numero adicional 3147068611</t>
  </si>
  <si>
    <t>61907749</t>
  </si>
  <si>
    <t>Carme Portillo</t>
  </si>
  <si>
    <t>240043733638</t>
  </si>
  <si>
    <t>calle 16 #31-44</t>
  </si>
  <si>
    <t>3125134117</t>
  </si>
  <si>
    <t>61907508</t>
  </si>
  <si>
    <t>Blanca Cadena</t>
  </si>
  <si>
    <t>240043733651</t>
  </si>
  <si>
    <t>calle 4 # 2-20 barrio la unión, Argelia cliente recoge en esa oficina</t>
  </si>
  <si>
    <t>3218294439</t>
  </si>
  <si>
    <t>61907300</t>
  </si>
  <si>
    <t>Sandra Girón</t>
  </si>
  <si>
    <t>240043733663</t>
  </si>
  <si>
    <t>Calle 1D #5-20 Este, Barrio: Santa Rosa de Lima</t>
  </si>
  <si>
    <t>3053098914</t>
  </si>
  <si>
    <t>61907106</t>
  </si>
  <si>
    <t>Herlinda no</t>
  </si>
  <si>
    <t>240043733672</t>
  </si>
  <si>
    <t>avenida 4 # 7-29 la victoria</t>
  </si>
  <si>
    <t>3219013833</t>
  </si>
  <si>
    <t>61891586</t>
  </si>
  <si>
    <t>Nohemi Ángel</t>
  </si>
  <si>
    <t>240043711311</t>
  </si>
  <si>
    <t>Cliente recoge pedido en oficina de Interrapidisimo en Pore cliente recoge en esa oficina</t>
  </si>
  <si>
    <t>3133682558</t>
  </si>
  <si>
    <t>61888399</t>
  </si>
  <si>
    <t>OLINDA CASTRO</t>
  </si>
  <si>
    <t>240043679466</t>
  </si>
  <si>
    <t>CALLE 4A # 1B 23</t>
  </si>
  <si>
    <t>3186959732</t>
  </si>
  <si>
    <t>Serum despigmentante SMOOTH LEGEND 60ml x2 + Serum despigmentante SMOOTH LEGEND 60ml x2 + Serum despigmentante SMOOTH LEGEND 60ml x2 + Serum despigmentante SMOOTH LEGEND 60ml x2 + Serum despigmentante SMOOTH LEGEND 60ml x2 + Serum despigmentante SMOOTH LEGEND 60ml x2 + Serum despigmentante SMOOTH LEGEND 60ml x2 + Serum despigmentante SMOOTH LEGEND 60ml x2 + Serum despigmentante SMOOTH LEGEND 60ml x2 + Serum despigmentante SMOOTH LEGEND 60ml x2</t>
  </si>
  <si>
    <t>61887338</t>
  </si>
  <si>
    <t>JULIETH ÁVILA</t>
  </si>
  <si>
    <t>240043678051</t>
  </si>
  <si>
    <t>Carrera 123 #132-61</t>
  </si>
  <si>
    <t>3224076012</t>
  </si>
  <si>
    <t>61887287</t>
  </si>
  <si>
    <t>Jenny Chaparro Ayala</t>
  </si>
  <si>
    <t>240043678057</t>
  </si>
  <si>
    <t>Carrera 21 este # 33 - 02 conjunto Santa Rita 1, torre 10, apto 338 Barrio San Mateo</t>
  </si>
  <si>
    <t>3028453894</t>
  </si>
  <si>
    <t>61886974</t>
  </si>
  <si>
    <t>Lina Marcela Polo Ricardo</t>
  </si>
  <si>
    <t>240043678061</t>
  </si>
  <si>
    <t>Calle 5B-#1B-30, Barrio el castillo</t>
  </si>
  <si>
    <t>3242269001</t>
  </si>
  <si>
    <t>61886802</t>
  </si>
  <si>
    <t>Mayerly Ramos Vargas</t>
  </si>
  <si>
    <t>240043678070</t>
  </si>
  <si>
    <t>BELALCAZAR (CA)</t>
  </si>
  <si>
    <t>Cliente recoge pedido en oficina de Interrapidisimo en Belalcazar (ca) cliente recoge en esa oficina</t>
  </si>
  <si>
    <t>3235836604</t>
  </si>
  <si>
    <t>61886439</t>
  </si>
  <si>
    <t>Yaneth pilamunga</t>
  </si>
  <si>
    <t>240043704647</t>
  </si>
  <si>
    <t>Calle 4 #7-18, Cartago, cliente recoge en esa oficina  de INTERRAPIDISIMO</t>
  </si>
  <si>
    <t>3147289316</t>
  </si>
  <si>
    <t>61886047</t>
  </si>
  <si>
    <t>Yenis Perez</t>
  </si>
  <si>
    <t>240043742863</t>
  </si>
  <si>
    <t>ACHI</t>
  </si>
  <si>
    <t>Cliente recoge pedido en oficina de Interrapidisimo en Achi cliente recoge en esa oficina</t>
  </si>
  <si>
    <t>3116589577</t>
  </si>
  <si>
    <t>61885847</t>
  </si>
  <si>
    <t>Eloisa montoya</t>
  </si>
  <si>
    <t>240043742857</t>
  </si>
  <si>
    <t>Calle 3a #20-70 Edificio pinamar Apat 502, Pinares</t>
  </si>
  <si>
    <t>3157664909</t>
  </si>
  <si>
    <t>61885730</t>
  </si>
  <si>
    <t>Luz Adriana Castañeda</t>
  </si>
  <si>
    <t>240043742884</t>
  </si>
  <si>
    <t>Cliente recoge pedido en oficina de Interrapidisimo en Montenegro cliente recoge en esa oficina</t>
  </si>
  <si>
    <t>3184412327</t>
  </si>
  <si>
    <t>61885571</t>
  </si>
  <si>
    <t>Laura Daniela Martinez Neira</t>
  </si>
  <si>
    <t>240043742911</t>
  </si>
  <si>
    <t>avenida norte #37-56, segundo piso de leños burguer, barrio mesopotamia</t>
  </si>
  <si>
    <t>3219421290</t>
  </si>
  <si>
    <t>61884886</t>
  </si>
  <si>
    <t>Angelica arteaga</t>
  </si>
  <si>
    <t>240043728022</t>
  </si>
  <si>
    <t>CERETE</t>
  </si>
  <si>
    <t>Cliente recoge pedido en oficina de Interrapidisimo en Cerete cliente recoge en esa oficina</t>
  </si>
  <si>
    <t>3122371758</t>
  </si>
  <si>
    <t>61884576</t>
  </si>
  <si>
    <t>Angie Rodriguez</t>
  </si>
  <si>
    <t>014155425941</t>
  </si>
  <si>
    <t>Calle 35 #34-109 urbanización ana belen</t>
  </si>
  <si>
    <t>3135839343</t>
  </si>
  <si>
    <t>61884440</t>
  </si>
  <si>
    <t>Cristina bravo gonzales</t>
  </si>
  <si>
    <t>240043728178</t>
  </si>
  <si>
    <t>Cliente recoge pedido en oficina de Interrapidisimo en San Bernardo Del Viento cliente recoge en esa oficina</t>
  </si>
  <si>
    <t>3234593858</t>
  </si>
  <si>
    <t>61884335</t>
  </si>
  <si>
    <t>Omarlis Cogollo</t>
  </si>
  <si>
    <t>240043728223</t>
  </si>
  <si>
    <t>3113614112</t>
  </si>
  <si>
    <t>61883987</t>
  </si>
  <si>
    <t>Adriana julieth espinosa</t>
  </si>
  <si>
    <t>240043728363</t>
  </si>
  <si>
    <t>Carrera 19D #13 - 65, Conjunto residencial Alegre 7, Soacha</t>
  </si>
  <si>
    <t>3217801637</t>
  </si>
  <si>
    <t>61881660</t>
  </si>
  <si>
    <t>Nailett Hernandez</t>
  </si>
  <si>
    <t>014155392782</t>
  </si>
  <si>
    <t>calle 21 #62a-04, Barrio la central</t>
  </si>
  <si>
    <t>3173048533</t>
  </si>
  <si>
    <t>61881351</t>
  </si>
  <si>
    <t>Haiver Medina</t>
  </si>
  <si>
    <t>240043664718</t>
  </si>
  <si>
    <t>Calle 35 # 44-20, Primer piso, Barrio Villa Lucía</t>
  </si>
  <si>
    <t>3115948853</t>
  </si>
  <si>
    <t>61880957</t>
  </si>
  <si>
    <t>Juan Pablo Lopez Gallego</t>
  </si>
  <si>
    <t>094021032963</t>
  </si>
  <si>
    <t>SABANETA</t>
  </si>
  <si>
    <t>Calle 74 Sur #46b-25</t>
  </si>
  <si>
    <t>3207750499</t>
  </si>
  <si>
    <t>Lemme Burn / Adelgazante x1 + Lemme Burn / Adelgazante x1 + Lemme Burn / Adelgazante x1 + Lemme Burn / Adelgazante x1 + Lemme Burn / Adelgazante x1 + Lemme Burn / Adelgazante x1 + Lemme Burn / Adelgazante x1 + Lemme Burn / Adelgazante x1 + Lemme Burn / Adelgazante x1 + Lemme Burn / Adelgazante x1</t>
  </si>
  <si>
    <t>GENERADA EN PASTO</t>
  </si>
  <si>
    <t>61880875</t>
  </si>
  <si>
    <t>Paula andrea buitrago</t>
  </si>
  <si>
    <t>240043664797</t>
  </si>
  <si>
    <t>Calle 66A #8A-08 la sultana</t>
  </si>
  <si>
    <t>3225419508</t>
  </si>
  <si>
    <t>61880709</t>
  </si>
  <si>
    <t>Adriana Naranjo</t>
  </si>
  <si>
    <t>V4002093437</t>
  </si>
  <si>
    <t>Calle 14 # 40 -32, el guabal</t>
  </si>
  <si>
    <t>3164193973</t>
  </si>
  <si>
    <t>61880458</t>
  </si>
  <si>
    <t>Yulimar Florez</t>
  </si>
  <si>
    <t>240043664851</t>
  </si>
  <si>
    <t>Carrera 21 B sur #6B-03 San Carlos</t>
  </si>
  <si>
    <t>3133743945</t>
  </si>
  <si>
    <t>numero adicional 3144179685</t>
  </si>
  <si>
    <t>61878366</t>
  </si>
  <si>
    <t>Sandra Patricia Osorio Celada</t>
  </si>
  <si>
    <t>240043678101</t>
  </si>
  <si>
    <t>Calle 56A #18C-12, Barrio villa Carolina. Neiva</t>
  </si>
  <si>
    <t>3168323957</t>
  </si>
  <si>
    <t>61829580</t>
  </si>
  <si>
    <t>Angélica milena garcia ospina</t>
  </si>
  <si>
    <t>014155385382</t>
  </si>
  <si>
    <t>MANZANA 4 CASA 11, la orquídea</t>
  </si>
  <si>
    <t>3106647372</t>
  </si>
  <si>
    <t>61829241</t>
  </si>
  <si>
    <t>Cindy López</t>
  </si>
  <si>
    <t>240043631369</t>
  </si>
  <si>
    <t>SAN LUIS</t>
  </si>
  <si>
    <t>Cliente recoge pedido en oficina de Interrapidisimo en San Luis cliente recoge en esa oficina</t>
  </si>
  <si>
    <t>3507464494</t>
  </si>
  <si>
    <t>Lemme Burn x1 + Lemme Burn x1 + Lemme Burn x1 + Lemme Burn x1 + Lemme Burn x1 + Lemme Burn x1 + Lemme Burn x1 + Lemme Burn x1 + Lemme Burn x1 + Lemme Burn x1</t>
  </si>
  <si>
    <t>61828879</t>
  </si>
  <si>
    <t>Martha González</t>
  </si>
  <si>
    <t>240043631467</t>
  </si>
  <si>
    <t>MANZANA 18, CASA 24 de villa del campo</t>
  </si>
  <si>
    <t>3106804672</t>
  </si>
  <si>
    <t>Varicose veins crema para varices x3 + Varicose veins crema para varices x3 + Varicose veins crema para varices x3 + Varicose veins crema para varices x3 + Varicose veins crema para varices x3 + Varicose veins crema para varices x3 + Varicose veins crema para varices x3 + Varicose veins crema para varices x3 + Varicose veins crema para varices x3 + Varicose veins crema para varices x3</t>
  </si>
  <si>
    <t>61828552</t>
  </si>
  <si>
    <t>Nubia Villalobos</t>
  </si>
  <si>
    <t>240043631634</t>
  </si>
  <si>
    <t>MANZANA 87 casa 21, La Reliquia</t>
  </si>
  <si>
    <t>3213065426</t>
  </si>
  <si>
    <t>61828225</t>
  </si>
  <si>
    <t>Alba Maria Sanchez</t>
  </si>
  <si>
    <t>V4002090782</t>
  </si>
  <si>
    <t>Carrera 75 oeste #2c-19 los chorros</t>
  </si>
  <si>
    <t>3183122213</t>
  </si>
  <si>
    <t>61827681</t>
  </si>
  <si>
    <t>Viviana sanchez</t>
  </si>
  <si>
    <t>054014199907</t>
  </si>
  <si>
    <t>CARRERA 2 #44-66 barrio manzanares</t>
  </si>
  <si>
    <t>3184881694</t>
  </si>
  <si>
    <t>61827329</t>
  </si>
  <si>
    <t>Gladys cabrera</t>
  </si>
  <si>
    <t>240043650707</t>
  </si>
  <si>
    <t>CARRERA 62 # 74-169, Bellavista</t>
  </si>
  <si>
    <t>3114171616</t>
  </si>
  <si>
    <t>61827124</t>
  </si>
  <si>
    <t>LIRIS CAUSIL</t>
  </si>
  <si>
    <t>240043650751</t>
  </si>
  <si>
    <t>3044376327</t>
  </si>
  <si>
    <t>61826976</t>
  </si>
  <si>
    <t>Alejandra Betancur</t>
  </si>
  <si>
    <t>240043647333</t>
  </si>
  <si>
    <t>Carrera 10 occ #36-11, Barrio La Joya, LLAMAR ANTES</t>
  </si>
  <si>
    <t>3142770387</t>
  </si>
  <si>
    <t>NUMERO ADICIONAL 3142770387</t>
  </si>
  <si>
    <t>61826787</t>
  </si>
  <si>
    <t>Dayana Quiñones</t>
  </si>
  <si>
    <t>240043647350</t>
  </si>
  <si>
    <t>Oficina principal, Tumaco avenida los estudiantes interrapidisimo</t>
  </si>
  <si>
    <t>3018549708</t>
  </si>
  <si>
    <t>61812301</t>
  </si>
  <si>
    <t>Senith barba tafur</t>
  </si>
  <si>
    <t>240043678244</t>
  </si>
  <si>
    <t>ARENAL</t>
  </si>
  <si>
    <t>Cliente recoge pedido en oficina principal de Interrapidisimo en Arenal cliente recoge en esa oficina</t>
  </si>
  <si>
    <t>3143038385</t>
  </si>
  <si>
    <t>61810861</t>
  </si>
  <si>
    <t>Carmen Cecilia mambucay</t>
  </si>
  <si>
    <t>240043678266</t>
  </si>
  <si>
    <t>CALLE 2n # 40 b-38, Barrio cinco de abril</t>
  </si>
  <si>
    <t>3233078590</t>
  </si>
  <si>
    <t>61810624</t>
  </si>
  <si>
    <t>Ana de victoria</t>
  </si>
  <si>
    <t>240043628755</t>
  </si>
  <si>
    <t>GINEBRA</t>
  </si>
  <si>
    <t>calle7 #2-29, Ginebra cliente recoge en esa oficina de interrapidisimo</t>
  </si>
  <si>
    <t>3164066028</t>
  </si>
  <si>
    <t>61810420</t>
  </si>
  <si>
    <t>Ana Benítez</t>
  </si>
  <si>
    <t>014155390928</t>
  </si>
  <si>
    <t>OFICINA envía, San Jerónimo, Vía planeta rica</t>
  </si>
  <si>
    <t>3022816909</t>
  </si>
  <si>
    <t>PEDIDO PARA RECOGER EN OFICINA DE ENVIA</t>
  </si>
  <si>
    <t>61809512</t>
  </si>
  <si>
    <t>Felipe Galeano</t>
  </si>
  <si>
    <t>240043628927</t>
  </si>
  <si>
    <t>Calle 14 # 6 a-11 barrio el molino casa 3 pisos</t>
  </si>
  <si>
    <t>3227452108</t>
  </si>
  <si>
    <t>61809417</t>
  </si>
  <si>
    <t>Ana Pirazan</t>
  </si>
  <si>
    <t>240043628938</t>
  </si>
  <si>
    <t>Calle 13#12-109 Fontibón recodo</t>
  </si>
  <si>
    <t>3112287409</t>
  </si>
  <si>
    <t>61809222</t>
  </si>
  <si>
    <t>Satulia cabeza</t>
  </si>
  <si>
    <t>V4002090644</t>
  </si>
  <si>
    <t>Calle 34 #68B-81, Conjunto bosques ciudad 2000</t>
  </si>
  <si>
    <t>3207295679</t>
  </si>
  <si>
    <t>61809054</t>
  </si>
  <si>
    <t>Andrea Baldovino Jiménez</t>
  </si>
  <si>
    <t>240043661063</t>
  </si>
  <si>
    <t>3205924075</t>
  </si>
  <si>
    <t>61808818</t>
  </si>
  <si>
    <t>Yulieth Yance</t>
  </si>
  <si>
    <t>014155391114</t>
  </si>
  <si>
    <t>Calle 3 #10 9a-58 pescaito</t>
  </si>
  <si>
    <t>3235967046</t>
  </si>
  <si>
    <t>61808621</t>
  </si>
  <si>
    <t>Adriana de la hoz</t>
  </si>
  <si>
    <t>240043661157</t>
  </si>
  <si>
    <t>Cliente recoge pedido en oficina de Interrapidisimo en Turbo cliente recoge en esa oficina</t>
  </si>
  <si>
    <t>3116739503</t>
  </si>
  <si>
    <t>61808557</t>
  </si>
  <si>
    <t>Merys Garcia</t>
  </si>
  <si>
    <t>240043661199</t>
  </si>
  <si>
    <t>Calle 98c #3c-13 barrios las gardenias Conjunto 3 torre 2 apartamento 201</t>
  </si>
  <si>
    <t>3014542814</t>
  </si>
  <si>
    <t>61808410</t>
  </si>
  <si>
    <t>Sonia Marín</t>
  </si>
  <si>
    <t>014155391181</t>
  </si>
  <si>
    <t>CARRERA 53A # 19 -40, DPL Alto de Simón bolivar</t>
  </si>
  <si>
    <t>3107139663</t>
  </si>
  <si>
    <t>61808234</t>
  </si>
  <si>
    <t>Janeth Ramires</t>
  </si>
  <si>
    <t>240043661242</t>
  </si>
  <si>
    <t>MANZANA 21, CASA 4, tokio</t>
  </si>
  <si>
    <t>3205381934</t>
  </si>
  <si>
    <t>61808036</t>
  </si>
  <si>
    <t>Ingrid Viviana Andrade Satizabal</t>
  </si>
  <si>
    <t>V4002093214</t>
  </si>
  <si>
    <t>CARRERA 7 C BIS # 70-16, Alfonso López primera etapa</t>
  </si>
  <si>
    <t>3234317949</t>
  </si>
  <si>
    <t>61807859</t>
  </si>
  <si>
    <t>Edith María Pérez</t>
  </si>
  <si>
    <t>240043678275</t>
  </si>
  <si>
    <t>Avenida 5 #6-58, Barrio Aeropuerto</t>
  </si>
  <si>
    <t>3507076532</t>
  </si>
  <si>
    <t>61806560</t>
  </si>
  <si>
    <t>Teresa Maya López</t>
  </si>
  <si>
    <t>240043678288</t>
  </si>
  <si>
    <t>CALLE 17 # 15-68, PASTO cliente recoge en esa oficina de interrapidisimo</t>
  </si>
  <si>
    <t>3113250870</t>
  </si>
  <si>
    <t>61806328</t>
  </si>
  <si>
    <t>María Gutiérrez Gamero</t>
  </si>
  <si>
    <t>240043678297</t>
  </si>
  <si>
    <t>Calle 65#13-15 conjuntos las acacias villa estadio casa#D6</t>
  </si>
  <si>
    <t>3128590590</t>
  </si>
  <si>
    <t>NUMERO ADICIONAL 3249398231</t>
  </si>
  <si>
    <t>61806240</t>
  </si>
  <si>
    <t>Diana Jara</t>
  </si>
  <si>
    <t>240043678309</t>
  </si>
  <si>
    <t>Cliente recoge pedido en oficina de Interrapidisimo en Yumbo cliente recoge en esa oficina</t>
  </si>
  <si>
    <t>3175952240</t>
  </si>
  <si>
    <t>61806150</t>
  </si>
  <si>
    <t>Olga Patricia Ramos Ruiz</t>
  </si>
  <si>
    <t>054014199912</t>
  </si>
  <si>
    <t>manzana j lote 18, Barrio el Pozón sector los angeles</t>
  </si>
  <si>
    <t>3045766996</t>
  </si>
  <si>
    <t>61805787</t>
  </si>
  <si>
    <t>Yenny Carolina Mejía García</t>
  </si>
  <si>
    <t>240043678327</t>
  </si>
  <si>
    <t>PAZ DE RIO</t>
  </si>
  <si>
    <t>Cliente recoge pedido en oficina de Interrapidisimo en Paz De Rio cliente recoge en esa oficina</t>
  </si>
  <si>
    <t>3117779204</t>
  </si>
  <si>
    <t>61805596</t>
  </si>
  <si>
    <t>Norma Torres</t>
  </si>
  <si>
    <t>240043638672</t>
  </si>
  <si>
    <t>diagon 81 a #45 b-38 sur bario gerusalen potosi</t>
  </si>
  <si>
    <t>3132340937</t>
  </si>
  <si>
    <t>61805463</t>
  </si>
  <si>
    <t>Maryory Garcia</t>
  </si>
  <si>
    <t>V4002091207</t>
  </si>
  <si>
    <t>AVENIDA 42 # 53-74,  apartamentos de niquia, Manzana 5</t>
  </si>
  <si>
    <t>3053289260</t>
  </si>
  <si>
    <t>61805072</t>
  </si>
  <si>
    <t>Fernando Ortiz</t>
  </si>
  <si>
    <t>240043665506</t>
  </si>
  <si>
    <t>calle 95 #21-39, edificio la palmita portería barrio chico norte Bogotá</t>
  </si>
  <si>
    <t>3102084854</t>
  </si>
  <si>
    <t>61804891</t>
  </si>
  <si>
    <t>Orlando NO</t>
  </si>
  <si>
    <t>240043638820</t>
  </si>
  <si>
    <t>Cliente recoge pedido en oficina de Interrapidisimo en El Colegio (mesitas) cliente recoge en esa oficina</t>
  </si>
  <si>
    <t>3203121554</t>
  </si>
  <si>
    <t>61804628</t>
  </si>
  <si>
    <t>Cesar gomez</t>
  </si>
  <si>
    <t>240043631915</t>
  </si>
  <si>
    <t>Cliente recoge pedido en oficina de Interrapidisimo en Acacias cliente recoge en esa oficina</t>
  </si>
  <si>
    <t>3147280411</t>
  </si>
  <si>
    <t>61804163</t>
  </si>
  <si>
    <t>Liliam Yepes</t>
  </si>
  <si>
    <t>014155375720</t>
  </si>
  <si>
    <t>Avenida 46 #68-39, Por la frontera dos cuadras antes de la parroquia el Divino Salvador.</t>
  </si>
  <si>
    <t>3016580001</t>
  </si>
  <si>
    <t>61803912</t>
  </si>
  <si>
    <t>Cristina Torres</t>
  </si>
  <si>
    <t>240043632092</t>
  </si>
  <si>
    <t>3196167895</t>
  </si>
  <si>
    <t>61803442</t>
  </si>
  <si>
    <t>Marles Duran</t>
  </si>
  <si>
    <t>240043632230</t>
  </si>
  <si>
    <t>calle 96A #6 Sur-39, barrio 20 de Julio.</t>
  </si>
  <si>
    <t>3045208259</t>
  </si>
  <si>
    <t>61802997</t>
  </si>
  <si>
    <t>Sandra Diaz</t>
  </si>
  <si>
    <t>240043630855</t>
  </si>
  <si>
    <t>Calle 4c #14-16, hogares de Soacha conjunto fortuna 1, torre 27</t>
  </si>
  <si>
    <t>3213453352</t>
  </si>
  <si>
    <t>61802833</t>
  </si>
  <si>
    <t>María Concepción Cardozo Aroca</t>
  </si>
  <si>
    <t>240043630881</t>
  </si>
  <si>
    <t>EL MOLINO</t>
  </si>
  <si>
    <t>Urbanización Maria Fernanda, CARRERA 1 #19-20 piso 2</t>
  </si>
  <si>
    <t>3242407512</t>
  </si>
  <si>
    <t>61802776</t>
  </si>
  <si>
    <t>Mindris Barboza pereira</t>
  </si>
  <si>
    <t>240043630902</t>
  </si>
  <si>
    <t>TUBARA</t>
  </si>
  <si>
    <t>Cliente recoge pedido en oficina de Interrapidisimo en Tubara cliente recoge en esa oficina</t>
  </si>
  <si>
    <t>3225293986</t>
  </si>
  <si>
    <t>61802602</t>
  </si>
  <si>
    <t>Eydit bandes</t>
  </si>
  <si>
    <t>240043630929</t>
  </si>
  <si>
    <t>carrera 7 # 17-17 barrio balmoral, fusagasuga</t>
  </si>
  <si>
    <t>3151635266</t>
  </si>
  <si>
    <t>NUMERO WHATSAPP 584243081828</t>
  </si>
  <si>
    <t>61802122</t>
  </si>
  <si>
    <t>Claudia Benítez</t>
  </si>
  <si>
    <t>240043631012</t>
  </si>
  <si>
    <t>Carrera 6D este #30-63, SAN MATEO</t>
  </si>
  <si>
    <t>3173766549</t>
  </si>
  <si>
    <t>61802038</t>
  </si>
  <si>
    <t>Bien Bidiana Amparo BouHotmuñoz</t>
  </si>
  <si>
    <t>240043631022</t>
  </si>
  <si>
    <t>CERRO SAN ANTONIO</t>
  </si>
  <si>
    <t>Cliente recoge pedido en oficina de Interrapidisimo en Cerro San Antonio cliente recoge en esa oficina</t>
  </si>
  <si>
    <t>3243787112</t>
  </si>
  <si>
    <t>61800850</t>
  </si>
  <si>
    <t>Paola Lara Fonseca</t>
  </si>
  <si>
    <t>Cliente recoge pedido en oficina de Interrapidisimo en Fundacion cliente recoge en esa oficina</t>
  </si>
  <si>
    <t>3205063221</t>
  </si>
  <si>
    <t>NUMERO ADICIONAL 3117351870</t>
  </si>
  <si>
    <t>61798804</t>
  </si>
  <si>
    <t>Ruth Juvinao</t>
  </si>
  <si>
    <t>MARIANGOLA</t>
  </si>
  <si>
    <t>CALLE 6 #11 -70, CONCEPCIÓN</t>
  </si>
  <si>
    <t>3218766103</t>
  </si>
  <si>
    <t>61789287</t>
  </si>
  <si>
    <t>Marilyn balle</t>
  </si>
  <si>
    <t>240043608930</t>
  </si>
  <si>
    <t>Cliente recoge pedido en oficina de Interrapidisimo en Facatativa cliente recoge en esa oficina</t>
  </si>
  <si>
    <t>3023689318</t>
  </si>
  <si>
    <t>61789041</t>
  </si>
  <si>
    <t>Alexander Patiño</t>
  </si>
  <si>
    <t>014155364408</t>
  </si>
  <si>
    <t>Calle 54 #8 A-14, Caicedo</t>
  </si>
  <si>
    <t>3046023574</t>
  </si>
  <si>
    <t>61788795</t>
  </si>
  <si>
    <t>gloria ines Martínez quintero</t>
  </si>
  <si>
    <t>014155364435</t>
  </si>
  <si>
    <t>carrera 43 # 41-17 barrio frailus amigó</t>
  </si>
  <si>
    <t>3167978027</t>
  </si>
  <si>
    <t>61788521</t>
  </si>
  <si>
    <t>María montes</t>
  </si>
  <si>
    <t>240043608979</t>
  </si>
  <si>
    <t>3242038699</t>
  </si>
  <si>
    <t>61788173</t>
  </si>
  <si>
    <t>Luisa fernanda leal</t>
  </si>
  <si>
    <t>240043609009</t>
  </si>
  <si>
    <t>Cliente recoge pedido en oficina de Interrapidisimo en Tauramena cliente recoge en esa oficina</t>
  </si>
  <si>
    <t>3144694291</t>
  </si>
  <si>
    <t>61787939</t>
  </si>
  <si>
    <t>Yorselis Acevedo Palacio</t>
  </si>
  <si>
    <t>014155364492</t>
  </si>
  <si>
    <t>CALLE 31, Cementerio Jardines de Cartagena, Local 5, barrio Socora</t>
  </si>
  <si>
    <t>3012599376</t>
  </si>
  <si>
    <t>61787066</t>
  </si>
  <si>
    <t>Jhabeydy Jiménez</t>
  </si>
  <si>
    <t>240043609100</t>
  </si>
  <si>
    <t>Transversal 9 # 35-53, barrio rosa blanca</t>
  </si>
  <si>
    <t>3147017776</t>
  </si>
  <si>
    <t>61786578</t>
  </si>
  <si>
    <t>Angela Maria Durango Parra</t>
  </si>
  <si>
    <t>014155364542</t>
  </si>
  <si>
    <t>Calle 93 #40-74 Manrique la Salle segundo piso</t>
  </si>
  <si>
    <t>3218221897</t>
  </si>
  <si>
    <t>61718050</t>
  </si>
  <si>
    <t>Estela Salcedo bustos</t>
  </si>
  <si>
    <t>240043561952</t>
  </si>
  <si>
    <t>Calle 7 # 4-65 barrio centro asehogar</t>
  </si>
  <si>
    <t>3206668037</t>
  </si>
  <si>
    <t>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 + Truly Glazed Donut MINI 60ml x1 + Serum despigmentante SMOOTH LEGEND 60ml x1</t>
  </si>
  <si>
    <t>61717306</t>
  </si>
  <si>
    <t>Idaly NO</t>
  </si>
  <si>
    <t>054014197210</t>
  </si>
  <si>
    <t>CARRERA 27A # 52-16 nueva foresta</t>
  </si>
  <si>
    <t>3054019694</t>
  </si>
  <si>
    <t>GENERADA EN PEREIRA</t>
  </si>
  <si>
    <t>61717022</t>
  </si>
  <si>
    <t>Francia Barreiro</t>
  </si>
  <si>
    <t>240043593750</t>
  </si>
  <si>
    <t>3103017558</t>
  </si>
  <si>
    <t>61716971</t>
  </si>
  <si>
    <t>Martha Pillimue</t>
  </si>
  <si>
    <t>240043593773</t>
  </si>
  <si>
    <t>SILVIA</t>
  </si>
  <si>
    <t>Cliente recoge pedido en oficina de Interrapidisimo en Silvia cliente recoge en esa oficina</t>
  </si>
  <si>
    <t>61716485</t>
  </si>
  <si>
    <t>Miriam Angulo Martinez</t>
  </si>
  <si>
    <t>240043593824</t>
  </si>
  <si>
    <t>CARRERA 18 #5-8,  Barrio la fe, al lado de ricuras la fé</t>
  </si>
  <si>
    <t>3043411500</t>
  </si>
  <si>
    <t>61716441</t>
  </si>
  <si>
    <t>José Peña</t>
  </si>
  <si>
    <t>240043593863</t>
  </si>
  <si>
    <t>Villarabia 2# calle 8 sur</t>
  </si>
  <si>
    <t>3117670300</t>
  </si>
  <si>
    <t>NUMERO ADICIONAL 3148569551</t>
  </si>
  <si>
    <t>61715989</t>
  </si>
  <si>
    <t>Ofelia Ospina</t>
  </si>
  <si>
    <t>240043555828</t>
  </si>
  <si>
    <t>Calle 1 #37-96 Anillo Vial local montallantas</t>
  </si>
  <si>
    <t>3154078404</t>
  </si>
  <si>
    <t>61715914</t>
  </si>
  <si>
    <t>Gloria María Díaz manyoma</t>
  </si>
  <si>
    <t>240043555883</t>
  </si>
  <si>
    <t>3122504723</t>
  </si>
  <si>
    <t>61715759</t>
  </si>
  <si>
    <t>Elsi Blandon</t>
  </si>
  <si>
    <t>240043555905</t>
  </si>
  <si>
    <t>Carrera 12 # 47k -04</t>
  </si>
  <si>
    <t>3113108541</t>
  </si>
  <si>
    <t>NUMERO ADICIONAL 3128653130</t>
  </si>
  <si>
    <t>61689337</t>
  </si>
  <si>
    <t>Aldair Diaz Diaz</t>
  </si>
  <si>
    <t>014155336982</t>
  </si>
  <si>
    <t>Calle 23d #95b-55 conjunto parque de la matinata</t>
  </si>
  <si>
    <t>3117247421</t>
  </si>
  <si>
    <t>61688909</t>
  </si>
  <si>
    <t>Inelsa Ahumedo Buitrago</t>
  </si>
  <si>
    <t>240043577203</t>
  </si>
  <si>
    <t>Oficina barrio la victoria, carrera 68 #13-60 calle el tanque la victoria por el carmela por el super precio facil subiendo 2da cuadra</t>
  </si>
  <si>
    <t>3207660208</t>
  </si>
  <si>
    <t>61687973</t>
  </si>
  <si>
    <t>Yency paola acosta</t>
  </si>
  <si>
    <t>240043563715</t>
  </si>
  <si>
    <t>22/01 YA CLIENTE CUELGA CUANDO ME ESCUCHA</t>
  </si>
  <si>
    <t>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 + Serum despigmentante UNICORN FRUIT 60ml x1 + Serum despigmentante SMOOTH LEGEND 60ml x1</t>
  </si>
  <si>
    <t>61687687</t>
  </si>
  <si>
    <t>Elena franco</t>
  </si>
  <si>
    <t>014155337024</t>
  </si>
  <si>
    <t>SAN ANTONIO DE PRADO</t>
  </si>
  <si>
    <t>carrera 60 D # 38 SUR- 02, interior 125, Vereda La Verde</t>
  </si>
  <si>
    <t>3215146808</t>
  </si>
  <si>
    <t>61687194</t>
  </si>
  <si>
    <t>Gloria Henao</t>
  </si>
  <si>
    <t>054014197216</t>
  </si>
  <si>
    <t>Carrera 83 ac #92 a-25, interior 201, Robledo miramar</t>
  </si>
  <si>
    <t>3135272025</t>
  </si>
  <si>
    <t>61686277</t>
  </si>
  <si>
    <t>TEMILDA Hernández</t>
  </si>
  <si>
    <t>240043577230</t>
  </si>
  <si>
    <t>calle 32 #27 b-218 edificio Terra Nova Venecia nueva</t>
  </si>
  <si>
    <t>3137664318</t>
  </si>
  <si>
    <t>61685724</t>
  </si>
  <si>
    <t>Monica vega</t>
  </si>
  <si>
    <t>240043577245</t>
  </si>
  <si>
    <t>3209901274</t>
  </si>
  <si>
    <t>61685619</t>
  </si>
  <si>
    <t>240043577260</t>
  </si>
  <si>
    <t>Calle 54 # 22-28, Coasmedas 4, dejar en portería, Barrio nuevo Sotomayor</t>
  </si>
  <si>
    <t>61685337</t>
  </si>
  <si>
    <t>Nini Yohana Galindo</t>
  </si>
  <si>
    <t>240043577277</t>
  </si>
  <si>
    <t>SAN PELAYO</t>
  </si>
  <si>
    <t>En la licorera frente al parque principal San Pelayo</t>
  </si>
  <si>
    <t>3147860838</t>
  </si>
  <si>
    <t>61684721</t>
  </si>
  <si>
    <t>Hoover Aguirre</t>
  </si>
  <si>
    <t>240043587480</t>
  </si>
  <si>
    <t>CARRERA 23d #13-21, Junin, Cali,  cliente recoge en esa oficina de interrapidisimo</t>
  </si>
  <si>
    <t>3184785914</t>
  </si>
  <si>
    <t>61683735</t>
  </si>
  <si>
    <t>Rosiris no</t>
  </si>
  <si>
    <t>240043549989</t>
  </si>
  <si>
    <t>Calle 137 b # 100 a-29, suba trinitaria</t>
  </si>
  <si>
    <t>3008126031</t>
  </si>
  <si>
    <t>61683459</t>
  </si>
  <si>
    <t>Floralba sosa</t>
  </si>
  <si>
    <t>240043550053</t>
  </si>
  <si>
    <t>LA JULIA</t>
  </si>
  <si>
    <t>Cliente recoge pedido en oficina de Interrapidisimo en La Julia cliente recoge en esa oficina</t>
  </si>
  <si>
    <t>3125206068</t>
  </si>
  <si>
    <t>61682945</t>
  </si>
  <si>
    <t>Jorge bermudez</t>
  </si>
  <si>
    <t>240043550137</t>
  </si>
  <si>
    <t>MANI</t>
  </si>
  <si>
    <t>calle 17 #10-29, barrio el laguito, 2do piso</t>
  </si>
  <si>
    <t>3016880516</t>
  </si>
  <si>
    <t>61682123</t>
  </si>
  <si>
    <t>Yolanda Martínez</t>
  </si>
  <si>
    <t>240043550228</t>
  </si>
  <si>
    <t>CARRERA 2 # 15-90, conjunto residencial Barichara</t>
  </si>
  <si>
    <t>3144645821</t>
  </si>
  <si>
    <t>61681648</t>
  </si>
  <si>
    <t>Maria zoraida Borda Daza</t>
  </si>
  <si>
    <t>240043550355</t>
  </si>
  <si>
    <t>CUCAITA</t>
  </si>
  <si>
    <t>Cliente recoge pedido en oficina de Interrapidisimo en Cucaita cliente recoge en esa oficina</t>
  </si>
  <si>
    <t>3213186902</t>
  </si>
  <si>
    <t>61680977</t>
  </si>
  <si>
    <t>Yina Payares</t>
  </si>
  <si>
    <t>240043605205</t>
  </si>
  <si>
    <t>LLORENTE</t>
  </si>
  <si>
    <t>Cliente recoge pedido en oficina de Interrapidisimo en Llorente cliente recoge en esa oficina</t>
  </si>
  <si>
    <t>3106175214</t>
  </si>
  <si>
    <t>61680800</t>
  </si>
  <si>
    <t>Lina Sánchez</t>
  </si>
  <si>
    <t>V4002088955</t>
  </si>
  <si>
    <t>Carrera 125 #10-61 Casa media luna, Diagonal al colombo británico Barrio. pance.</t>
  </si>
  <si>
    <t>3123937364</t>
  </si>
  <si>
    <t>61678881</t>
  </si>
  <si>
    <t>Kerlly cordero</t>
  </si>
  <si>
    <t>240043604923</t>
  </si>
  <si>
    <t>calle 44 #13-21, buenos aires</t>
  </si>
  <si>
    <t>3216515502</t>
  </si>
  <si>
    <t>61678611</t>
  </si>
  <si>
    <t>Diana Meriño</t>
  </si>
  <si>
    <t>014155362499</t>
  </si>
  <si>
    <t>Carrera 25 #18c-95 apartamento 2 la floresta</t>
  </si>
  <si>
    <t>3012591264</t>
  </si>
  <si>
    <t>61678444</t>
  </si>
  <si>
    <t>rubielos NO</t>
  </si>
  <si>
    <t>240043604961</t>
  </si>
  <si>
    <t>calle 15 # 10-50 bloque 3 local 13 chamalu, Funza, cliente recoge en esa oficina de interrapidisimo</t>
  </si>
  <si>
    <t>3234721396</t>
  </si>
  <si>
    <t>61677831</t>
  </si>
  <si>
    <t>Carmen Rosa Naranjo</t>
  </si>
  <si>
    <t>240043604997</t>
  </si>
  <si>
    <t>PUERTO SALGAR</t>
  </si>
  <si>
    <t>Diagonal 16 # 5-104 Barrio tres esquinas</t>
  </si>
  <si>
    <t>3116228330</t>
  </si>
  <si>
    <t>61677617</t>
  </si>
  <si>
    <t>Andreina Marín</t>
  </si>
  <si>
    <t>240043605044</t>
  </si>
  <si>
    <t>SAMACA</t>
  </si>
  <si>
    <t>Cliente recoge pedido en oficina de Interrapidisimo en Samaca cliente recoge en esa oficina</t>
  </si>
  <si>
    <t>3007760031</t>
  </si>
  <si>
    <t>61677468</t>
  </si>
  <si>
    <t>Sulimar Malave</t>
  </si>
  <si>
    <t>240043605053</t>
  </si>
  <si>
    <t>EL BORDO</t>
  </si>
  <si>
    <t>Cliente recoge pedido en oficina de Interrapidisimo en El Bordo cliente recoge en esa oficina</t>
  </si>
  <si>
    <t>3235046657</t>
  </si>
  <si>
    <t>61677206</t>
  </si>
  <si>
    <t>Cinthia Barahona</t>
  </si>
  <si>
    <t>014155362571</t>
  </si>
  <si>
    <t>Calle Valencia carrera 9 #2-19, Barrio Pueblo Nuevo</t>
  </si>
  <si>
    <t>3207070183</t>
  </si>
  <si>
    <t>61676732</t>
  </si>
  <si>
    <t>Esmeralda pulido</t>
  </si>
  <si>
    <t>240043605107</t>
  </si>
  <si>
    <t>SANTANA</t>
  </si>
  <si>
    <t>Cliente recoge pedido en oficina de Interrapidisimo en Santana cliente recoge en esa oficina</t>
  </si>
  <si>
    <t>3152278415</t>
  </si>
  <si>
    <t>61676080</t>
  </si>
  <si>
    <t>Elizabeth león Vélez</t>
  </si>
  <si>
    <t>240043605157</t>
  </si>
  <si>
    <t>Cliente recoge pedido en oficina de Interrapidisimo en Ponedera cliente recoge en esa oficina</t>
  </si>
  <si>
    <t>3114235805</t>
  </si>
  <si>
    <t>61635684</t>
  </si>
  <si>
    <t>Yiseimy María Baldiris López</t>
  </si>
  <si>
    <t>024032150381</t>
  </si>
  <si>
    <t>Calle 73 # 15 A 22, Barrio 7 de Agosto</t>
  </si>
  <si>
    <t>3044848129</t>
  </si>
  <si>
    <t>Serum despigmentante SMOOTH LEGEND 60ml x1 + Serum despigmentante SMOOTH LEGEND 60ml x1 + Serum despigmentante SMOOTH LEGEND 60ml x1 + Serum despigmentante SMOOTH LEGEND 60ml x1 + Serum despigmentante SMOOTH LEGEND 60ml x1 + Serum despigmentante SMOOTH LEGEND 60ml x1 + Serum despigmentante SMOOTH LEGEND 60ml x1 + Serum despigmentante SMOOTH LEGEND 60ml x1 + Serum despigmentante SMOOTH LEGEND 60ml x1 + Serum despigmentante SMOOTH LEGEND 60ml x1</t>
  </si>
  <si>
    <t>61635421</t>
  </si>
  <si>
    <t>Danny no</t>
  </si>
  <si>
    <t>240043528553</t>
  </si>
  <si>
    <t>GACHALA</t>
  </si>
  <si>
    <t>Cliente recoge pedido en oficina de Interrapidisimo en Gachala cliente recoge en esa oficina</t>
  </si>
  <si>
    <t>3192085793</t>
  </si>
  <si>
    <t>61634723</t>
  </si>
  <si>
    <t>Nury Andrea Guzmán serrato</t>
  </si>
  <si>
    <t>240043528566</t>
  </si>
  <si>
    <t>LA ARGENTINA</t>
  </si>
  <si>
    <t>Cliente recoge pedido en oficina de Interrapidisimo en La Argentina cliente recoge en esa oficina</t>
  </si>
  <si>
    <t>3182819426</t>
  </si>
  <si>
    <t>61605005</t>
  </si>
  <si>
    <t>Marlene Vega</t>
  </si>
  <si>
    <t>014155299341</t>
  </si>
  <si>
    <t>Carrera 8 #6-65, Barrio Gaira, Cerca a la cancha</t>
  </si>
  <si>
    <t>3171418275</t>
  </si>
  <si>
    <t>61601502</t>
  </si>
  <si>
    <t>Blanca Cecilia Zabala alzate</t>
  </si>
  <si>
    <t>240043444189</t>
  </si>
  <si>
    <t>ITUANGO</t>
  </si>
  <si>
    <t>Cliente recoge pedido en oficina de Interrapidisimo en Ituango cliente recoge en esa oficina</t>
  </si>
  <si>
    <t>3006071331</t>
  </si>
  <si>
    <t>61584873</t>
  </si>
  <si>
    <t>Reineria Sánchez G</t>
  </si>
  <si>
    <t>240043436778</t>
  </si>
  <si>
    <t>Cliente recoge pedido en oficina de Interrapidisimo en Mercaderes cliente recoge en esa oficina</t>
  </si>
  <si>
    <t>3104159171</t>
  </si>
  <si>
    <t>PAGADO BEAUTYSHOP</t>
  </si>
  <si>
    <t>61584834</t>
  </si>
  <si>
    <t>Diana milena aguirre</t>
  </si>
  <si>
    <t>240043436781</t>
  </si>
  <si>
    <t>calle 13 # 24-39, edificiO los cambulos apartamento 201 barrio alamos</t>
  </si>
  <si>
    <t>3106039801</t>
  </si>
  <si>
    <t>61584672</t>
  </si>
  <si>
    <t>BELREY CASTAÑO</t>
  </si>
  <si>
    <t>240043436888</t>
  </si>
  <si>
    <t>3228904712</t>
  </si>
  <si>
    <t>61584447</t>
  </si>
  <si>
    <t>Angie Darnelly Ortiz Anaya</t>
  </si>
  <si>
    <t>CANDELARIA</t>
  </si>
  <si>
    <t>Cliente recoge pedido en oficina de Interrapidisimo en CANDELARIA cliente recoge en esa oficina</t>
  </si>
  <si>
    <t>3226051301</t>
  </si>
  <si>
    <t>22/01 CLIENTE INDICA QUE RECLAMO HACE DIAS</t>
  </si>
  <si>
    <t>61565134</t>
  </si>
  <si>
    <t>Martha Lucia Cantor Restrepo</t>
  </si>
  <si>
    <t>V4002077206</t>
  </si>
  <si>
    <t>Calle 66B #91A-12, Barrio Robledo santa Catalina</t>
  </si>
  <si>
    <t>3193349136</t>
  </si>
  <si>
    <t>Lemme Burne (2) x2 + Lemme Burne (2) x2 + Lemme Burne (2) x2 + Lemme Burne (2) x2 + Lemme Burne (2) x2 + Lemme Burne (2) x2 + Lemme Burne (2) x2 + Lemme Burne (2) x2 + Lemme Burne (2) x2 + Lemme Burne (2) x2</t>
  </si>
  <si>
    <t>61564845</t>
  </si>
  <si>
    <t>María Camila Borda</t>
  </si>
  <si>
    <t>240043505609</t>
  </si>
  <si>
    <t>Calle 153 # 134-15 apartamento 101 Suba compartir</t>
  </si>
  <si>
    <t>3194635101</t>
  </si>
  <si>
    <t>61564759</t>
  </si>
  <si>
    <t>Mercedes Angulo Meza</t>
  </si>
  <si>
    <t>014155295486</t>
  </si>
  <si>
    <t>Calle 18 #42-213, Conjunto villa serena  Bloque b3 apto 302, Barrio las margaritas</t>
  </si>
  <si>
    <t>3005440527</t>
  </si>
  <si>
    <t>61564566</t>
  </si>
  <si>
    <t>Aldair Diaz</t>
  </si>
  <si>
    <t>61564488</t>
  </si>
  <si>
    <t>Viviana Forero</t>
  </si>
  <si>
    <t>240043504741</t>
  </si>
  <si>
    <t>Carrera 99 #16j-42</t>
  </si>
  <si>
    <t>3135665850</t>
  </si>
  <si>
    <t>61564396</t>
  </si>
  <si>
    <t>Adriana María Rocha</t>
  </si>
  <si>
    <t>240043504827</t>
  </si>
  <si>
    <t>Calle 132 #133a-35 casa 2 Miramar - suba</t>
  </si>
  <si>
    <t>3193261227</t>
  </si>
  <si>
    <t>61564360</t>
  </si>
  <si>
    <t>Mabel Astrid Salazar</t>
  </si>
  <si>
    <t>240043447619</t>
  </si>
  <si>
    <t>CAPITANEJO</t>
  </si>
  <si>
    <t>Cliente recoge pedido en oficina de Interrapidisimo en Capitanejo cliente recoge en esa oficina</t>
  </si>
  <si>
    <t>3142839825</t>
  </si>
  <si>
    <t>61564340</t>
  </si>
  <si>
    <t>Nubia valenzuela</t>
  </si>
  <si>
    <t>240043447779</t>
  </si>
  <si>
    <t>Carrera 41C #3-61, Piso 4, Barrio primavera</t>
  </si>
  <si>
    <t>3102651890</t>
  </si>
  <si>
    <t>61564206</t>
  </si>
  <si>
    <t>Alejandra Trujillo Rodríguez</t>
  </si>
  <si>
    <t>240043447858</t>
  </si>
  <si>
    <t>Carrera 39 #17-27 Villa aurora Dos casa de rejas gris primer piso</t>
  </si>
  <si>
    <t>3209527927</t>
  </si>
  <si>
    <t>NUMERO ADICIONAL 319 753 0174</t>
  </si>
  <si>
    <t>61563961</t>
  </si>
  <si>
    <t>DEIBY LUZ VERGARA CANTERO</t>
  </si>
  <si>
    <t>014155295504</t>
  </si>
  <si>
    <t>CARRERA 22 #16A -47, LA FORD</t>
  </si>
  <si>
    <t>3145137325</t>
  </si>
  <si>
    <t>61563874</t>
  </si>
  <si>
    <t>Karen Viviana</t>
  </si>
  <si>
    <t>240043448022</t>
  </si>
  <si>
    <t>Calle 23 #10-55, Casa, San Miguel la cañada</t>
  </si>
  <si>
    <t>3115951991</t>
  </si>
  <si>
    <t>61563695</t>
  </si>
  <si>
    <t>Gislena Tapasco</t>
  </si>
  <si>
    <t>240043448383</t>
  </si>
  <si>
    <t>SUPIA</t>
  </si>
  <si>
    <t>Cliente recoge pedido en oficina de Interrapidisimo en Supia cliente recoge en esa oficina</t>
  </si>
  <si>
    <t>3234332892</t>
  </si>
  <si>
    <t>61563628</t>
  </si>
  <si>
    <t>Eliana Ortega</t>
  </si>
  <si>
    <t>240043448630</t>
  </si>
  <si>
    <t>carrera 26 #49-44, Galerias</t>
  </si>
  <si>
    <t>3105704956</t>
  </si>
  <si>
    <t>61563599</t>
  </si>
  <si>
    <t>Cindy karolina galvis Gaviria</t>
  </si>
  <si>
    <t>240043448641</t>
  </si>
  <si>
    <t>DORADAL</t>
  </si>
  <si>
    <t>Cliente recoge pedido en oficina de Interrapidisimo en Doradal cliente recoge en esa oficina</t>
  </si>
  <si>
    <t>3508586238</t>
  </si>
  <si>
    <t>61512702</t>
  </si>
  <si>
    <t>Bibiana Rendon</t>
  </si>
  <si>
    <t>014155283765</t>
  </si>
  <si>
    <t>Carrera 75 # 105-30, apto 201, barrio el pedregal, 12 de octubre</t>
  </si>
  <si>
    <t>3045807689</t>
  </si>
  <si>
    <t>61490072</t>
  </si>
  <si>
    <t>Carolina Carvajal</t>
  </si>
  <si>
    <t>240043505529</t>
  </si>
  <si>
    <t>Carrera 46 #152-46 local 174 centro comercial maduren</t>
  </si>
  <si>
    <t>3022896399</t>
  </si>
  <si>
    <t>61489091</t>
  </si>
  <si>
    <t>Eli Johana Herrera</t>
  </si>
  <si>
    <t>Calle 83 #39-44, Manrrique</t>
  </si>
  <si>
    <t>3207112754</t>
  </si>
  <si>
    <t>61488997</t>
  </si>
  <si>
    <t>Carolina Ardila</t>
  </si>
  <si>
    <t>240043439413</t>
  </si>
  <si>
    <t>Carrera 3a #2b-04, Rincón de barandillas</t>
  </si>
  <si>
    <t>3124136209</t>
  </si>
  <si>
    <t>61488916</t>
  </si>
  <si>
    <t>Yescenia Medina</t>
  </si>
  <si>
    <t>240043439475</t>
  </si>
  <si>
    <t>Carrera 16bis #28abis-43 segundo piso</t>
  </si>
  <si>
    <t>3145937935</t>
  </si>
  <si>
    <t>61488857</t>
  </si>
  <si>
    <t>Erika Guerrero</t>
  </si>
  <si>
    <t>014155284005</t>
  </si>
  <si>
    <t>Carrera 1C2 #47-27 ciudadela 20 de julio</t>
  </si>
  <si>
    <t>3007203991</t>
  </si>
  <si>
    <t>61488796</t>
  </si>
  <si>
    <t>Laura Muñoz</t>
  </si>
  <si>
    <t>014155284007</t>
  </si>
  <si>
    <t>Carrera 13 #10-35 Pasto, San Miguel, OFICINA ENVIA, CLIENTE RECOGE EN ESA OFICINA</t>
  </si>
  <si>
    <t>3163934691</t>
  </si>
  <si>
    <t>61488678</t>
  </si>
  <si>
    <t>Liliana Osorio</t>
  </si>
  <si>
    <t>V4002072846</t>
  </si>
  <si>
    <t>Calle83b #56-40 Viviendas del sur</t>
  </si>
  <si>
    <t>3012549096</t>
  </si>
  <si>
    <t>61488449</t>
  </si>
  <si>
    <t>Dayana Parra</t>
  </si>
  <si>
    <t>240043439850</t>
  </si>
  <si>
    <t>MONIQUIRA</t>
  </si>
  <si>
    <t>Calle 18 #8 -40 Santander parque Santander</t>
  </si>
  <si>
    <t>3207391456</t>
  </si>
  <si>
    <t>61488417</t>
  </si>
  <si>
    <t>Diana Monroy</t>
  </si>
  <si>
    <t>240043439951</t>
  </si>
  <si>
    <t>Manzana 10 casa 8 etapa Praderas de santa rita</t>
  </si>
  <si>
    <t>3174116162</t>
  </si>
  <si>
    <t>61488217</t>
  </si>
  <si>
    <t>María Morales</t>
  </si>
  <si>
    <t>240043440003</t>
  </si>
  <si>
    <t>Carrera 48C #72b-10 sur  Sierra morena</t>
  </si>
  <si>
    <t>3134193180</t>
  </si>
  <si>
    <t>61488072</t>
  </si>
  <si>
    <t>Francy Riascos</t>
  </si>
  <si>
    <t>014155284017</t>
  </si>
  <si>
    <t>Carrera 27 #32- 40 Torres san Sebastián</t>
  </si>
  <si>
    <t>3165191007</t>
  </si>
  <si>
    <t>61487917</t>
  </si>
  <si>
    <t>Roxana García Valiente</t>
  </si>
  <si>
    <t>014155284018</t>
  </si>
  <si>
    <t>Carrera 7 #49-45, Casa blanca frente de un Billar, La Boquilla</t>
  </si>
  <si>
    <t>3008590282</t>
  </si>
  <si>
    <t>61487811</t>
  </si>
  <si>
    <t>Mónica Areliz Delgado</t>
  </si>
  <si>
    <t>240043493698</t>
  </si>
  <si>
    <t>Avenida Caracas #31b-10 sur, Gustavo Restrepo localidad Rafael Uribe casa tercer piso</t>
  </si>
  <si>
    <t>3027899821</t>
  </si>
  <si>
    <t>61424442</t>
  </si>
  <si>
    <t>Ana Usuga</t>
  </si>
  <si>
    <t>014155264850</t>
  </si>
  <si>
    <t>Calle 108 #86 - 56 Barrio 12 de Octubre</t>
  </si>
  <si>
    <t>3216172108</t>
  </si>
  <si>
    <t>61424410</t>
  </si>
  <si>
    <t>Adriana Tirado</t>
  </si>
  <si>
    <t>014155264849</t>
  </si>
  <si>
    <t>Calle 31AA #107-15 Belen Agua frias</t>
  </si>
  <si>
    <t>3137866221</t>
  </si>
  <si>
    <t>61424383</t>
  </si>
  <si>
    <t>Monica Bautista</t>
  </si>
  <si>
    <t>V4002069575</t>
  </si>
  <si>
    <t>Hacienda el castillo Pradera 2, Casa 49, Via Cali - Jamundi</t>
  </si>
  <si>
    <t>3153528787</t>
  </si>
  <si>
    <t>61424360</t>
  </si>
  <si>
    <t>Juliana Zapata</t>
  </si>
  <si>
    <t>240043408715</t>
  </si>
  <si>
    <t>Calle 66 #40-26, Medellín, Villa Hermosa, cliente recoge en esa oficina de INTERRAPIDISIMO</t>
  </si>
  <si>
    <t>3108983653</t>
  </si>
  <si>
    <t>61424350</t>
  </si>
  <si>
    <t>Maria Ligia Velez</t>
  </si>
  <si>
    <t>014155264854</t>
  </si>
  <si>
    <t>Calle 16 # 99-47, (101) Belen Altavista, Barrio la esperanza</t>
  </si>
  <si>
    <t>3002128230</t>
  </si>
  <si>
    <t>61424319</t>
  </si>
  <si>
    <t>Sandra Vargas Guzman</t>
  </si>
  <si>
    <t>240043408721</t>
  </si>
  <si>
    <t>Carrera 136A #151b-52, Torre 11, Apto 401, Suba Compartir, Villas de Hato, chico 4</t>
  </si>
  <si>
    <t>3005865896</t>
  </si>
  <si>
    <t>61424286</t>
  </si>
  <si>
    <t>Maria Marin</t>
  </si>
  <si>
    <t>014155264856</t>
  </si>
  <si>
    <t>Carrera 82 #104E-28, Barrio 12 de Octubre</t>
  </si>
  <si>
    <t>3137810662</t>
  </si>
  <si>
    <t>61424268</t>
  </si>
  <si>
    <t>Diana Orozco</t>
  </si>
  <si>
    <t>240043405483</t>
  </si>
  <si>
    <t>Cliente recoge pedido en oficina de Interrapidisimo en LA UNION cliente recoge en esa oficina</t>
  </si>
  <si>
    <t>3163861523</t>
  </si>
  <si>
    <t>61424239</t>
  </si>
  <si>
    <t>Lizeth Rubiano</t>
  </si>
  <si>
    <t>240043405494</t>
  </si>
  <si>
    <t>VICHADA</t>
  </si>
  <si>
    <t>SANTA ROSALIA</t>
  </si>
  <si>
    <t>Cliente recoge pedido en oficina de Interrapidisimo en Santa Rosalia cliente recoge en esa oficina</t>
  </si>
  <si>
    <t>3225632306</t>
  </si>
  <si>
    <t>61424221</t>
  </si>
  <si>
    <t>Gabriela Bolívar Bolívar</t>
  </si>
  <si>
    <t>240043405505</t>
  </si>
  <si>
    <t>Cliente recoge pedido en oficina de Interrapidisimo en Andes cliente recoge en esa oficina</t>
  </si>
  <si>
    <t>3105141122</t>
  </si>
  <si>
    <t>61424206</t>
  </si>
  <si>
    <t>Zoraida Lozano</t>
  </si>
  <si>
    <t>V4002069576</t>
  </si>
  <si>
    <t>Carrera 61 #47b-19 ,casa, piso 2,  Barrio el rosario</t>
  </si>
  <si>
    <t>3003499234</t>
  </si>
  <si>
    <t>TRANSITO A DEVOLUCION PROVEEDOR</t>
  </si>
  <si>
    <t>61424194</t>
  </si>
  <si>
    <t>Diana Alvarez</t>
  </si>
  <si>
    <t>014155264857</t>
  </si>
  <si>
    <t>Carrera 59 #64-32 apartamentos de la policia, bloque 1 apto 149, La aldea</t>
  </si>
  <si>
    <t>3182124026</t>
  </si>
  <si>
    <t>61424162</t>
  </si>
  <si>
    <t>Claudia Gonzalez</t>
  </si>
  <si>
    <t>240043405529</t>
  </si>
  <si>
    <t>Calle 67 #10A-169, barrio el diamante</t>
  </si>
  <si>
    <t>3107053232</t>
  </si>
  <si>
    <t>61424148</t>
  </si>
  <si>
    <t>Malena Primera Angulo</t>
  </si>
  <si>
    <t>240043405547</t>
  </si>
  <si>
    <t>3159992126</t>
  </si>
  <si>
    <t>61424131</t>
  </si>
  <si>
    <t>Sandra Jeanette Roman Sánchez</t>
  </si>
  <si>
    <t>240043405559</t>
  </si>
  <si>
    <t>Carrera 18 #3-47, Jardín de limoncito</t>
  </si>
  <si>
    <t>3195243499</t>
  </si>
  <si>
    <t>61424103</t>
  </si>
  <si>
    <t>Ruth Orozco Bustillos</t>
  </si>
  <si>
    <t>014155264859</t>
  </si>
  <si>
    <t>Carrera 20b #64-28 barrio Los Andes</t>
  </si>
  <si>
    <t>3103033731</t>
  </si>
  <si>
    <t>61424085</t>
  </si>
  <si>
    <t>Niní Johana Leal</t>
  </si>
  <si>
    <t>240043405605</t>
  </si>
  <si>
    <t>Calle 23 #68b-32, Ciudad salitre</t>
  </si>
  <si>
    <t>3157113241</t>
  </si>
  <si>
    <t>Lemme Burn x2 + Lemme Burn x2 + Lemme Burn x2 + Lemme Burn x2 + Lemme Burn x2 + Lemme Burn x2 + Lemme Burn x2 + Lemme Burn x2 + Lemme Burn x2 + Lemme Burn x2</t>
  </si>
  <si>
    <t>61424060</t>
  </si>
  <si>
    <t>Luna Montero</t>
  </si>
  <si>
    <t>240043405619</t>
  </si>
  <si>
    <t>Calle 127F #91-11 Suba rincón</t>
  </si>
  <si>
    <t>3124607371</t>
  </si>
  <si>
    <t>61424046</t>
  </si>
  <si>
    <t>Amparo Ramirez</t>
  </si>
  <si>
    <t>240043405647</t>
  </si>
  <si>
    <t>Calle 65f #80a-14 Casa, Barrio Bosa Centro</t>
  </si>
  <si>
    <t>3212957002</t>
  </si>
  <si>
    <t>61424015</t>
  </si>
  <si>
    <t>Martha Ximena Quintero Ortega</t>
  </si>
  <si>
    <t>240043405657</t>
  </si>
  <si>
    <t>Calle 2E #1C-39 barrio el bosque</t>
  </si>
  <si>
    <t>3118986059</t>
  </si>
  <si>
    <t>61423967</t>
  </si>
  <si>
    <t>Olga Lucía Gacha Duarte</t>
  </si>
  <si>
    <t>240043405688</t>
  </si>
  <si>
    <t>Calle 156b #96-55 barrio suba salitre</t>
  </si>
  <si>
    <t>3227519789</t>
  </si>
  <si>
    <t>61298730</t>
  </si>
  <si>
    <t>Yuleidis Quijano Alvarez</t>
  </si>
  <si>
    <t>054014192075</t>
  </si>
  <si>
    <t>Carrera 26D #45-122 Barrio oasis</t>
  </si>
  <si>
    <t>3242882655</t>
  </si>
  <si>
    <t>61298498</t>
  </si>
  <si>
    <t>Doralba ossa henao</t>
  </si>
  <si>
    <t>240043390550</t>
  </si>
  <si>
    <t>Carrera  34a #36-191, Torre 16 apto 103</t>
  </si>
  <si>
    <t>3143854248</t>
  </si>
  <si>
    <t>Tag Recede Eliminador de verrugas x1 + Tag Recede Eliminador de verrugas x1 + Tag Recede Eliminador de verrugas x1 + Tag Recede Eliminador de verrugas x1 + Tag Recede Eliminador de verrugas x1 + Tag Recede Eliminador de verrugas x1 + Tag Recede Eliminador de verrugas x1 + Tag Recede Eliminador de verrugas x1 + Tag Recede Eliminador de verrugas x1 + Tag Recede Eliminador de verrugas x1</t>
  </si>
  <si>
    <t>Michael Mirillas Martínez</t>
  </si>
  <si>
    <t>V4002069751</t>
  </si>
  <si>
    <t>Carrera 19 # 74-11, Barrio Andrés Sanín</t>
  </si>
  <si>
    <t>3183648901</t>
  </si>
  <si>
    <t>id__dropi</t>
  </si>
  <si>
    <t>Nombre</t>
  </si>
  <si>
    <t>Oficina</t>
  </si>
  <si>
    <t>61322803</t>
  </si>
  <si>
    <t>llamado 3 veces</t>
  </si>
  <si>
    <t>llame 10 veces</t>
  </si>
  <si>
    <t>Mapeo de estados (Dropi/Transportadoras) → tus estados</t>
  </si>
  <si>
    <t>transportadora (opcional)</t>
  </si>
  <si>
    <t>ultimo_movimiento (opcional)</t>
  </si>
  <si>
    <t>Estados estándar</t>
  </si>
  <si>
    <t>ANULADO</t>
  </si>
  <si>
    <t>TRÁNSITO</t>
  </si>
  <si>
    <t>DEVOLUCIÓN</t>
  </si>
  <si>
    <t>OFICINA 1</t>
  </si>
  <si>
    <t>SINIESTRO / EXTRAVIADO</t>
  </si>
  <si>
    <t>EN RUTA</t>
  </si>
  <si>
    <t xml:space="preserve">  PENDIENTE CONFIRMACION</t>
  </si>
  <si>
    <t xml:space="preserve">  PENDIENTE</t>
  </si>
  <si>
    <t xml:space="preserve">  GUIA_GENERADA</t>
  </si>
  <si>
    <t xml:space="preserve">  GUIA_ANULADA</t>
  </si>
  <si>
    <t xml:space="preserve">  CANCELADO</t>
  </si>
  <si>
    <t xml:space="preserve">  RECHAZADO</t>
  </si>
  <si>
    <t xml:space="preserve">  ENTREGADO</t>
  </si>
  <si>
    <t xml:space="preserve">  DEVOLUCION</t>
  </si>
  <si>
    <t xml:space="preserve">  NOVEDAD SOLUCIONADA</t>
  </si>
  <si>
    <t xml:space="preserve">  PREPARADO PARA TRANSPORTADORA</t>
  </si>
  <si>
    <t xml:space="preserve">  INDEMNIZADA POR DROPI</t>
  </si>
  <si>
    <t xml:space="preserve">  DEVOLUCION EN TRANSITO</t>
  </si>
  <si>
    <t xml:space="preserve">  ENTREGADO A TRANSPORTADORA</t>
  </si>
  <si>
    <t xml:space="preserve">  EN BODEGA DROPI</t>
  </si>
  <si>
    <t xml:space="preserve">  RECOGIDO POR DROPI</t>
  </si>
  <si>
    <t xml:space="preserve">  RECIBIDO PAU</t>
  </si>
  <si>
    <t xml:space="preserve">  RECIBIDO DEL CLIENTE</t>
  </si>
  <si>
    <t xml:space="preserve">  EN PROCESAMIENTO</t>
  </si>
  <si>
    <t xml:space="preserve">  EN SALIDA DE CIUDAD INTERMEDIA</t>
  </si>
  <si>
    <t xml:space="preserve">  ENTRADA BODEGA LOCAL</t>
  </si>
  <si>
    <t xml:space="preserve">  EN TRANSITO EN CIUDAD INTERMEDIA</t>
  </si>
  <si>
    <t xml:space="preserve">  ENTREGA VERIFICADA</t>
  </si>
  <si>
    <t xml:space="preserve">  ENVIO PARA ENTREGA A DOMICILIO</t>
  </si>
  <si>
    <t xml:space="preserve">  ENVIO PARA ENTREGA EN OFICINA</t>
  </si>
  <si>
    <t xml:space="preserve">  ENVIO REVERSADO A BODEGA LOCAL</t>
  </si>
  <si>
    <t xml:space="preserve">  ENVIO TRASLADADO A MANIFIESTO</t>
  </si>
  <si>
    <t xml:space="preserve">  EN ZONA DE DISTRIBUCION</t>
  </si>
  <si>
    <t xml:space="preserve">  SINIESTRADO</t>
  </si>
  <si>
    <t xml:space="preserve">  SALIO A CIUDAD DESTINO</t>
  </si>
  <si>
    <t xml:space="preserve">  SALIDA A BODEGA LOCAL</t>
  </si>
  <si>
    <t xml:space="preserve">  REVERSION REPORTADO ENTREGADO</t>
  </si>
  <si>
    <t xml:space="preserve">  REPORTADO RECOGIDO</t>
  </si>
  <si>
    <t xml:space="preserve">  REPORTADO  ENTREGADO</t>
  </si>
  <si>
    <t xml:space="preserve">  REGISTRADO EN INVENTARIO</t>
  </si>
  <si>
    <t xml:space="preserve">  NOTIFICACION DE DEVOLUCION</t>
  </si>
  <si>
    <t xml:space="preserve">  INGRESO AL CENTRO LOGISTICO POR DEVOLUCION</t>
  </si>
  <si>
    <t xml:space="preserve">  INGRESO AL CENTRO LOGISTICO</t>
  </si>
  <si>
    <t xml:space="preserve">  SIN MOVIMIENTOS</t>
  </si>
  <si>
    <t>SIN MOVIMIENTO</t>
  </si>
  <si>
    <t xml:space="preserve">  GENERADA</t>
  </si>
  <si>
    <t xml:space="preserve">  PRODUCIDA</t>
  </si>
  <si>
    <t xml:space="preserve">  ANULADA</t>
  </si>
  <si>
    <t xml:space="preserve">  DESPACHADA</t>
  </si>
  <si>
    <t xml:space="preserve">  EN BODEGA DESTINO</t>
  </si>
  <si>
    <t xml:space="preserve">  EN REPARTO</t>
  </si>
  <si>
    <t xml:space="preserve">  ENTREGADA</t>
  </si>
  <si>
    <t xml:space="preserve">  NOVEDAD</t>
  </si>
  <si>
    <t xml:space="preserve">  NO TRANSMITIDA</t>
  </si>
  <si>
    <t xml:space="preserve">  EN PROCESO DE INDEMNIZACION</t>
  </si>
  <si>
    <t xml:space="preserve">  INDEMNIZADA</t>
  </si>
  <si>
    <t xml:space="preserve">  ENTREGADA DIGITALIZADA</t>
  </si>
  <si>
    <t xml:space="preserve">  EN TRANSITO</t>
  </si>
  <si>
    <t xml:space="preserve">  DESPACHADA DE TRANSITO</t>
  </si>
  <si>
    <t xml:space="preserve">  EN ESPERA DE RX</t>
  </si>
  <si>
    <t xml:space="preserve">  EN REEXPEDICION</t>
  </si>
  <si>
    <t xml:space="preserve">  EN ESPERA DE RUTA DOMESTICA</t>
  </si>
  <si>
    <t xml:space="preserve">  EN ESPERA DE CITA</t>
  </si>
  <si>
    <t xml:space="preserve">  CITA PROGRAMADA</t>
  </si>
  <si>
    <t xml:space="preserve">  SOLUCIONADA EN MALLA</t>
  </si>
  <si>
    <t xml:space="preserve">  ORIGEN DOMESTICO EN ESPERA DE DESPACHO NACIONAL</t>
  </si>
  <si>
    <t xml:space="preserve">  MERCANCIA RECOGIDA</t>
  </si>
  <si>
    <t xml:space="preserve">  STAND BY</t>
  </si>
  <si>
    <t xml:space="preserve">  DESTRUCCION - SALVAMENTO - DONACION</t>
  </si>
  <si>
    <t xml:space="preserve">  REZAGO</t>
  </si>
  <si>
    <t xml:space="preserve">  DEVOLUCION PARCIAL</t>
  </si>
  <si>
    <t xml:space="preserve">  REDIRECCIONADO</t>
  </si>
  <si>
    <t xml:space="preserve">  ENTREGADA CON OBSERVACION</t>
  </si>
  <si>
    <t xml:space="preserve">  DEVUELTA</t>
  </si>
  <si>
    <t xml:space="preserve">  GUIA NO EXISTE</t>
  </si>
  <si>
    <t xml:space="preserve">  A RECIBIR POR COORDINADORA</t>
  </si>
  <si>
    <t xml:space="preserve">  EN TERMINAL ORIGEN</t>
  </si>
  <si>
    <t xml:space="preserve">  EN TRANSPORTE</t>
  </si>
  <si>
    <t xml:space="preserve">  EN TERMINAL DESTINO</t>
  </si>
  <si>
    <t xml:space="preserve">  CERRADO POR INCIDENCIA, VER CAUSA</t>
  </si>
  <si>
    <t xml:space="preserve">  EN PUNTO DROOP</t>
  </si>
  <si>
    <t xml:space="preserve">  ENVÍO ADMITIDO</t>
  </si>
  <si>
    <t xml:space="preserve">  INGRESADO A BODEGA</t>
  </si>
  <si>
    <t xml:space="preserve">  VIAJANDO EN RUTA NACIONAL</t>
  </si>
  <si>
    <t xml:space="preserve">  VIAJANDO EN RUTA REGIONAL</t>
  </si>
  <si>
    <t xml:space="preserve">  PARA RECLAMAR EN OFICINA</t>
  </si>
  <si>
    <t xml:space="preserve">  EN DISTRIBUCIÓN URBANA</t>
  </si>
  <si>
    <t xml:space="preserve">  EN PROCESO DE DEVOLUCIÓN</t>
  </si>
  <si>
    <t xml:space="preserve">  EN CONFIRMACIÓN TELEFÓNICA</t>
  </si>
  <si>
    <t xml:space="preserve">  DEVUELTO AL REMITENTE</t>
  </si>
  <si>
    <t xml:space="preserve">  ENTREGA EXITOSA</t>
  </si>
  <si>
    <t xml:space="preserve">  PARA NUEVO INTENTO ENTREGA</t>
  </si>
  <si>
    <t xml:space="preserve">  PRUEBA DE ENTREGA DIGITALIZADA</t>
  </si>
  <si>
    <t xml:space="preserve">  EN INVESTIGACIÓN</t>
  </si>
  <si>
    <t xml:space="preserve">  DOCUMENTO ANULADA</t>
  </si>
  <si>
    <t xml:space="preserve">  PRUEBA DE ENTREGA ARCHIVADA</t>
  </si>
  <si>
    <t xml:space="preserve">  DISPOSICIÓN FINAL</t>
  </si>
  <si>
    <t xml:space="preserve">  DESPACHADO PARA BODEGA</t>
  </si>
  <si>
    <t xml:space="preserve">  INCAUTADO POR AUTORIDADES</t>
  </si>
  <si>
    <t xml:space="preserve">  PARA BODEGA FINAL/CUSTODIA</t>
  </si>
  <si>
    <t xml:space="preserve">  NO LLEGO EL ENVÍO FÍSICO</t>
  </si>
  <si>
    <t xml:space="preserve">  FACTURADO</t>
  </si>
  <si>
    <t xml:space="preserve">  NOTA CRÉDITO</t>
  </si>
  <si>
    <t xml:space="preserve">  EN AUDITORIA EN TERRENO</t>
  </si>
  <si>
    <t xml:space="preserve">  DEVOLUCIÓN POR CONFIRMACIÓN DEL CLIENTE</t>
  </si>
  <si>
    <t xml:space="preserve">  EN DISTRIBUCION URBANA AGENCIA</t>
  </si>
  <si>
    <t xml:space="preserve">  PARA DEVOLVER AL REMITENTE</t>
  </si>
  <si>
    <t xml:space="preserve">  EN BODEGA FINAL/CUSTODIA</t>
  </si>
  <si>
    <t xml:space="preserve">  ADMITIDA</t>
  </si>
  <si>
    <t xml:space="preserve">  CENTRO ACOPIO</t>
  </si>
  <si>
    <t xml:space="preserve">  TRANSITO NACIONAL</t>
  </si>
  <si>
    <t xml:space="preserve">  TRANSITO REGIONAL</t>
  </si>
  <si>
    <t xml:space="preserve">  TELEMERCADEO</t>
  </si>
  <si>
    <t xml:space="preserve">  DEVOLUCIÓN RATIFICADA</t>
  </si>
  <si>
    <t xml:space="preserve">  TRANSITO URBANO</t>
  </si>
  <si>
    <t xml:space="preserve">  INCAUTADO</t>
  </si>
  <si>
    <t xml:space="preserve">  DISTRIBUCIÓN</t>
  </si>
  <si>
    <t xml:space="preserve">  ARCHIVADA</t>
  </si>
  <si>
    <t xml:space="preserve">  DIGITALIZADA</t>
  </si>
  <si>
    <t xml:space="preserve">  RECLAME EN OFICINA</t>
  </si>
  <si>
    <t xml:space="preserve">  REPARTO</t>
  </si>
  <si>
    <t xml:space="preserve">  REENVIO</t>
  </si>
  <si>
    <t xml:space="preserve">  INTENTO DE ENTREGA</t>
  </si>
  <si>
    <t xml:space="preserve">  ENVO ADMITIDO</t>
  </si>
  <si>
    <t xml:space="preserve">  EN DISTRIBUCIN URBANA</t>
  </si>
  <si>
    <t xml:space="preserve">  EN PROCESO DE DEVOLUCIN</t>
  </si>
  <si>
    <t xml:space="preserve">  EN CONFIRMACIN TELEFNICA</t>
  </si>
  <si>
    <t xml:space="preserve">  DISPOSICIN FINAL</t>
  </si>
  <si>
    <t xml:space="preserve">  NO LLEGO EL ENVO FSICO</t>
  </si>
  <si>
    <t xml:space="preserve">  NOTA CRDITO</t>
  </si>
  <si>
    <t xml:space="preserve">  DEVOLUCIN RATIFICADA</t>
  </si>
  <si>
    <t xml:space="preserve">  DISTRIBUCIN</t>
  </si>
  <si>
    <t xml:space="preserve">  DISTRIBUCION</t>
  </si>
  <si>
    <t xml:space="preserve">  EN PROCESO</t>
  </si>
  <si>
    <t xml:space="preserve">  ENTREGA</t>
  </si>
  <si>
    <t xml:space="preserve">  CARGADO EN BASE</t>
  </si>
  <si>
    <t xml:space="preserve">  BODEGA</t>
  </si>
  <si>
    <t xml:space="preserve">  ASIGNADO A ZONA</t>
  </si>
  <si>
    <t xml:space="preserve">  DEV OTROS</t>
  </si>
  <si>
    <t xml:space="preserve">  GUIA SIN SOBRE</t>
  </si>
  <si>
    <t xml:space="preserve">  NOVEDAD EN AEROPUERTO</t>
  </si>
  <si>
    <t xml:space="preserve">  BODEGA DESTINO</t>
  </si>
  <si>
    <t xml:space="preserve">  TRANSPORTE NACIONAL</t>
  </si>
  <si>
    <t xml:space="preserve">  DEV CERRADO CUARENTENA</t>
  </si>
  <si>
    <t xml:space="preserve">  DESPACHO EFECTIVO</t>
  </si>
  <si>
    <t xml:space="preserve">  DESPACHO EFECTIVO DIGITALIZADA</t>
  </si>
  <si>
    <t xml:space="preserve">  DESPACHO EFECTIVO AL REMITENTE</t>
  </si>
  <si>
    <t xml:space="preserve">  ENTREGA DIGITALIZADA</t>
  </si>
  <si>
    <t xml:space="preserve">  PROBLEMAS DE ORDEN PUBLICO</t>
  </si>
  <si>
    <t xml:space="preserve">  CIERRE DE VIAS PUBLICAS</t>
  </si>
  <si>
    <t xml:space="preserve">  NO SE CUBRE LA ZONA</t>
  </si>
  <si>
    <t xml:space="preserve">  MAL ZONIFICADO</t>
  </si>
  <si>
    <t xml:space="preserve">  CONDICIONES CLIMATOLOGICAS ADVERSAS</t>
  </si>
  <si>
    <t xml:space="preserve">  COMPENSACIÓN (HURTO, PERDIDA, AVERIA)</t>
  </si>
  <si>
    <t xml:space="preserve">  RECEPCION BODEGA</t>
  </si>
  <si>
    <t xml:space="preserve">  ASIGNADO A COURIER</t>
  </si>
  <si>
    <t xml:space="preserve">  ASIGNADO A SUCURSAL DESTINO</t>
  </si>
  <si>
    <t xml:space="preserve">  FISICO NO RECIBIDO</t>
  </si>
  <si>
    <t xml:space="preserve">  CERRADO O NO HAY QUIEN RECIBA</t>
  </si>
  <si>
    <t xml:space="preserve">  EN BODEGA ORIGEN</t>
  </si>
  <si>
    <t xml:space="preserve">  EN RUTA</t>
  </si>
  <si>
    <t xml:space="preserve">  EN CAMINO</t>
  </si>
  <si>
    <t xml:space="preserve">  RECOLECCION</t>
  </si>
  <si>
    <t xml:space="preserve">  RECOGIDO</t>
  </si>
  <si>
    <t xml:space="preserve">  SINIESTRO</t>
  </si>
  <si>
    <t xml:space="preserve">  EN PROCESO DE DEVOLUCION</t>
  </si>
  <si>
    <t xml:space="preserve">  RECIBIDO PUNTO DE VENTA</t>
  </si>
  <si>
    <t xml:space="preserve">  TRANSITO A DEVOLUCION PROVEEDOR</t>
  </si>
  <si>
    <t xml:space="preserve">  NOVEDAD DEVOLUCION</t>
  </si>
  <si>
    <t xml:space="preserve">  DEVOLUCION EN BODEGA</t>
  </si>
  <si>
    <t xml:space="preserve">  DEVOLUCION EN RUTA</t>
  </si>
  <si>
    <t xml:space="preserve">  GUIA GENERADA</t>
  </si>
  <si>
    <t xml:space="preserve">  AGENDADO</t>
  </si>
  <si>
    <t xml:space="preserve">  EN ALISTAMIENTO EN OFICINA DE ORIGEN</t>
  </si>
  <si>
    <t xml:space="preserve">  EN DISTRIBUCION</t>
  </si>
  <si>
    <t xml:space="preserve">  EN TRANSITO A CIUDAD DESTINO</t>
  </si>
  <si>
    <t xml:space="preserve">  LLEGO A OFICINA DE DESTINO</t>
  </si>
  <si>
    <t xml:space="preserve">  REAGENDADO</t>
  </si>
  <si>
    <t xml:space="preserve">  NO ENTREGADO</t>
  </si>
  <si>
    <t xml:space="preserve">  CASO CERRADO</t>
  </si>
  <si>
    <t xml:space="preserve">  DEVUELTA A REMITENTE</t>
  </si>
  <si>
    <t xml:space="preserve">  EN AEROLINEA DE MIAMI</t>
  </si>
  <si>
    <t xml:space="preserve">  EN AEROLINEA DE COLOMBIA</t>
  </si>
  <si>
    <t xml:space="preserve">  EN PROCESO DE INSPECCION ADUANERA</t>
  </si>
  <si>
    <t xml:space="preserve">  MERCANCIA NACIONALIZADA</t>
  </si>
  <si>
    <t xml:space="preserve">  EN DESPACHO</t>
  </si>
  <si>
    <t xml:space="preserve">  CARGADA</t>
  </si>
  <si>
    <t xml:space="preserve">  DIGITADA</t>
  </si>
  <si>
    <t xml:space="preserve">  EN TRASLADO NACIONAL</t>
  </si>
  <si>
    <t xml:space="preserve">  EN RECIBO</t>
  </si>
  <si>
    <t xml:space="preserve">  ENTREGADA A CONEXIONES</t>
  </si>
  <si>
    <t xml:space="preserve">  ENTREGADA CON BOOMERANG</t>
  </si>
  <si>
    <t xml:space="preserve">  RELACIONADA PARA DEVOLVER BOOMERANG</t>
  </si>
  <si>
    <t xml:space="preserve">  EN TRASLADO NACIONAL CON BOOMERANG</t>
  </si>
  <si>
    <t xml:space="preserve">  EN BODEGA ORIGEN CON BOOMERANG</t>
  </si>
  <si>
    <t xml:space="preserve">  EN DISTRIBUCION CON BOOMERANG</t>
  </si>
  <si>
    <t xml:space="preserve">  CUMPLIDO CON DEVOLUCION PARCIAL</t>
  </si>
  <si>
    <t xml:space="preserve">  MERCANCÍA EN PROCESO DE INDEMNIZACIÓN</t>
  </si>
  <si>
    <t xml:space="preserve">  INDEMNIZACIÓN PAGADA</t>
  </si>
  <si>
    <t xml:space="preserve">  INDEMNIZACIÓN NEGADA</t>
  </si>
  <si>
    <t xml:space="preserve">  ENTREGADA PARCIALMENTE</t>
  </si>
  <si>
    <t xml:space="preserve">  MERCANCÍA RETENIDA POR LA DIAN</t>
  </si>
  <si>
    <t xml:space="preserve">  EN DEVOLUCIÓN</t>
  </si>
  <si>
    <t xml:space="preserve">  EN CONTINUACION</t>
  </si>
  <si>
    <t xml:space="preserve">  REEMPLAZADA</t>
  </si>
  <si>
    <t>ASIGNADO</t>
  </si>
  <si>
    <t>Dropi • Dashboard PRO</t>
  </si>
  <si>
    <t>Actualizado:</t>
  </si>
  <si>
    <t>Pedidos (Total)</t>
  </si>
  <si>
    <t>Entregados</t>
  </si>
  <si>
    <t>Devoluciones</t>
  </si>
  <si>
    <t>Datos → Actualizar todo</t>
  </si>
  <si>
    <t>% Devolución</t>
  </si>
  <si>
    <t>Pendientes</t>
  </si>
  <si>
    <t>Novedad</t>
  </si>
  <si>
    <t>Costo devoluciones</t>
  </si>
  <si>
    <t>Ganancia total</t>
  </si>
  <si>
    <t>Ventas total</t>
  </si>
  <si>
    <t>Distribución por estado</t>
  </si>
  <si>
    <t>Devolución por transportadora</t>
  </si>
  <si>
    <t>Estado</t>
  </si>
  <si>
    <t>Pedidos</t>
  </si>
  <si>
    <t>Transportadora</t>
  </si>
  <si>
    <t>Devolución</t>
  </si>
  <si>
    <t>% Devol.</t>
  </si>
  <si>
    <t>% Entr</t>
  </si>
  <si>
    <t>COORDINADORA</t>
  </si>
  <si>
    <t>SIN MAPEAR</t>
  </si>
  <si>
    <t>PAUTA</t>
  </si>
  <si>
    <t>VALOR</t>
  </si>
  <si>
    <t>SEMANA 1</t>
  </si>
  <si>
    <t>SEMANA 2</t>
  </si>
  <si>
    <t>SEMANA 3</t>
  </si>
  <si>
    <t>SEMANA 4</t>
  </si>
  <si>
    <t>TOTAL</t>
  </si>
  <si>
    <t>Estados encontrados en este export (para ayudarte a mapear)</t>
  </si>
  <si>
    <t>ultimo_movimiento</t>
  </si>
  <si>
    <t>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</si>
</sst>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F400]h:mm:ss\ AM/PM"/>
  </numFmts>
  <fonts count="13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374151"/>
      <name val="Calibri"/>
      <family val="2"/>
    </font>
    <font>
      <b/>
      <sz val="20"/>
      <color rgb="FF111827"/>
      <name val="Calibri"/>
      <family val="2"/>
    </font>
    <font>
      <sz val="9"/>
      <color rgb="FF6B7280"/>
      <name val="Calibri"/>
      <family val="2"/>
    </font>
    <font>
      <b/>
      <sz val="12"/>
      <color rgb="FF111827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color rgb="FF111827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2563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left" vertical="center"/>
    </xf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4" fontId="0" fillId="0" borderId="0" xfId="0" applyNumberFormat="1"/>
    <xf numFmtId="165" fontId="0" fillId="0" borderId="0" xfId="0" applyNumberFormat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7" xfId="0" applyBorder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6" borderId="15" xfId="0" applyFill="1" applyBorder="1" applyAlignment="1">
      <alignment horizontal="left" vertical="center"/>
    </xf>
    <xf numFmtId="0" fontId="0" fillId="6" borderId="10" xfId="0" applyFill="1" applyBorder="1" applyAlignment="1">
      <alignment horizontal="center" vertical="center"/>
    </xf>
    <xf numFmtId="10" fontId="0" fillId="6" borderId="10" xfId="0" applyNumberFormat="1" applyFill="1" applyBorder="1" applyAlignment="1">
      <alignment horizontal="center" vertical="center"/>
    </xf>
    <xf numFmtId="9" fontId="0" fillId="6" borderId="16" xfId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10" fontId="0" fillId="5" borderId="10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center" vertical="center"/>
    </xf>
    <xf numFmtId="10" fontId="0" fillId="5" borderId="18" xfId="0" applyNumberFormat="1" applyFill="1" applyBorder="1" applyAlignment="1">
      <alignment horizontal="center" vertical="center"/>
    </xf>
    <xf numFmtId="1" fontId="0" fillId="0" borderId="6" xfId="0" applyNumberFormat="1" applyBorder="1"/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1" fillId="0" borderId="5" xfId="0" applyFont="1" applyBorder="1"/>
    <xf numFmtId="9" fontId="0" fillId="5" borderId="16" xfId="1" applyFont="1" applyFill="1" applyBorder="1" applyAlignment="1">
      <alignment horizontal="center" vertical="center"/>
    </xf>
    <xf numFmtId="9" fontId="0" fillId="5" borderId="19" xfId="1" applyFont="1" applyFill="1" applyBorder="1" applyAlignment="1">
      <alignment horizontal="center" vertical="center"/>
    </xf>
    <xf numFmtId="0" fontId="0" fillId="9" borderId="0" xfId="0" applyFill="1"/>
    <xf numFmtId="0" fontId="0" fillId="0" borderId="3" xfId="0" applyBorder="1"/>
    <xf numFmtId="0" fontId="0" fillId="2" borderId="0" xfId="0" applyFill="1"/>
    <xf numFmtId="0" fontId="6" fillId="7" borderId="0" xfId="0" applyFont="1" applyFill="1"/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0" fillId="0" borderId="20" xfId="0" applyBorder="1"/>
    <xf numFmtId="0" fontId="0" fillId="10" borderId="0" xfId="0" applyFill="1"/>
    <xf numFmtId="14" fontId="0" fillId="10" borderId="0" xfId="0" applyNumberForma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164" fontId="4" fillId="3" borderId="1" xfId="0" applyNumberFormat="1" applyFont="1" applyFill="1" applyBorder="1" applyAlignment="1">
      <alignment horizontal="left" vertical="center"/>
    </xf>
    <xf numFmtId="10" fontId="4" fillId="3" borderId="1" xfId="0" applyNumberFormat="1" applyFont="1" applyFill="1" applyBorder="1" applyAlignment="1">
      <alignment horizontal="left" vertical="center"/>
    </xf>
    <xf numFmtId="0" fontId="0" fillId="2" borderId="0" xfId="0" applyFill="1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Normal" xfId="0" builtinId="0"/>
    <cellStyle name="Porcentaje" xfId="1" builtinId="5"/>
  </cellStyles>
  <dxfs count="51">
    <dxf>
      <numFmt numFmtId="1" formatCode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563E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563E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6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166" formatCode="d/mm/yyyy"/>
    </dxf>
    <dxf>
      <numFmt numFmtId="0" formatCode="General"/>
    </dxf>
    <dxf>
      <fill>
        <patternFill patternType="solid">
          <bgColor rgb="FFFFEB9C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Devolución por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7336381339429347E-2"/>
          <c:y val="4.2333507120709053E-2"/>
          <c:w val="0.97059121130985382"/>
          <c:h val="0.9576663464814324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Dashboard_Pro!$J$17</c:f>
              <c:strCache>
                <c:ptCount val="1"/>
                <c:pt idx="0">
                  <c:v>% Devol.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D9-4EDB-AE28-CB432D9E7DE1}"/>
              </c:ext>
            </c:extLst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D9-4EDB-AE28-CB432D9E7DE1}"/>
              </c:ext>
            </c:extLst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D9-4EDB-AE28-CB432D9E7DE1}"/>
              </c:ext>
            </c:extLst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D9-4EDB-AE28-CB432D9E7DE1}"/>
              </c:ext>
            </c:extLst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D9-4EDB-AE28-CB432D9E7DE1}"/>
              </c:ext>
            </c:extLst>
          </c:dPt>
          <c:dPt>
            <c:idx val="5"/>
            <c:invertIfNegative val="1"/>
            <c:bubble3D val="0"/>
            <c:spPr>
              <a:gradFill flip="none" rotWithShape="1">
                <a:gsLst>
                  <a:gs pos="0">
                    <a:schemeClr val="accent6"/>
                  </a:gs>
                  <a:gs pos="75000">
                    <a:schemeClr val="accent6">
                      <a:lumMod val="60000"/>
                      <a:lumOff val="40000"/>
                    </a:schemeClr>
                  </a:gs>
                  <a:gs pos="51000">
                    <a:schemeClr val="accent6">
                      <a:alpha val="75000"/>
                    </a:schemeClr>
                  </a:gs>
                  <a:gs pos="100000">
                    <a:schemeClr val="accent6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4D9-4EDB-AE28-CB432D9E7D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Dashboard_Pro!$F$16:$F$21</c:f>
              <c:strCache>
                <c:ptCount val="6"/>
                <c:pt idx="0">
                  <c:v>Devolución por transportadora</c:v>
                </c:pt>
                <c:pt idx="1">
                  <c:v>Transportadora</c:v>
                </c:pt>
                <c:pt idx="2">
                  <c:v>ENVIA</c:v>
                </c:pt>
                <c:pt idx="3">
                  <c:v>INTERRAPIDISIMO</c:v>
                </c:pt>
                <c:pt idx="4">
                  <c:v>VELOCES</c:v>
                </c:pt>
                <c:pt idx="5">
                  <c:v>COORDINADORA</c:v>
                </c:pt>
              </c:strCache>
            </c:strRef>
          </c:cat>
          <c:val>
            <c:numRef>
              <c:f>Dashboard_Pro!$J$16:$J$21</c:f>
              <c:numCache>
                <c:formatCode>General</c:formatCode>
                <c:ptCount val="6"/>
                <c:pt idx="1">
                  <c:v>0</c:v>
                </c:pt>
                <c:pt idx="2" formatCode="0.00%">
                  <c:v>2.3166023166023165E-2</c:v>
                </c:pt>
                <c:pt idx="3" formatCode="0.00%">
                  <c:v>5.8064516129032261E-2</c:v>
                </c:pt>
                <c:pt idx="4" formatCode="0.00%">
                  <c:v>0.11538461538461539</c:v>
                </c:pt>
                <c:pt idx="5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3-4503-BFD7-F6C1FB75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 Devol.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Transportadora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22</xdr:row>
      <xdr:rowOff>28574</xdr:rowOff>
    </xdr:from>
    <xdr:ext cx="11734800" cy="549592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Alejandro Blandon Gallego" id="{89DAAEF7-22A5-46D0-95C4-A7DF903B17FA}" userId="4a55877d9dd72d59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7DF56E64-D41A-4987-A205-AE186CBC7619}" autoFormatId="16" applyNumberFormats="0" applyBorderFormats="0" applyFontFormats="0" applyPatternFormats="0" applyAlignmentFormats="0" applyWidthHeightFormats="0">
  <queryTableRefresh nextId="61">
    <queryTableFields count="31">
      <queryTableField id="49" name="Esatdo Cartera" tableColumnId="28"/>
      <queryTableField id="57" dataBound="0" tableColumnId="30"/>
      <queryTableField id="42" name="ID" tableColumnId="24"/>
      <queryTableField id="1" name="id_dropi" tableColumnId="1"/>
      <queryTableField id="2" name="fecha" tableColumnId="2"/>
      <queryTableField id="3" name="cliente" tableColumnId="3"/>
      <queryTableField id="11" name="transportadora" tableColumnId="11"/>
      <queryTableField id="48" dataBound="0" tableColumnId="27"/>
      <queryTableField id="47" dataBound="0" tableColumnId="25"/>
      <queryTableField id="23" name="estado_operativo" tableColumnId="23"/>
      <queryTableField id="5" name="guia" tableColumnId="5"/>
      <queryTableField id="7" name="despartamento" tableColumnId="7"/>
      <queryTableField id="8" name="ciudad" tableColumnId="8"/>
      <queryTableField id="9" name="direccion" tableColumnId="9"/>
      <queryTableField id="4" name="telefono" tableColumnId="4"/>
      <queryTableField id="44" dataBound="0" tableColumnId="26"/>
      <queryTableField id="10" name="notas" tableColumnId="10"/>
      <queryTableField id="45" name="Producto" tableColumnId="20"/>
      <queryTableField id="12" name="ganancia_calc" tableColumnId="12"/>
      <queryTableField id="13" name="costo_devolucion_estimado" tableColumnId="13"/>
      <queryTableField id="58" dataBound="0" tableColumnId="31"/>
      <queryTableField id="50" name="cartera_aplicada" tableColumnId="29"/>
      <queryTableField id="14" name="venta" tableColumnId="14"/>
      <queryTableField id="15" name="flete" tableColumnId="15"/>
      <queryTableField id="16" name="costo_proveedor" tableColumnId="16"/>
      <queryTableField id="17" name="fecha_ult_mov" tableColumnId="17"/>
      <queryTableField id="22" name="dias_desde_ult_mov" tableColumnId="22"/>
      <queryTableField id="18" name="hora_ult_mov" tableColumnId="18"/>
      <queryTableField id="19" name="ultimo_mov" tableColumnId="19"/>
      <queryTableField id="6" name="estatus_original" tableColumnId="6"/>
      <queryTableField id="21" name="estado_unificado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EFBF93-AABC-4F75-B650-89E3521E338C}" name="tblcartera" displayName="tblcartera" ref="A1:B2" insertRow="1" totalsRowShown="0">
  <autoFilter ref="A1:B2" xr:uid="{15EFBF93-AABC-4F75-B650-89E3521E338C}"/>
  <tableColumns count="2">
    <tableColumn id="2" xr3:uid="{5C1A2B3A-43AB-4FD6-A242-A642D485FDAA}" name="Columna2"/>
    <tableColumn id="1" xr3:uid="{582FA4C0-005E-4D6C-B647-4B94D5BEA479}" name="Columna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E0516-5389-43F8-9EA8-017E2BD6E149}" name="tblPedidos" displayName="tblPedidos" ref="A1:AE1065" tableType="queryTable" totalsRowShown="0">
  <autoFilter ref="A1:AE1065" xr:uid="{7E5E0516-5389-43F8-9EA8-017E2BD6E149}"/>
  <sortState xmlns:xlrd2="http://schemas.microsoft.com/office/spreadsheetml/2017/richdata2" ref="A2:AE1065">
    <sortCondition descending="1" ref="D1:D1065"/>
  </sortState>
  <tableColumns count="31">
    <tableColumn id="28" xr3:uid="{9003B123-79AA-4E47-BB6B-427E5FFC6AC8}" uniqueName="28" name="Esatdo Cartera" queryTableFieldId="49"/>
    <tableColumn id="30" xr3:uid="{BBF01E81-BC9C-4248-9AC2-B835E6AC5C6C}" uniqueName="30" name="ESTADO" queryTableFieldId="57"/>
    <tableColumn id="24" xr3:uid="{FE1C2B8D-489E-45CE-A26C-9230EC766240}" uniqueName="24" name="ID" queryTableFieldId="42"/>
    <tableColumn id="1" xr3:uid="{CADB3C3D-3F32-40D3-A270-6F9BA05D925C}" uniqueName="1" name="id_dropi" queryTableFieldId="1" dataDxfId="43"/>
    <tableColumn id="2" xr3:uid="{744927CB-22F1-48F7-BF1A-58FDEBEB68FB}" uniqueName="2" name="fecha" queryTableFieldId="2" dataDxfId="42"/>
    <tableColumn id="3" xr3:uid="{54DEA889-6562-4D02-8152-95B92C2A136E}" uniqueName="3" name="cliente" queryTableFieldId="3" dataDxfId="41"/>
    <tableColumn id="11" xr3:uid="{94F3C01B-964B-498A-955F-22F05A0C11A3}" uniqueName="11" name="transportadora" queryTableFieldId="11" dataDxfId="40"/>
    <tableColumn id="27" xr3:uid="{D089F83F-191A-45E1-A24E-2EB9D6C8C4BE}" uniqueName="27" name="estado_actualizado desde_app" queryTableFieldId="48"/>
    <tableColumn id="25" xr3:uid="{718A1323-0BBC-4B71-8D4D-27074F617B88}" uniqueName="25" name="Estado de guia app (TEMP)" queryTableFieldId="47"/>
    <tableColumn id="23" xr3:uid="{32D2A127-2884-4057-8EA6-2E42837E2B1E}" uniqueName="23" name="estado_operativo" queryTableFieldId="23"/>
    <tableColumn id="5" xr3:uid="{40CAA553-EDC9-438B-8E76-DEFE8353ED36}" uniqueName="5" name="guia" queryTableFieldId="5" dataDxfId="39"/>
    <tableColumn id="7" xr3:uid="{2C03B77B-98C8-4FD3-8D80-88B0CC0992AB}" uniqueName="7" name="despartamento" queryTableFieldId="7" dataDxfId="38"/>
    <tableColumn id="8" xr3:uid="{3BFE4B83-244B-4BB5-8FBD-7FB61C4D00D2}" uniqueName="8" name="ciudad" queryTableFieldId="8" dataDxfId="37"/>
    <tableColumn id="9" xr3:uid="{5B8F8FBA-DFEE-4A7C-9FB5-765FC440618C}" uniqueName="9" name="direccion" queryTableFieldId="9" dataDxfId="36"/>
    <tableColumn id="4" xr3:uid="{00434D55-2447-45CC-80CA-ABAEF8AF959C}" uniqueName="4" name="telefono" queryTableFieldId="4" dataDxfId="35"/>
    <tableColumn id="26" xr3:uid="{183865C2-8CC9-4BCF-BD44-4B9214C3706E}" uniqueName="26" name="Notas Manuales" queryTableFieldId="44" dataDxfId="34">
      <calculatedColumnFormula array="1">IFERROR(_xlfn.XLOOKUP(tblPedidos[[#This Row],[id_dropi]],tblNotas[[#This Row],[id__dropi]],tblNotas[[#This Row],[Notas Manuales]], “”, 0),"")</calculatedColumnFormula>
    </tableColumn>
    <tableColumn id="10" xr3:uid="{DA23A08A-2092-48C9-8BB1-3D5664AC0423}" uniqueName="10" name="notas" queryTableFieldId="10" dataDxfId="33"/>
    <tableColumn id="20" xr3:uid="{CD25AD12-C118-41B1-AB96-A3A4A3719E61}" uniqueName="20" name="Producto" queryTableFieldId="45"/>
    <tableColumn id="12" xr3:uid="{4F9C62D3-561F-4CCA-A172-54AEF78CD2C9}" uniqueName="12" name="ganancia_calc" queryTableFieldId="12"/>
    <tableColumn id="13" xr3:uid="{2FB54DC1-4F5C-4173-93D9-F798BF5DFE85}" uniqueName="13" name="costo_devolucion_estimado" queryTableFieldId="13" dataDxfId="32"/>
    <tableColumn id="31" xr3:uid="{34EBFA6E-FA80-4225-A906-85492E938D60}" uniqueName="31" name="cartera" queryTableFieldId="58" dataDxfId="31">
      <calculatedColumnFormula array="1">IFERROR(_xlfn.IFS(tblPedidos[[#This Row],[estado_operativo]]="ENTREGADO",tblPedidos[[#This Row],[ganancia_calc]],tblPedidos[[#This Row],[estado_operativo]]="DEVOLUCION",tblPedidos[[#This Row],[costo_devolucion_estimado]]),0)</calculatedColumnFormula>
    </tableColumn>
    <tableColumn id="29" xr3:uid="{6E010236-1ABA-4F72-A642-1E40B82A83CA}" uniqueName="29" name="cartera_aplicada" queryTableFieldId="50"/>
    <tableColumn id="14" xr3:uid="{A29F72B3-A74B-4232-82FE-973828E93181}" uniqueName="14" name="venta" queryTableFieldId="14"/>
    <tableColumn id="15" xr3:uid="{2E84C6D5-8848-42F0-B269-C09DC66352C0}" uniqueName="15" name="flete" queryTableFieldId="15"/>
    <tableColumn id="16" xr3:uid="{7D936F52-FE63-4CFB-951A-4190DDCA9647}" uniqueName="16" name="costo_proveedor" queryTableFieldId="16"/>
    <tableColumn id="17" xr3:uid="{D3F1C155-0A17-4C6B-A19A-F87347B76A96}" uniqueName="17" name="fecha_ult_mov" queryTableFieldId="17" dataDxfId="30"/>
    <tableColumn id="22" xr3:uid="{4C715BD2-D8CE-4407-BB3E-BC5BF09A8D4C}" uniqueName="22" name="dias_desde_ult_mov" queryTableFieldId="22"/>
    <tableColumn id="18" xr3:uid="{4400071D-E234-4D7C-954F-7C0E63BFF1F5}" uniqueName="18" name="hora_ult_mov" queryTableFieldId="18" dataDxfId="29"/>
    <tableColumn id="19" xr3:uid="{7BB35FA4-53E7-4304-8B06-8B81B03F9BB1}" uniqueName="19" name="ultimo_mov" queryTableFieldId="19" dataDxfId="28"/>
    <tableColumn id="6" xr3:uid="{C0B67ACC-8D9A-4D0B-9F87-CE79F10D88E5}" uniqueName="6" name="estatus_original" queryTableFieldId="6" dataDxfId="27"/>
    <tableColumn id="21" xr3:uid="{21EEF5DF-D71C-4FA4-AE09-FC59CE084197}" uniqueName="21" name="estado_unificado" queryTableField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5D5CB-576F-4A5C-9C3A-A3BFA73D9E67}" name="tblNotas" displayName="tblNotas" ref="A1:F71" totalsRowShown="0">
  <autoFilter ref="A1:F71" xr:uid="{6F55D5CB-576F-4A5C-9C3A-A3BFA73D9E67}"/>
  <tableColumns count="6">
    <tableColumn id="2" xr3:uid="{24A35DBA-00CA-4B04-95DD-386E08EA6B0C}" name="id__dropi" dataDxfId="26"/>
    <tableColumn id="4" xr3:uid="{14BBEF38-9A0A-447C-8B38-09282A10C90E}" name="Nombre" dataDxfId="25">
      <calculatedColumnFormula>VLOOKUP(tblNotas[[#This Row],[id__dropi]],Pedidos!D:O,5,0)</calculatedColumnFormula>
    </tableColumn>
    <tableColumn id="1" xr3:uid="{3DF5F38C-17E1-4F75-9FC4-21861E094268}" name="telefono" dataDxfId="24">
      <calculatedColumnFormula>VLOOKUP(tblNotas[[#This Row],[id__dropi]],Pedidos!D:O,12,0)</calculatedColumnFormula>
    </tableColumn>
    <tableColumn id="5" xr3:uid="{EFE13F8B-ADC3-4586-B864-B86FA586F6EE}" name="Producto" dataDxfId="23"/>
    <tableColumn id="6" xr3:uid="{13C66002-DFD0-4A68-84E5-0043313CCAC9}" name="Oficina" dataDxfId="22"/>
    <tableColumn id="3" xr3:uid="{F7CFFA39-8AAA-4E86-A947-30DDDDC0C6AE}" name="Notas Manu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apeoEstados" displayName="tblMapeoEstados" ref="A3:D253">
  <autoFilter ref="A3:D253" xr:uid="{00000000-0009-0000-0100-000002000000}"/>
  <sortState xmlns:xlrd2="http://schemas.microsoft.com/office/spreadsheetml/2017/richdata2" ref="A4:D253">
    <sortCondition ref="D3:D253"/>
  </sortState>
  <tableColumns count="4">
    <tableColumn id="1" xr3:uid="{00000000-0010-0000-0100-000001000000}" name="transportadora (opcional)"/>
    <tableColumn id="2" xr3:uid="{00000000-0010-0000-0100-000002000000}" name="estatus_original"/>
    <tableColumn id="3" xr3:uid="{00000000-0010-0000-0100-000003000000}" name="ultimo_movimiento (opcional)"/>
    <tableColumn id="4" xr3:uid="{00000000-0010-0000-0100-000004000000}" name="estado_unific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C4E4BD-12CE-41FF-B2E7-311190642DBA}" name="tblTransportadora" displayName="tblTransportadora" ref="F17:K21" totalsRowShown="0" headerRowDxfId="15" headerRowBorderDxfId="13" tableBorderDxfId="14" totalsRowBorderDxfId="12">
  <autoFilter ref="F17:K21" xr:uid="{C7C4E4BD-12CE-41FF-B2E7-311190642DBA}"/>
  <tableColumns count="6">
    <tableColumn id="1" xr3:uid="{99B0B739-FCBD-41E2-A322-FADAA6AE38D3}" name="Transportadora" dataDxfId="11"/>
    <tableColumn id="2" xr3:uid="{3B62D038-C1D7-4E0C-8455-4A154E4C900F}" name="Pedidos" dataDxfId="10">
      <calculatedColumnFormula>COUNTIFS(tblPedidos[transportadora],tblTransportadora[[#This Row],[Transportadora]])</calculatedColumnFormula>
    </tableColumn>
    <tableColumn id="3" xr3:uid="{2171ACB9-07EB-4B0B-93F0-BEF422AC1DB9}" name="Entregados" dataDxfId="9">
      <calculatedColumnFormula>COUNTIFS(tblPedidos[transportadora],tblTransportadora[[#This Row],[Transportadora]],tblPedidos[estado_operativo],"ENTREGADO")</calculatedColumnFormula>
    </tableColumn>
    <tableColumn id="4" xr3:uid="{148E5F52-4EF9-4E29-BA15-05430FE6E98B}" name="Devolución" dataDxfId="8">
      <calculatedColumnFormula>COUNTIFS(tblPedidos[transportadora],tblTransportadora[[#This Row],[Transportadora]],tblPedidos[estado_operativo],"DEVOLUCION")</calculatedColumnFormula>
    </tableColumn>
    <tableColumn id="5" xr3:uid="{420D4A12-26A3-4ECB-A4D8-7C46456B628D}" name="% Devol." dataDxfId="7">
      <calculatedColumnFormula>IFERROR(tblTransportadora[[#This Row],[Devolución]]/tblTransportadora[[#This Row],[Pedidos]],0)</calculatedColumnFormula>
    </tableColumn>
    <tableColumn id="7" xr3:uid="{24D64B6F-C42A-4F8C-B48E-34E5B7B9BAAE}" name="% Entr" dataDxfId="6" dataCellStyle="Porcentaje">
      <calculatedColumnFormula>IFERROR(tblTransportadora[[#This Row],[Entregados]]/tblTransportadora[[#This Row],[Pedidos]],0)</calculatedColumnFormula>
    </tableColumn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7D8ACF-9876-46A5-B267-FE4207262BAF}" name="tblDistribucionEstados" displayName="tblDistribucionEstados" ref="B17:C31" totalsRowShown="0" headerRowDxfId="5" headerRowBorderDxfId="3" tableBorderDxfId="4" totalsRowBorderDxfId="2">
  <autoFilter ref="B17:C31" xr:uid="{ED7D8ACF-9876-46A5-B267-FE4207262BAF}"/>
  <tableColumns count="2">
    <tableColumn id="1" xr3:uid="{3B731AF6-CE6C-4B9A-9C6B-E02BAE8DF8BE}" name="Estado" dataDxfId="1"/>
    <tableColumn id="2" xr3:uid="{C353C7F1-518E-41ED-AED5-C66C03DAEDA5}" name="Pedidos" dataDxfId="0">
      <calculatedColumnFormula>IFERROR(COUNTIFS(tblPedidos[estado_operativo],B18),0)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tadosEncontrados" displayName="tblEstadosEncontrados" ref="A3:D6">
  <autoFilter ref="A3:D6" xr:uid="{00000000-0009-0000-0100-000003000000}"/>
  <tableColumns count="4">
    <tableColumn id="1" xr3:uid="{00000000-0010-0000-0200-000001000000}" name="transportadora"/>
    <tableColumn id="2" xr3:uid="{00000000-0010-0000-0200-000002000000}" name="estatus_original"/>
    <tableColumn id="3" xr3:uid="{00000000-0010-0000-0200-000003000000}" name="ultimo_movimiento"/>
    <tableColumn id="4" xr3:uid="{00000000-0010-0000-0200-000004000000}" name="suger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62" dT="2026-01-17T16:23:27.86" personId="{89DAAEF7-22A5-46D0-95C4-A7DF903B17FA}" id="{03BAF09C-47E6-42B2-84EB-169872FAE886}">
    <text>3 INTENTOS - CLIENTE NO CONTESTA</text>
  </threadedComment>
  <threadedComment ref="F365" dT="2026-01-20T18:56:35.58" personId="{89DAAEF7-22A5-46D0-95C4-A7DF903B17FA}" id="{E51989ED-E456-4866-90EC-63E43F924B2B}">
    <text>Llamara a oficina para que se lo guarden hasta el viernes. NO tiene con quien dejar los niños.</text>
  </threadedComment>
  <threadedComment ref="F383" dT="2026-01-20T18:40:04.23" personId="{89DAAEF7-22A5-46D0-95C4-A7DF903B17FA}" id="{ED101731-C46B-4209-80DC-3B809BB87808}">
    <text xml:space="preserve">Contesta el esposo que no esta, se deja razón. </text>
  </threadedComment>
  <threadedComment ref="F397" dT="2026-01-20T18:47:14.52" personId="{89DAAEF7-22A5-46D0-95C4-A7DF903B17FA}" id="{B80F20D5-5D6D-4A65-A5C2-5C5C8F2BA63A}">
    <text>Reclama 21/01 a las 8:00am</text>
  </threadedComment>
  <threadedComment ref="F401" dT="2026-01-17T17:27:46.20" personId="{89DAAEF7-22A5-46D0-95C4-A7DF903B17FA}" id="{7120C833-C07E-47B9-AC17-9AD02076A825}">
    <text>Numero inhabilitado - llamada terminada sin tono</text>
  </threadedComment>
  <threadedComment ref="F442" dT="2026-01-20T18:22:51.74" personId="{89DAAEF7-22A5-46D0-95C4-A7DF903B17FA}" id="{BC6C5185-76D2-4A4A-BE5E-2B157044BB63}">
    <text>RECLAMADO 20/01</text>
  </threadedComment>
  <threadedComment ref="F446" dT="2026-01-20T18:20:34.56" personId="{89DAAEF7-22A5-46D0-95C4-A7DF903B17FA}" id="{A9964296-3E54-492C-9A61-9CE1A09EC626}">
    <text>Reclama hoy 20/01 en la tarde, manda a la muchacha que se esta organizando jaja</text>
  </threadedComment>
  <threadedComment ref="F448" dT="2026-01-20T18:23:01.19" personId="{89DAAEF7-22A5-46D0-95C4-A7DF903B17FA}" id="{7964529E-AC5E-4B90-921A-049BA86F22A0}">
    <text>Se envia plantilla por Whatsapp y se llama y dice recoger ahora a las 9:00am</text>
  </threadedComment>
  <threadedComment ref="F454" dT="2026-01-20T18:10:54.63" personId="{89DAAEF7-22A5-46D0-95C4-A7DF903B17FA}" id="{BEAB170C-8DA0-4BE5-B056-90BE94AD7473}">
    <text>No contesta ni suena buzón solo repica - 3 intentos</text>
  </threadedComment>
  <threadedComment ref="F470" dT="2026-01-20T18:34:30.11" personId="{89DAAEF7-22A5-46D0-95C4-A7DF903B17FA}" id="{4F785C30-B014-426F-9189-179D162E7EED}">
    <text>Repica hasta buzón, no contesta 3 intentos</text>
  </threadedComment>
  <threadedComment ref="F472" dT="2026-01-20T00:32:16.19" personId="{89DAAEF7-22A5-46D0-95C4-A7DF903B17FA}" id="{65094175-6C48-4D42-8281-4CD9BF425496}">
    <text>Reclama mañana 20Jan o miércoles en la mañana</text>
  </threadedComment>
  <threadedComment ref="F474" dT="2026-01-20T18:36:18.04" personId="{89DAAEF7-22A5-46D0-95C4-A7DF903B17FA}" id="{D2E6CC80-2355-47E5-8C0D-9344F177BB9C}">
    <text>Llamada se corta sin repicar / 3 intentos - ok recordatorio wpp</text>
  </threadedComment>
  <threadedComment ref="F478" dT="2026-01-20T00:32:02.86" personId="{89DAAEF7-22A5-46D0-95C4-A7DF903B17FA}" id="{03E50E5A-E719-4D78-BAB0-7D1A5858BC7F}">
    <text xml:space="preserve">Telefono apagado, correo inmediato. </text>
  </threadedComment>
  <threadedComment ref="F483" dT="2026-01-20T18:25:57.88" personId="{89DAAEF7-22A5-46D0-95C4-A7DF903B17FA}" id="{F0E76AE1-FBE0-4161-86D0-7E9C90937851}">
    <text>Reclama mañana 21/01 - esta de viaje en Pasto</text>
  </threadedComment>
  <threadedComment ref="F487" dT="2026-01-20T18:20:05.27" personId="{89DAAEF7-22A5-46D0-95C4-A7DF903B17FA}" id="{2F5193E6-F48A-4FC1-960F-7F13EE3BE3E3}">
    <text>Repica hasta buzon - 3 intentos </text>
  </threadedComment>
  <threadedComment ref="F493" dT="2026-01-20T18:03:51.96" personId="{89DAAEF7-22A5-46D0-95C4-A7DF903B17FA}" id="{0C5A0F89-2D8D-41C5-9779-2F71488D91FF}">
    <text>Reclama mañana 21/01</text>
  </threadedComment>
  <threadedComment ref="F494" dT="2026-01-20T18:05:11.09" personId="{89DAAEF7-22A5-46D0-95C4-A7DF903B17FA}" id="{8562AD70-1A89-4938-8606-4F65B0108A68}">
    <text>Reclama mañana 21/01 - esta de viaje</text>
  </threadedComment>
  <threadedComment ref="F498" dT="2026-01-20T23:41:36.36" personId="{89DAAEF7-22A5-46D0-95C4-A7DF903B17FA}" id="{886DFF7F-A6E5-495D-A5D6-93084634B27F}">
    <text>Se contacta y dice que es de vereda que esta semana va</text>
  </threadedComment>
  <threadedComment ref="F500" dT="2026-01-20T15:56:20.64" personId="{89DAAEF7-22A5-46D0-95C4-A7DF903B17FA}" id="{497F800E-ED28-4A5D-AC87-DD3BB1758A65}">
    <text xml:space="preserve">Repica hasta buzón - 3 intentos </text>
  </threadedComment>
  <threadedComment ref="F505" dT="2026-01-20T16:00:16.34" personId="{89DAAEF7-22A5-46D0-95C4-A7DF903B17FA}" id="{D42BAACD-1019-4AFC-8078-B120AEFAC806}">
    <text xml:space="preserve">No se encuentra, se deja razón. </text>
  </threadedComment>
  <threadedComment ref="F506" dT="2026-01-20T17:54:41.53" personId="{89DAAEF7-22A5-46D0-95C4-A7DF903B17FA}" id="{E9AD50D3-ED70-48F1-B537-8D2C8D1FB5E6}">
    <text>Repica hasta buzón, no contesta 3 intentos</text>
  </threadedComment>
  <threadedComment ref="F517" dT="2026-01-20T18:11:07.18" personId="{89DAAEF7-22A5-46D0-95C4-A7DF903B17FA}" id="{2EBF72D8-5D51-4C4B-813F-83CC83F394D1}">
    <text>RECLAMADO </text>
  </threadedComment>
  <threadedComment ref="F518" dT="2026-01-20T18:11:02.78" personId="{89DAAEF7-22A5-46D0-95C4-A7DF903B17FA}" id="{CD6AEA67-CB2C-4DCC-A0BB-0DED263E687D}">
    <text>RECLAMADO </text>
  </threadedComment>
  <threadedComment ref="F519" dT="2026-01-20T23:45:45.49" personId="{89DAAEF7-22A5-46D0-95C4-A7DF903B17FA}" id="{E4E9E2EC-C890-4B36-BDF7-6FC049FA380B}">
    <text xml:space="preserve">reclamado va a pedir garantía
</text>
  </threadedComment>
  <threadedComment ref="F522" dT="2026-01-21T20:05:57.67" personId="{89DAAEF7-22A5-46D0-95C4-A7DF903B17FA}" id="{8AB74B34-DF59-4865-A793-096B58B30EA5}">
    <text>El pedido es de la sobrina, que reclama mañana 21 de Enero</text>
  </threadedComment>
  <threadedComment ref="F527" dT="2026-01-21T20:06:22.86" personId="{89DAAEF7-22A5-46D0-95C4-A7DF903B17FA}" id="{44234E54-6E22-44E1-98DB-22D84F9E033A}">
    <text>Por chat dice que el domingo pasa por el, se le envían audios porque no sabe leer</text>
  </threadedComment>
  <threadedComment ref="F535" dT="2026-01-20T00:25:18.18" personId="{89DAAEF7-22A5-46D0-95C4-A7DF903B17FA}" id="{2BDDE73B-0DD6-4C86-916E-5473EB46354C}">
    <text>Reclama a mas tardar miercoles 21 en la mañana</text>
  </threadedComment>
  <threadedComment ref="F536" dT="2026-01-20T23:50:49.06" personId="{89DAAEF7-22A5-46D0-95C4-A7DF903B17FA}" id="{CD1522DE-F80A-4B12-AB9E-AB383D7BD07D}">
    <text>Reclama mañana 21 Jan en la mañana</text>
  </threadedComment>
  <threadedComment ref="F539" dT="2026-01-17T17:32:41.74" personId="{89DAAEF7-22A5-46D0-95C4-A7DF903B17FA}" id="{DF4ADDB3-9E7A-477D-954B-9B0BACFA7515}">
    <text>Reclama Lunes 19 a primera hora</text>
  </threadedComment>
  <threadedComment ref="F545" dT="2026-01-17T17:39:08.06" personId="{89DAAEF7-22A5-46D0-95C4-A7DF903B17FA}" id="{830EFDAE-1B04-4537-B674-F3357017DF96}">
    <text>3 INTENTOS - CLIENTE NO CONTESTA</text>
  </threadedComment>
  <threadedComment ref="F548" dT="2026-01-20T23:47:05.59" personId="{89DAAEF7-22A5-46D0-95C4-A7DF903B17FA}" id="{B1DA5E40-FFB4-4972-AFD9-9072C7CDDDD1}">
    <text>En saludo cuelga y no vuelve a contestar 20/01</text>
  </threadedComment>
  <threadedComment ref="F552" dT="2026-01-20T23:50:41.62" personId="{89DAAEF7-22A5-46D0-95C4-A7DF903B17FA}" id="{66A6BF98-C254-4DBD-96F5-62FC996B0573}">
    <text>Reclama mañana 21 Jan</text>
  </threadedComment>
  <threadedComment ref="F554" dT="2026-01-17T17:15:13.83" personId="{89DAAEF7-22A5-46D0-95C4-A7DF903B17FA}" id="{1932C3E2-3DC0-4B48-B7B2-D20DBF5C9828}">
    <text>Cliente reclama Lunes 19Jan</text>
  </threadedComment>
  <threadedComment ref="F558" dT="2026-01-17T17:31:16.99" personId="{89DAAEF7-22A5-46D0-95C4-A7DF903B17FA}" id="{5E1AEDBE-7DED-4895-AB09-C10650349EA8}">
    <text>Numero sin señal al parecer - pito y correo</text>
  </threadedComment>
  <threadedComment ref="F582" dT="2026-01-17T17:42:02.79" personId="{89DAAEF7-22A5-46D0-95C4-A7DF903B17FA}" id="{19C1FEF9-CF23-4E05-AC23-DB408CC4678C}">
    <text>No se encuentra, se deja razón</text>
  </threadedComment>
  <threadedComment ref="F590" dT="2026-01-17T17:45:20.27" personId="{89DAAEF7-22A5-46D0-95C4-A7DF903B17FA}" id="{5FFD3EDC-D034-4F31-B3E5-D9E3E6C4087F}">
    <text>ULTIMO CONTACTO VIERNES 16 JAN</text>
  </threadedComment>
  <threadedComment ref="F596" dT="2026-01-17T16:36:50.92" personId="{89DAAEF7-22A5-46D0-95C4-A7DF903B17FA}" id="{37C1B847-0326-4392-B1F1-168E5F59081A}">
    <text>Contactada 16Jan - 42 seg</text>
  </threadedComment>
  <threadedComment ref="F601" dT="2026-01-19T21:10:56.52" personId="{89DAAEF7-22A5-46D0-95C4-A7DF903B17FA}" id="{25030CC6-36C6-45D9-83FD-4A33E7182BA5}">
    <text>No contesta 3 intentos</text>
  </threadedComment>
  <threadedComment ref="F602" dT="2026-01-17T17:45:16.21" personId="{89DAAEF7-22A5-46D0-95C4-A7DF903B17FA}" id="{6850B8EE-CCE3-4D4F-AC9A-C8085CAE5599}">
    <text>ULTIMO CONTACTO VIERNES 16 JAN</text>
  </threadedComment>
  <threadedComment ref="F603" dT="2026-01-17T16:35:00.56" personId="{89DAAEF7-22A5-46D0-95C4-A7DF903B17FA}" id="{68F5C4C5-C1E8-4585-A5EE-04C759CDE2AD}">
    <text>3 INTENTOS - CLIENTE NO CONTESTA</text>
  </threadedComment>
  <threadedComment ref="F612" dT="2026-01-19T20:03:55.34" personId="{89DAAEF7-22A5-46D0-95C4-A7DF903B17FA}" id="{F83AD4CA-A8E4-4EDF-8F0F-AFAF25F9F0D6}">
    <text xml:space="preserve">Cuelga  cuando le notifico que pase por el pedido. </text>
  </threadedComment>
  <threadedComment ref="F615" dT="2026-01-17T16:25:15.78" personId="{89DAAEF7-22A5-46D0-95C4-A7DF903B17FA}" id="{CC85723C-695B-4FBE-94D3-C042CDBD5769}">
    <text>RECLAMADO</text>
  </threadedComment>
  <threadedComment ref="F618" dT="2026-01-19T20:01:19.96" personId="{89DAAEF7-22A5-46D0-95C4-A7DF903B17FA}" id="{80568037-B664-4E87-929A-7DA1A8DC1242}">
    <text xml:space="preserve">19Jan dice que ya va para Barbosa </text>
  </threadedComment>
  <threadedComment ref="F625" dT="2026-01-17T16:14:56.05" personId="{89DAAEF7-22A5-46D0-95C4-A7DF903B17FA}" id="{5E68023F-0C4B-4C6C-BA9E-C650B74DB2F1}">
    <text>3 intentos cliente no contesta deja ir a buzon</text>
  </threadedComment>
  <threadedComment ref="F627" dT="2026-01-17T15:52:21.60" personId="{89DAAEF7-22A5-46D0-95C4-A7DF903B17FA}" id="{2EBC6BD9-D576-41D5-A8EB-C9ECC3AEE5D2}">
    <text>Cliente contactada 16jan 2 min</text>
  </threadedComment>
  <threadedComment ref="F630" dT="2026-01-19T19:58:28.00" personId="{89DAAEF7-22A5-46D0-95C4-A7DF903B17FA}" id="{B5BB5C1A-1C5D-4FEB-9A6F-5F2F08E0C998}">
    <text>Cliente sin señal - no ingresa llamada /ya tiene 2 recordatorios de bot</text>
  </threadedComment>
  <threadedComment ref="F633" dT="2026-01-19T22:57:45.97" personId="{89DAAEF7-22A5-46D0-95C4-A7DF903B17FA}" id="{135A0353-EB91-426B-A432-48B3A0C79F0A}">
    <text xml:space="preserve">Cliente reclama mañana 20 de Enero </text>
  </threadedComment>
  <threadedComment ref="F634" dT="2026-01-21T00:32:41.50" personId="{89DAAEF7-22A5-46D0-95C4-A7DF903B17FA}" id="{7ABCB353-2C7F-4DB2-840F-E508859746A9}">
    <text>21/01 Repica hasta buzon - no contesta 3 intentos</text>
  </threadedComment>
  <threadedComment ref="F638" dT="2026-01-21T00:27:30.99" personId="{89DAAEF7-22A5-46D0-95C4-A7DF903B17FA}" id="{6544BA18-8DC9-4A74-A15D-03C1C53BAE16}">
    <text xml:space="preserve">21/01 No contesta 3 intentos </text>
  </threadedComment>
  <threadedComment ref="F639" dT="2026-01-19T19:56:23.68" personId="{89DAAEF7-22A5-46D0-95C4-A7DF903B17FA}" id="{85E47FB0-9CDB-4259-AEB2-12D5FA80D4C6}">
    <text>No contesta 3 intentos</text>
  </threadedComment>
  <threadedComment ref="F639" dT="2026-01-21T20:43:41.88" personId="{89DAAEF7-22A5-46D0-95C4-A7DF903B17FA}" id="{33CBB3DF-4862-48E7-87AE-455622707E30}" parentId="{85E47FB0-9CDB-4259-AEB2-12D5FA80D4C6}">
    <text xml:space="preserve">21/01 Correo de voz directo </text>
  </threadedComment>
  <threadedComment ref="F642" dT="2026-01-17T16:17:21.49" personId="{89DAAEF7-22A5-46D0-95C4-A7DF903B17FA}" id="{78976C5B-C4CA-45B2-B9B6-00CFFB12913D}">
    <text>3 intentos - llamada terminada sin alo.</text>
  </threadedComment>
  <threadedComment ref="F643" dT="2026-01-17T15:54:49.50" personId="{89DAAEF7-22A5-46D0-95C4-A7DF903B17FA}" id="{27F0241C-B7E8-489C-BFE0-9DF130374D6C}">
    <text>Cliente reclama hoy 17jan</text>
  </threadedComment>
  <threadedComment ref="F644" dT="2026-01-19T23:09:46.86" personId="{89DAAEF7-22A5-46D0-95C4-A7DF903B17FA}" id="{235461C6-0FCC-47BA-B1D3-BA2DB567D7AD}">
    <text xml:space="preserve">3 intentos de llamada y no responde </text>
  </threadedComment>
  <threadedComment ref="F645" dT="2026-01-17T16:19:06.62" personId="{89DAAEF7-22A5-46D0-95C4-A7DF903B17FA}" id="{0A5B917C-A88F-46E6-9F2D-E955F85720B6}">
    <text>RECLAMADO</text>
  </threadedComment>
  <threadedComment ref="F649" dT="2026-01-21T00:30:06.56" personId="{89DAAEF7-22A5-46D0-95C4-A7DF903B17FA}" id="{1E13DC74-52E4-4A23-910D-97358923CC73}">
    <text xml:space="preserve">21/01 Correo de voz directo </text>
  </threadedComment>
  <threadedComment ref="F653" dT="2026-01-17T16:31:30.66" personId="{89DAAEF7-22A5-46D0-95C4-A7DF903B17FA}" id="{9A8610B4-B014-4649-81E7-2743C73B23A4}">
    <text>INGRESA A CORREO DE VOZ DIRECTAMENTE</text>
  </threadedComment>
  <threadedComment ref="F660" dT="2026-01-19T23:33:26.06" personId="{89DAAEF7-22A5-46D0-95C4-A7DF903B17FA}" id="{C91A78C9-7A77-48AE-B954-8FF4E8D8528A}">
    <text>Se le sugiere que se las venda a alguien mas y se da plazo de esta semana o hasta que genere devolucion</text>
  </threadedComment>
  <threadedComment ref="F661" dT="2026-01-17T16:21:26.27" personId="{89DAAEF7-22A5-46D0-95C4-A7DF903B17FA}" id="{1C5F27D3-600E-4611-B324-54742C616A20}">
    <text>3 INTENTOS - CLIENTE NO CONTESTA</text>
  </threadedComment>
  <threadedComment ref="F661" dT="2026-01-21T20:43:26.04" personId="{89DAAEF7-22A5-46D0-95C4-A7DF903B17FA}" id="{32A46C68-AF46-4DEC-AA15-6F07F177A7D6}" parentId="{1C5F27D3-600E-4611-B324-54742C616A20}">
    <text>Reclama Jueves 22 de Enero </text>
  </threadedComment>
  <threadedComment ref="F663" dT="2026-01-19T20:07:50.37" personId="{89DAAEF7-22A5-46D0-95C4-A7DF903B17FA}" id="{6CB28ECC-2636-4B78-9FAD-D460D7EA9317}">
    <text>No contesta 3 intentos</text>
  </threadedComment>
  <threadedComment ref="F663" dT="2026-01-20T15:54:12.52" personId="{89DAAEF7-22A5-46D0-95C4-A7DF903B17FA}" id="{E9845758-0E63-494C-968A-A76CBE401D6A}" parentId="{6CB28ECC-2636-4B78-9FAD-D460D7EA9317}">
    <text xml:space="preserve">Reclama Jueves 22 de Enero </text>
  </threadedComment>
  <threadedComment ref="F664" dT="2026-01-17T17:06:08.73" personId="{89DAAEF7-22A5-46D0-95C4-A7DF903B17FA}" id="{6A3D70D4-3D61-45E1-8295-F80E9409F559}">
    <text>Cliente cuelga apenas le digo que es por el cepillo</text>
  </threadedComment>
  <threadedComment ref="F669" dT="2026-01-17T17:11:13.19" personId="{89DAAEF7-22A5-46D0-95C4-A7DF903B17FA}" id="{7E8C3A51-518B-4A7F-89D7-72615F5C09A6}">
    <text>RECLAMADO</text>
  </threadedComment>
  <threadedComment ref="F670" dT="2026-01-19T20:05:35.77" personId="{89DAAEF7-22A5-46D0-95C4-A7DF903B17FA}" id="{0ECABCF6-D5F0-4F1F-9033-4D98C815AB49}">
    <text>Corta intencionalmente luego de decir de donde llamamos</text>
  </threadedComment>
  <threadedComment ref="F675" dT="2026-01-21T00:03:29.64" personId="{89DAAEF7-22A5-46D0-95C4-A7DF903B17FA}" id="{06B8945B-3E9A-40C0-8EB1-FCE89EBBAB28}">
    <text xml:space="preserve">21/01 Cliente corta en saludo, luego se llama y dice que no esta. </text>
  </threadedComment>
  <threadedComment ref="F680" dT="2026-01-17T17:13:23.93" personId="{89DAAEF7-22A5-46D0-95C4-A7DF903B17FA}" id="{45FE18F2-A09C-44DE-839F-597C22FA3515}">
    <text>3 INTENTOS - CLIENTE NO CONTESTA</text>
  </threadedComment>
  <threadedComment ref="F687" dT="2026-01-17T17:09:25.87" personId="{89DAAEF7-22A5-46D0-95C4-A7DF903B17FA}" id="{EB4ACFBD-AA91-412B-9119-D96089057A8E}">
    <text>Cliente reclama Domingo 18 de Enero</text>
  </threadedComment>
  <threadedComment ref="F690" dT="2026-01-21T00:04:26.76" personId="{89DAAEF7-22A5-46D0-95C4-A7DF903B17FA}" id="{708D3AF9-3064-4090-B257-4D72338A6853}">
    <text>Contactada 19/01 se pierde nota</text>
  </threadedComment>
  <threadedComment ref="F692" dT="2026-01-20T23:56:08.68" personId="{89DAAEF7-22A5-46D0-95C4-A7DF903B17FA}" id="{D5B65D03-D70B-4835-AF9B-21D79192040B}">
    <text>RECLAMADO 19/01</text>
  </threadedComment>
  <threadedComment ref="F693" dT="2026-01-17T17:41:07.27" personId="{89DAAEF7-22A5-46D0-95C4-A7DF903B17FA}" id="{FB0A09E7-ECDC-48F1-B0DC-5AE5561CAEEC}">
    <text>Reclama HOY 17Jan</text>
  </threadedComment>
  <threadedComment ref="F706" dT="2026-01-20T23:54:43.18" personId="{89DAAEF7-22A5-46D0-95C4-A7DF903B17FA}" id="{F9474C82-A690-4585-AEA5-D73B23C488A3}">
    <text xml:space="preserve">Reclama mañana 21Jan en la mañana </text>
  </threadedComment>
  <threadedComment ref="F712" dT="2026-01-20T23:59:34.46" personId="{89DAAEF7-22A5-46D0-95C4-A7DF903B17FA}" id="{7F324D55-7BF7-470B-B36C-4F011FD9E39D}">
    <text>LLAMO A LA OFICINA, RECLAMA ANTES DEL JUEVES 23</text>
  </threadedComment>
  <threadedComment ref="F713" dT="2026-01-17T16:33:54.06" personId="{89DAAEF7-22A5-46D0-95C4-A7DF903B17FA}" id="{F1C1C69B-1B0E-4DB8-BDE4-4E41EFC07DC2}">
    <text>Contesta y al saludar cuelgan - luego rechazan llamada 5 intentos</text>
  </threadedComment>
  <threadedComment ref="F715" dT="2026-01-19T23:55:15.16" personId="{89DAAEF7-22A5-46D0-95C4-A7DF903B17FA}" id="{F07CBABB-D1C8-4AF5-AD4F-F5B6575F44B3}">
    <text>No contesta 3 intentos ya tiene gestión previa</text>
  </threadedComment>
  <threadedComment ref="F716" dT="2026-01-19T23:50:15.76" personId="{89DAAEF7-22A5-46D0-95C4-A7DF903B17FA}" id="{D78F426B-7077-4FCB-84C1-FA12A0407A41}">
    <text>Pedido entregado</text>
  </threadedComment>
  <threadedComment ref="F717" dT="2026-01-17T17:45:11.67" personId="{89DAAEF7-22A5-46D0-95C4-A7DF903B17FA}" id="{6B9DD489-17BA-448C-BFA8-D265C1271DEC}">
    <text>ULTIMO CONTACTO VIERNES 16 JAN</text>
  </threadedComment>
  <threadedComment ref="F718" dT="2026-01-19T23:27:23.93" personId="{89DAAEF7-22A5-46D0-95C4-A7DF903B17FA}" id="{9DE11F16-A802-4637-8D6C-6E7600D6F039}">
    <text>Me mintió, dice que ya va a reclamar mañana o el miércoles</text>
  </threadedComment>
  <threadedComment ref="F719" dT="2026-01-19T23:18:15.88" personId="{89DAAEF7-22A5-46D0-95C4-A7DF903B17FA}" id="{5B6B45FA-8059-4C3C-BD94-D1C1CA79E49E}">
    <text xml:space="preserve">No contesta 3 intentos </text>
  </threadedComment>
  <threadedComment ref="F719" dT="2026-01-19T23:43:52.35" personId="{89DAAEF7-22A5-46D0-95C4-A7DF903B17FA}" id="{6B8E5E26-86AA-408B-AEF7-7D08F198ED09}" parentId="{5B6B45FA-8059-4C3C-BD94-D1C1CA79E49E}">
    <text>Reclamado 19/01 cliente retorna llamada</text>
  </threadedComment>
  <threadedComment ref="F721" dT="2026-01-21T00:09:14.76" personId="{89DAAEF7-22A5-46D0-95C4-A7DF903B17FA}" id="{B3BAC2F0-0541-4018-9D09-027295158D4C}">
    <text>Cliente con gestiones previas dijo que reclamaba 17Enero- 21/01 No contesta.</text>
  </threadedComment>
  <threadedComment ref="F723" dT="2026-01-19T23:48:28.80" personId="{89DAAEF7-22A5-46D0-95C4-A7DF903B17FA}" id="{CF488D4B-9E20-4A92-B27B-57559A97166C}">
    <text xml:space="preserve">No Contesta 3 intentos 19/01 ya había sido llamada previamente </text>
  </threadedComment>
  <threadedComment ref="F725" dT="2026-01-19T21:22:54.66" personId="{89DAAEF7-22A5-46D0-95C4-A7DF903B17FA}" id="{952B409D-B14C-488C-8762-F011144E7248}">
    <text>RECLAMA MAÑANA 20 DE ENERO</text>
  </threadedComment>
  <threadedComment ref="F726" dT="2026-01-19T22:52:14.68" personId="{89DAAEF7-22A5-46D0-95C4-A7DF903B17FA}" id="{B26CE63F-D7F7-49C5-93AE-6D19E44AF2A8}">
    <text>1. Dice que reclama lunes 19 / 2. Contesta y cuando me identifico cuelga.</text>
  </threadedComment>
  <threadedComment ref="F727" dT="2026-01-19T21:30:06.60" personId="{89DAAEF7-22A5-46D0-95C4-A7DF903B17FA}" id="{E102F72D-8856-4D4D-986B-A8C07AAE69B5}">
    <text>No contesta 3 intentos</text>
  </threadedComment>
  <threadedComment ref="F730" dT="2026-01-17T16:27:49.69" personId="{89DAAEF7-22A5-46D0-95C4-A7DF903B17FA}" id="{78505D8D-660F-43A9-98E2-0B0051040F5A}">
    <text>3 INTENTOS - CLIENTE NO CONTESTA</text>
  </threadedComment>
  <threadedComment ref="F730" dT="2026-01-17T16:29:15.88" personId="{89DAAEF7-22A5-46D0-95C4-A7DF903B17FA}" id="{6383E489-5A32-4612-98B1-E70FA73787BF}" parentId="{78505D8D-660F-43A9-98E2-0B0051040F5A}">
    <text>CLIENTE REGRESA LA LLAMADA-YA RECLAMÓ</text>
  </threadedComment>
  <threadedComment ref="F734" dT="2026-01-17T16:44:48.70" personId="{89DAAEF7-22A5-46D0-95C4-A7DF903B17FA}" id="{551B74E8-207E-4728-91F1-DC186FC2F271}">
    <text>No repica Correo de Voz directo</text>
  </threadedComment>
  <threadedComment ref="F735" dT="2026-01-19T23:23:41.98" personId="{89DAAEF7-22A5-46D0-95C4-A7DF903B17FA}" id="{6918F16B-538C-4641-A626-0019EAEB4634}">
    <text>19/01 cliente pregunta el precio se siente dudosa, dice que mañana 20Jan</text>
  </threadedComment>
  <threadedComment ref="F738" dT="2026-01-17T16:43:25.72" personId="{89DAAEF7-22A5-46D0-95C4-A7DF903B17FA}" id="{06598647-8A47-4AEE-AACF-5D593A39C91F}">
    <text>RECLAMA LUN 19 EN LA MAÑANA</text>
  </threadedComment>
  <threadedComment ref="F739" dT="2026-01-19T23:52:33.27" personId="{89DAAEF7-22A5-46D0-95C4-A7DF903B17FA}" id="{0237658B-268E-4DFD-A80E-0A444CE33136}">
    <text>Pedido reclamado 19/01</text>
  </threadedComment>
  <threadedComment ref="F740" dT="2026-01-17T16:37:35.30" personId="{89DAAEF7-22A5-46D0-95C4-A7DF903B17FA}" id="{346B17F0-BF6E-420B-98E5-FCB5302A3451}">
    <text>Contactada 16Jan - 31 Segundos</text>
  </threadedComment>
  <threadedComment ref="F744" dT="2026-01-21T00:07:01.41" personId="{89DAAEF7-22A5-46D0-95C4-A7DF903B17FA}" id="{5C0FDE2F-C29A-48AE-B2CC-A3D78D6763AA}">
    <text>Se llama Sab 17 sin contacto - Lun19 sin contacto 3 intentos</text>
  </threadedComment>
  <threadedComment ref="F746" dT="2026-01-17T16:35:57.34" personId="{89DAAEF7-22A5-46D0-95C4-A7DF903B17FA}" id="{41EBF860-5E60-4D9F-B211-FFFA4BFB314D}">
    <text>Intentos Enero 16-17 directo a correo de voz</text>
  </threadedComment>
  <threadedComment ref="F754" dT="2026-01-21T00:06:28.00" personId="{89DAAEF7-22A5-46D0-95C4-A7DF903B17FA}" id="{A13941C3-5020-45C7-94C2-770C7719C2FD}">
    <text>Reclama hoy en la tarde 19Jan</text>
  </threadedComment>
  <threadedComment ref="F758" dT="2026-01-17T17:45:04.86" personId="{89DAAEF7-22A5-46D0-95C4-A7DF903B17FA}" id="{8875AF83-1207-4E75-90FE-4C713302F2F0}">
    <text>ULTIMO CONTACTO VIERNES 16 JAN</text>
  </threadedComment>
  <threadedComment ref="F762" dT="2026-01-17T15:30:13.73" personId="{89DAAEF7-22A5-46D0-95C4-A7DF903B17FA}" id="{3CE7B082-C0B3-441B-AE81-300E911B0621}">
    <text>Contactada el 16Jan</text>
  </threadedComment>
  <threadedComment ref="F766" dT="2026-01-17T15:30:47.93" personId="{89DAAEF7-22A5-46D0-95C4-A7DF903B17FA}" id="{B2D9582E-9E38-4179-B54D-FC7E21907E42}">
    <text>Contactada 16Jan</text>
  </threadedComment>
  <threadedComment ref="F767" dT="2026-01-19T19:54:02.30" personId="{89DAAEF7-22A5-46D0-95C4-A7DF903B17FA}" id="{81D051B4-8880-43CE-A5F5-3C75211A0F41}">
    <text>Reclama hoy 19 de Enero</text>
  </threadedComment>
  <threadedComment ref="F769" dT="2026-01-19T22:54:40.49" personId="{89DAAEF7-22A5-46D0-95C4-A7DF903B17FA}" id="{D139F09E-9B72-4814-B6D1-A1494CC50F69}">
    <text>Se llama Sab 17 sin contacto - Lun19 sin contacto 3 intentos</text>
  </threadedComment>
  <threadedComment ref="F776" dT="2026-01-17T15:33:22.03" personId="{89DAAEF7-22A5-46D0-95C4-A7DF903B17FA}" id="{AFC1818F-9E2C-473C-A1FF-A5348D92682F}">
    <text>Cliente reclama hoy 17jan en la tarde</text>
  </threadedComment>
  <threadedComment ref="F780" dT="2026-01-17T15:46:36.30" personId="{89DAAEF7-22A5-46D0-95C4-A7DF903B17FA}" id="{D4F8F622-C1F2-4ABE-8181-6B6943FC08BF}">
    <text>3 intentos sin respuesta, repica hasta buzón 17jan</text>
  </threadedComment>
  <threadedComment ref="F782" dT="2026-01-17T15:43:09.27" personId="{89DAAEF7-22A5-46D0-95C4-A7DF903B17FA}" id="{E5C27938-A360-478D-90E5-55615D2E359A}">
    <text>Cliente gestiona con Inter rapidísimo para que se lo envíen en chiva.</text>
  </threadedComment>
  <threadedComment ref="F788" dT="2026-01-17T15:51:32.56" personId="{89DAAEF7-22A5-46D0-95C4-A7DF903B17FA}" id="{D45C9F74-9564-48EB-BBCA-0BDCFDB7591B}">
    <text>No ingresa llamada, se finaliza de inmediato</text>
  </threadedComment>
  <threadedComment ref="F791" dT="2026-01-17T16:38:18.12" personId="{89DAAEF7-22A5-46D0-95C4-A7DF903B17FA}" id="{A656046F-2E8A-4A8C-9F13-C1493F381823}">
    <text>Contactada ayer 16Jan - 1 minuto</text>
  </threadedComment>
  <threadedComment ref="F792" dT="2026-01-17T17:45:08.08" personId="{89DAAEF7-22A5-46D0-95C4-A7DF903B17FA}" id="{1555B4DE-6BD1-44FE-925F-C277111BD026}">
    <text>ULTIMO CONTACTO VIERNES 16 JAN</text>
  </threadedComment>
  <threadedComment ref="F796" dT="2026-01-17T17:45:32.83" personId="{89DAAEF7-22A5-46D0-95C4-A7DF903B17FA}" id="{C759459C-9D14-44D9-93A0-5300EB1F3B29}">
    <text>ULTIMO CONTACTO VIERNES 16 JAN</text>
  </threadedComment>
  <threadedComment ref="F799" dT="2026-01-17T17:45:25.61" personId="{89DAAEF7-22A5-46D0-95C4-A7DF903B17FA}" id="{0DF783E3-0B80-4BD2-B96F-4657E3C4BE19}">
    <text>ULTIMO CONTACTO VIERNES 16 JAN</text>
  </threadedComment>
  <threadedComment ref="F802" dT="2026-01-17T15:50:29.69" personId="{89DAAEF7-22A5-46D0-95C4-A7DF903B17FA}" id="{A3D793E4-48DA-46DE-8B7C-FAF6501652FC}">
    <text>3 intentos sin respuesta - repica hasta buzon</text>
  </threadedComment>
  <threadedComment ref="F805" dT="2026-01-17T15:43:49.88" personId="{89DAAEF7-22A5-46D0-95C4-A7DF903B17FA}" id="{B6EABAA7-6C3C-426F-BA28-59336C58D5F0}">
    <text>Cliente contactada 16Jan</text>
  </threadedComment>
  <threadedComment ref="F815" dT="2026-01-20T15:54:29.71" personId="{89DAAEF7-22A5-46D0-95C4-A7DF903B17FA}" id="{2D4549F9-10D0-4378-884D-F6A99A84CAE7}">
    <text xml:space="preserve">Pasa por el hoy 20/01
</text>
  </threadedComment>
  <threadedComment ref="F821" dT="2026-01-17T17:44:54.36" personId="{89DAAEF7-22A5-46D0-95C4-A7DF903B17FA}" id="{BFA3E8ED-DB36-4FAB-A7D2-1AD1199CBBEC}">
    <text>ULTIMO CONTACTO VIERNES 16 JAN</text>
  </threadedComment>
  <threadedComment ref="F826" dT="2026-01-21T00:12:08.34" personId="{89DAAEF7-22A5-46D0-95C4-A7DF903B17FA}" id="{CAE19D90-DC86-40F7-96EE-C0D34B5BE09C}">
    <text>Numero telefónico no esta disponible.</text>
  </threadedComment>
  <threadedComment ref="F830" dT="2026-01-17T17:45:01.11" personId="{89DAAEF7-22A5-46D0-95C4-A7DF903B17FA}" id="{2C4834A3-0AFB-41A5-A3A5-8D45D879A580}">
    <text>ULTIMO CONTACTO VIERNES 16 JAN</text>
  </threadedComment>
  <threadedComment ref="F858" dT="2026-01-17T15:29:33.81" personId="{89DAAEF7-22A5-46D0-95C4-A7DF903B17FA}" id="{32FF6967-9DBD-4260-9CCE-A51E029A69AC}">
    <text>Contactada 16Jan</text>
  </threadedComment>
  <threadedComment ref="F873" dT="2026-01-17T17:44:41.53" personId="{89DAAEF7-22A5-46D0-95C4-A7DF903B17FA}" id="{5F513EA3-1879-445C-BADD-E918AEE88FD3}">
    <text>ULTIMO CONTACTO VIERNES 16 JAN</text>
  </threadedComment>
  <threadedComment ref="F904" dT="2026-01-17T17:44:50.39" personId="{89DAAEF7-22A5-46D0-95C4-A7DF903B17FA}" id="{A73D940E-8A10-4363-B3C7-2F5C4E9BDA0B}">
    <text>ULTIMO CONTACTO VIERNES 16 JAN</text>
  </threadedComment>
  <threadedComment ref="F904" dT="2026-01-20T22:14:57.87" personId="{89DAAEF7-22A5-46D0-95C4-A7DF903B17FA}" id="{9CBBE8CC-29D7-421D-A357-64BC7405307A}" parentId="{A73D940E-8A10-4363-B3C7-2F5C4E9BDA0B}">
    <text xml:space="preserve">RECLAMADO </text>
  </threadedComment>
  <threadedComment ref="F907" dT="2026-01-17T17:44:45.87" personId="{89DAAEF7-22A5-46D0-95C4-A7DF903B17FA}" id="{B57165E0-9E14-44B7-A50E-687E5786CBFD}">
    <text>ULTIMO CONTACTO VIERNES 16 JAN</text>
  </threadedComment>
  <threadedComment ref="F923" dT="2026-01-17T17:44:31.36" personId="{89DAAEF7-22A5-46D0-95C4-A7DF903B17FA}" id="{D32FCCA3-1487-4ECD-839F-5A6EAACB6AE6}">
    <text>ULTIMO CONTACTO VIERNES 16 JAN</text>
  </threadedComment>
  <threadedComment ref="F923" dT="2026-01-20T21:49:39.29" personId="{89DAAEF7-22A5-46D0-95C4-A7DF903B17FA}" id="{C3E524A8-12D6-449A-B32E-2DDAD826BA02}" parentId="{D32FCCA3-1487-4ECD-839F-5A6EAACB6AE6}">
    <text>Llamada terminada sin contacto</text>
  </threadedComment>
  <threadedComment ref="F929" dT="2026-01-17T17:44:27.15" personId="{89DAAEF7-22A5-46D0-95C4-A7DF903B17FA}" id="{1A61161E-5443-4345-A179-C6CA856C72C1}">
    <text>ULTIMO CONTACTO VIERNES 16 JAN</text>
  </threadedComment>
  <threadedComment ref="F929" dT="2026-01-20T00:14:12.64" personId="{89DAAEF7-22A5-46D0-95C4-A7DF903B17FA}" id="{FC304F11-45AF-4082-B5DD-2F8396337E93}" parentId="{1A61161E-5443-4345-A179-C6CA856C72C1}">
    <text>Ha ido 2 veces y no se la entregan porque no tiene la guia. Reclama 20Jan</text>
  </threadedComment>
  <threadedComment ref="F929" dT="2026-01-20T21:47:50.48" personId="{89DAAEF7-22A5-46D0-95C4-A7DF903B17FA}" id="{FDB647C2-22EF-4F62-BADE-7CCCCA7CE151}" parentId="{1A61161E-5443-4345-A179-C6CA856C72C1}">
    <text>RECLAMA HOY 20/01</text>
  </threadedComment>
  <threadedComment ref="F931" dT="2026-01-17T15:28:25.66" personId="{89DAAEF7-22A5-46D0-95C4-A7DF903B17FA}" id="{342D7B62-9D7C-4D1D-87DE-678A80373C0B}">
    <text>Contactada 14-15-16-17 correo de voz siempre</text>
  </threadedComment>
  <threadedComment ref="F931" dT="2026-01-17T15:37:50.48" personId="{89DAAEF7-22A5-46D0-95C4-A7DF903B17FA}" id="{3BF3B051-1AEA-4969-9454-9F08FDCC0D84}" parentId="{342D7B62-9D7C-4D1D-87DE-678A80373C0B}">
    <text>Devuelve llamada y dice que ya va a reclamarlo.</text>
  </threadedComment>
  <threadedComment ref="F935" dT="2026-01-17T15:26:51.47" personId="{89DAAEF7-22A5-46D0-95C4-A7DF903B17FA}" id="{A4DC2F1E-11CD-4A65-97D0-CF7DDA078A0F}">
    <text>Sab 17 correo de voz - contactada 14-15-16 de enero sin respuesta.</text>
  </threadedComment>
  <threadedComment ref="F935" dT="2026-01-20T21:47:08.15" personId="{89DAAEF7-22A5-46D0-95C4-A7DF903B17FA}" id="{CD6593CA-CF3D-4CE6-907E-EDF603DE82BA}" parentId="{A4DC2F1E-11CD-4A65-97D0-CF7DDA078A0F}">
    <text>20/01 correo directo</text>
  </threadedComment>
  <threadedComment ref="F938" dT="2026-01-17T17:44:23.01" personId="{89DAAEF7-22A5-46D0-95C4-A7DF903B17FA}" id="{2A1945F4-986D-4136-B101-3554A780ABEA}">
    <text>ULTIMO CONTACTO VIERNES 16 JAN</text>
  </threadedComment>
  <threadedComment ref="F965" dT="2026-01-17T17:44:36.92" personId="{89DAAEF7-22A5-46D0-95C4-A7DF903B17FA}" id="{FFAAF6AD-442C-463D-B1C9-6FD13A1F4BC5}">
    <text>ULTIMO CONTACTO VIERNES 16 JAN</text>
  </threadedComment>
  <threadedComment ref="F977" dT="2026-01-17T15:23:07.25" personId="{89DAAEF7-22A5-46D0-95C4-A7DF903B17FA}" id="{6FF4C7EF-9A1C-4020-A71A-8F909C213632}">
    <text>Numero marcado se encuentra temporalmente fuera de servicio /17jan</text>
  </threadedComment>
  <threadedComment ref="F978" dT="2026-01-17T15:21:53.35" personId="{89DAAEF7-22A5-46D0-95C4-A7DF903B17FA}" id="{A5C296C0-3CD5-4DA1-BD08-3E3E9CDEA6C2}">
    <text>Cliente no responde 3 intentos de llamada / 17jan</text>
  </threadedComment>
  <threadedComment ref="F981" dT="2026-01-17T15:16:36.62" personId="{89DAAEF7-22A5-46D0-95C4-A7DF903B17FA}" id="{3EF12EEB-FC21-427A-97F0-B96A4B20EC16}">
    <text>Cliente manda a cuñada a reclamarlo el Lunes 19</text>
  </threadedComment>
  <threadedComment ref="F990" dT="2026-01-17T15:25:06.73" personId="{89DAAEF7-22A5-46D0-95C4-A7DF903B17FA}" id="{8B7687BF-C3C0-4170-9986-D50CAAA914FF}">
    <text>RECLAMADO</text>
  </threadedComment>
  <threadedComment ref="F1013" dT="2026-01-17T14:54:52.81" personId="{89DAAEF7-22A5-46D0-95C4-A7DF903B17FA}" id="{F6788230-444D-4028-A290-17F628C67166}">
    <text>Contactado Martes-Miércoles-Jueves 15</text>
  </threadedComment>
  <threadedComment ref="F1013" dT="2026-01-17T15:20:51.10" personId="{89DAAEF7-22A5-46D0-95C4-A7DF903B17FA}" id="{40AA67BF-C764-4A49-92E9-8CC00273232A}" parentId="{F6788230-444D-4028-A290-17F628C67166}">
    <text>Llamada 17 de enero sin respuesta 7 // 3 intentos</text>
  </threadedComment>
  <threadedComment ref="F1033" dT="2026-01-17T14:51:06.42" personId="{89DAAEF7-22A5-46D0-95C4-A7DF903B17FA}" id="{2E646C50-CFC5-4D90-9AC5-6D4C7BC329DE}">
    <text>Contactado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EF27-CAC9-40C5-932A-0446DFED6BE7}">
  <dimension ref="A1:B1"/>
  <sheetViews>
    <sheetView workbookViewId="0">
      <selection activeCell="I17" sqref="I17"/>
    </sheetView>
  </sheetViews>
  <sheetFormatPr defaultColWidth="9.140625" defaultRowHeight="15"/>
  <cols>
    <col min="1" max="1" width="12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65"/>
  <sheetViews>
    <sheetView tabSelected="1" workbookViewId="0">
      <selection activeCell="J346" sqref="J346"/>
    </sheetView>
  </sheetViews>
  <sheetFormatPr defaultColWidth="9.140625" defaultRowHeight="15"/>
  <cols>
    <col min="1" max="1" width="16" bestFit="1" customWidth="1"/>
    <col min="2" max="2" width="21" bestFit="1" customWidth="1"/>
    <col min="3" max="3" width="15.85546875" customWidth="1"/>
    <col min="4" max="4" width="10.7109375" bestFit="1" customWidth="1"/>
    <col min="5" max="5" width="10.85546875" bestFit="1" customWidth="1"/>
    <col min="6" max="6" width="35.5703125" bestFit="1" customWidth="1"/>
    <col min="7" max="7" width="17.140625" bestFit="1" customWidth="1"/>
    <col min="8" max="8" width="30.85546875" customWidth="1"/>
    <col min="9" max="9" width="26.85546875" customWidth="1"/>
    <col min="10" max="10" width="23.85546875" bestFit="1" customWidth="1"/>
    <col min="11" max="11" width="15.5703125" bestFit="1" customWidth="1"/>
    <col min="12" max="12" width="16.28515625" customWidth="1"/>
    <col min="13" max="13" width="27.85546875" bestFit="1" customWidth="1"/>
    <col min="14" max="14" width="81.140625" bestFit="1" customWidth="1"/>
    <col min="15" max="15" width="11.140625" bestFit="1" customWidth="1"/>
    <col min="16" max="16" width="17.5703125" bestFit="1" customWidth="1"/>
    <col min="17" max="17" width="81.140625" customWidth="1"/>
    <col min="18" max="18" width="112" customWidth="1"/>
    <col min="19" max="19" width="15.28515625" bestFit="1" customWidth="1"/>
    <col min="20" max="20" width="28.42578125" bestFit="1" customWidth="1"/>
    <col min="21" max="21" width="9.42578125" bestFit="1" customWidth="1"/>
    <col min="22" max="22" width="17.7109375" bestFit="1" customWidth="1"/>
    <col min="23" max="23" width="8.28515625" bestFit="1" customWidth="1"/>
    <col min="24" max="24" width="9.140625" bestFit="1" customWidth="1"/>
    <col min="25" max="25" width="18.42578125" bestFit="1" customWidth="1"/>
    <col min="26" max="26" width="16.42578125" bestFit="1" customWidth="1"/>
    <col min="27" max="27" width="21.7109375" bestFit="1" customWidth="1"/>
    <col min="28" max="28" width="15.5703125" bestFit="1" customWidth="1"/>
    <col min="29" max="30" width="35.7109375" bestFit="1" customWidth="1"/>
    <col min="31" max="31" width="23.85546875" bestFit="1" customWidth="1"/>
    <col min="32" max="32" width="23.7109375" customWidth="1"/>
    <col min="33" max="33" width="28.42578125" bestFit="1" customWidth="1"/>
    <col min="34" max="34" width="26" customWidth="1"/>
    <col min="35" max="35" width="18" customWidth="1"/>
    <col min="36" max="37" width="16" customWidth="1"/>
  </cols>
  <sheetData>
    <row r="1" spans="1:3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33</v>
      </c>
      <c r="C2">
        <v>1062</v>
      </c>
      <c r="D2" t="s">
        <v>34</v>
      </c>
      <c r="E2" s="11">
        <v>46044</v>
      </c>
      <c r="F2" t="s">
        <v>35</v>
      </c>
      <c r="G2" t="s">
        <v>36</v>
      </c>
      <c r="J2" t="s">
        <v>37</v>
      </c>
      <c r="L2" t="s">
        <v>38</v>
      </c>
      <c r="M2" t="s">
        <v>39</v>
      </c>
      <c r="N2" t="s">
        <v>40</v>
      </c>
      <c r="O2" t="s">
        <v>41</v>
      </c>
      <c r="P2" t="str" cm="1">
        <f t="array" aca="1" ref="P2" ca="1">IFERROR(_xlfn.XLOOKUP(tblPedidos[[#This Row],[id_dropi]],tblNotas[[#This Row],[id__dropi]],tblNotas[[#This Row],[Notas Manuales]], “”, 0),"")</f>
        <v/>
      </c>
      <c r="R2" t="s">
        <v>42</v>
      </c>
      <c r="S2">
        <v>25511.5</v>
      </c>
      <c r="T2">
        <v>-11990.800000000001</v>
      </c>
      <c r="U2" cm="1">
        <f t="array" ref="U2">IFERROR(_xlfn.IFS(tblPedidos[[#This Row],[estado_operativo]]="ENTREGADO",tblPedidos[[#This Row],[ganancia_calc]],tblPedidos[[#This Row],[estado_operativo]]="DEVOLUCION",tblPedidos[[#This Row],[costo_devolucion_estimado]]),0)</f>
        <v>0</v>
      </c>
      <c r="V2">
        <v>0</v>
      </c>
      <c r="W2">
        <v>54900</v>
      </c>
      <c r="X2">
        <v>14988.5</v>
      </c>
      <c r="Y2">
        <v>14400</v>
      </c>
      <c r="Z2" s="11">
        <v>46044</v>
      </c>
      <c r="AA2">
        <v>0</v>
      </c>
      <c r="AB2" s="12">
        <v>2.0833333333333333E-3</v>
      </c>
      <c r="AC2" t="s">
        <v>37</v>
      </c>
      <c r="AD2" t="s">
        <v>37</v>
      </c>
      <c r="AE2" t="s">
        <v>37</v>
      </c>
    </row>
    <row r="3" spans="1:31">
      <c r="A3" t="s">
        <v>33</v>
      </c>
      <c r="C3">
        <v>1061</v>
      </c>
      <c r="D3" t="s">
        <v>43</v>
      </c>
      <c r="E3" s="11">
        <v>46044</v>
      </c>
      <c r="F3" t="s">
        <v>44</v>
      </c>
      <c r="G3" t="s">
        <v>45</v>
      </c>
      <c r="J3" t="s">
        <v>37</v>
      </c>
      <c r="L3" t="s">
        <v>46</v>
      </c>
      <c r="M3" t="s">
        <v>47</v>
      </c>
      <c r="N3" t="s">
        <v>48</v>
      </c>
      <c r="O3" t="s">
        <v>49</v>
      </c>
      <c r="P3" t="str" cm="1">
        <f t="array" aca="1" ref="P3" ca="1">IFERROR(_xlfn.XLOOKUP(tblPedidos[[#This Row],[id_dropi]],tblNotas[[#This Row],[id__dropi]],tblNotas[[#This Row],[Notas Manuales]], “”, 0),"")</f>
        <v/>
      </c>
      <c r="Q3" t="s">
        <v>50</v>
      </c>
      <c r="R3" t="s">
        <v>51</v>
      </c>
      <c r="S3">
        <v>32079.5</v>
      </c>
      <c r="T3">
        <v>-14020.5</v>
      </c>
      <c r="U3" cm="1">
        <f t="array" ref="U3">IFERROR(_xlfn.IFS(tblPedidos[[#This Row],[estado_operativo]]="ENTREGADO",tblPedidos[[#This Row],[ganancia_calc]],tblPedidos[[#This Row],[estado_operativo]]="DEVOLUCION",tblPedidos[[#This Row],[costo_devolucion_estimado]]),0)</f>
        <v>0</v>
      </c>
      <c r="V3">
        <v>0</v>
      </c>
      <c r="W3">
        <v>74900</v>
      </c>
      <c r="X3">
        <v>14020.5</v>
      </c>
      <c r="Y3">
        <v>28800</v>
      </c>
      <c r="Z3" s="11">
        <v>46044</v>
      </c>
      <c r="AA3">
        <v>0</v>
      </c>
      <c r="AB3" s="12">
        <v>2.0833333333333333E-3</v>
      </c>
      <c r="AC3" t="s">
        <v>37</v>
      </c>
      <c r="AD3" t="s">
        <v>37</v>
      </c>
      <c r="AE3" t="s">
        <v>37</v>
      </c>
    </row>
    <row r="4" spans="1:31">
      <c r="A4" t="s">
        <v>33</v>
      </c>
      <c r="C4">
        <v>1064</v>
      </c>
      <c r="D4" t="s">
        <v>52</v>
      </c>
      <c r="E4" s="11">
        <v>46044</v>
      </c>
      <c r="F4" t="s">
        <v>53</v>
      </c>
      <c r="G4" t="s">
        <v>45</v>
      </c>
      <c r="J4" t="s">
        <v>37</v>
      </c>
      <c r="L4" t="s">
        <v>54</v>
      </c>
      <c r="M4" t="s">
        <v>55</v>
      </c>
      <c r="N4" t="s">
        <v>56</v>
      </c>
      <c r="O4" t="s">
        <v>57</v>
      </c>
      <c r="P4" t="str" cm="1">
        <f t="array" aca="1" ref="P4" ca="1">IFERROR(_xlfn.XLOOKUP(tblPedidos[[#This Row],[id_dropi]],tblNotas[[#This Row],[id__dropi]],tblNotas[[#This Row],[Notas Manuales]], “”, 0),"")</f>
        <v/>
      </c>
      <c r="Q4" t="s">
        <v>50</v>
      </c>
      <c r="R4" t="s">
        <v>58</v>
      </c>
      <c r="S4">
        <v>20654.5</v>
      </c>
      <c r="T4">
        <v>-19245.5</v>
      </c>
      <c r="U4" cm="1">
        <f t="array" ref="U4">IFERROR(_xlfn.IFS(tblPedidos[[#This Row],[estado_operativo]]="ENTREGADO",tblPedidos[[#This Row],[ganancia_calc]],tblPedidos[[#This Row],[estado_operativo]]="DEVOLUCION",tblPedidos[[#This Row],[costo_devolucion_estimado]]),0)</f>
        <v>0</v>
      </c>
      <c r="V4">
        <v>0</v>
      </c>
      <c r="W4">
        <v>89900</v>
      </c>
      <c r="X4">
        <v>19245.5</v>
      </c>
      <c r="Y4">
        <v>50000</v>
      </c>
      <c r="Z4" s="11">
        <v>46044</v>
      </c>
      <c r="AA4">
        <v>0</v>
      </c>
      <c r="AB4" s="12">
        <v>1.3888888888888889E-3</v>
      </c>
      <c r="AC4" t="s">
        <v>37</v>
      </c>
      <c r="AD4" t="s">
        <v>37</v>
      </c>
      <c r="AE4" t="s">
        <v>37</v>
      </c>
    </row>
    <row r="5" spans="1:31">
      <c r="A5" t="s">
        <v>33</v>
      </c>
      <c r="C5">
        <v>1063</v>
      </c>
      <c r="D5" t="s">
        <v>59</v>
      </c>
      <c r="E5" s="11">
        <v>46044</v>
      </c>
      <c r="F5" t="s">
        <v>60</v>
      </c>
      <c r="G5" t="s">
        <v>45</v>
      </c>
      <c r="J5" t="s">
        <v>37</v>
      </c>
      <c r="L5" t="s">
        <v>61</v>
      </c>
      <c r="M5" t="s">
        <v>62</v>
      </c>
      <c r="N5" t="s">
        <v>63</v>
      </c>
      <c r="O5" t="s">
        <v>64</v>
      </c>
      <c r="P5" t="str" cm="1">
        <f t="array" aca="1" ref="P5" ca="1">IFERROR(_xlfn.XLOOKUP(tblPedidos[[#This Row],[id_dropi]],tblNotas[[#This Row],[id__dropi]],tblNotas[[#This Row],[Notas Manuales]], “”, 0),"")</f>
        <v/>
      </c>
      <c r="R5" t="s">
        <v>65</v>
      </c>
      <c r="S5">
        <v>17004.5</v>
      </c>
      <c r="T5">
        <v>-17895.5</v>
      </c>
      <c r="U5" cm="1">
        <f t="array" ref="U5">IFERROR(_xlfn.IFS(tblPedidos[[#This Row],[estado_operativo]]="ENTREGADO",tblPedidos[[#This Row],[ganancia_calc]],tblPedidos[[#This Row],[estado_operativo]]="DEVOLUCION",tblPedidos[[#This Row],[costo_devolucion_estimado]]),0)</f>
        <v>0</v>
      </c>
      <c r="V5">
        <v>0</v>
      </c>
      <c r="W5">
        <v>59900</v>
      </c>
      <c r="X5">
        <v>17895.5</v>
      </c>
      <c r="Y5">
        <v>25000</v>
      </c>
      <c r="Z5" s="11">
        <v>46044</v>
      </c>
      <c r="AA5">
        <v>0</v>
      </c>
      <c r="AB5" s="12">
        <v>0</v>
      </c>
      <c r="AC5" t="s">
        <v>37</v>
      </c>
      <c r="AD5" t="s">
        <v>37</v>
      </c>
      <c r="AE5" t="s">
        <v>37</v>
      </c>
    </row>
    <row r="6" spans="1:31">
      <c r="A6" t="s">
        <v>33</v>
      </c>
      <c r="C6">
        <v>1022</v>
      </c>
      <c r="D6" t="s">
        <v>66</v>
      </c>
      <c r="E6" s="11">
        <v>46043</v>
      </c>
      <c r="F6" t="s">
        <v>67</v>
      </c>
      <c r="G6" t="s">
        <v>45</v>
      </c>
      <c r="J6" t="s">
        <v>37</v>
      </c>
      <c r="L6" t="s">
        <v>68</v>
      </c>
      <c r="M6" t="s">
        <v>69</v>
      </c>
      <c r="N6" t="s">
        <v>70</v>
      </c>
      <c r="O6" t="s">
        <v>71</v>
      </c>
      <c r="P6" t="str" cm="1">
        <f t="array" aca="1" ref="P6" ca="1">IFERROR(_xlfn.XLOOKUP(tblPedidos[[#This Row],[id_dropi]],tblNotas[[#This Row],[id__dropi]],tblNotas[[#This Row],[Notas Manuales]], “”, 0),"")</f>
        <v/>
      </c>
      <c r="R6" t="s">
        <v>65</v>
      </c>
      <c r="S6">
        <v>17004.5</v>
      </c>
      <c r="T6">
        <v>-17895.5</v>
      </c>
      <c r="U6" cm="1">
        <f t="array" ref="U6">IFERROR(_xlfn.IFS(tblPedidos[[#This Row],[estado_operativo]]="ENTREGADO",tblPedidos[[#This Row],[ganancia_calc]],tblPedidos[[#This Row],[estado_operativo]]="DEVOLUCION",tblPedidos[[#This Row],[costo_devolucion_estimado]]),0)</f>
        <v>0</v>
      </c>
      <c r="V6">
        <v>0</v>
      </c>
      <c r="W6">
        <v>59900</v>
      </c>
      <c r="X6">
        <v>17895.5</v>
      </c>
      <c r="Y6">
        <v>25000</v>
      </c>
      <c r="Z6" s="11">
        <v>46043</v>
      </c>
      <c r="AA6">
        <v>1</v>
      </c>
      <c r="AB6" s="12">
        <v>0.99861111111111112</v>
      </c>
      <c r="AC6" t="s">
        <v>37</v>
      </c>
      <c r="AD6" t="s">
        <v>37</v>
      </c>
      <c r="AE6" t="s">
        <v>37</v>
      </c>
    </row>
    <row r="7" spans="1:31">
      <c r="A7" t="s">
        <v>33</v>
      </c>
      <c r="C7">
        <v>1023</v>
      </c>
      <c r="D7" t="s">
        <v>72</v>
      </c>
      <c r="E7" s="11">
        <v>46043</v>
      </c>
      <c r="F7" t="s">
        <v>73</v>
      </c>
      <c r="G7" t="s">
        <v>45</v>
      </c>
      <c r="J7" t="s">
        <v>37</v>
      </c>
      <c r="L7" t="s">
        <v>74</v>
      </c>
      <c r="M7" t="s">
        <v>75</v>
      </c>
      <c r="N7" t="s">
        <v>76</v>
      </c>
      <c r="O7" t="s">
        <v>77</v>
      </c>
      <c r="P7" t="str" cm="1">
        <f t="array" aca="1" ref="P7" ca="1">IFERROR(_xlfn.XLOOKUP(tblPedidos[[#This Row],[id_dropi]],tblNotas[[#This Row],[id__dropi]],tblNotas[[#This Row],[Notas Manuales]], “”, 0),"")</f>
        <v/>
      </c>
      <c r="Q7" t="s">
        <v>78</v>
      </c>
      <c r="R7" t="s">
        <v>51</v>
      </c>
      <c r="S7">
        <v>27529.5</v>
      </c>
      <c r="T7">
        <v>-18570.5</v>
      </c>
      <c r="U7" cm="1">
        <f t="array" ref="U7">IFERROR(_xlfn.IFS(tblPedidos[[#This Row],[estado_operativo]]="ENTREGADO",tblPedidos[[#This Row],[ganancia_calc]],tblPedidos[[#This Row],[estado_operativo]]="DEVOLUCION",tblPedidos[[#This Row],[costo_devolucion_estimado]]),0)</f>
        <v>0</v>
      </c>
      <c r="V7">
        <v>0</v>
      </c>
      <c r="W7">
        <v>74900</v>
      </c>
      <c r="X7">
        <v>18570.5</v>
      </c>
      <c r="Y7">
        <v>28800</v>
      </c>
      <c r="Z7" s="11">
        <v>46043</v>
      </c>
      <c r="AA7">
        <v>1</v>
      </c>
      <c r="AB7" s="12">
        <v>0.95416666666666672</v>
      </c>
      <c r="AC7" t="s">
        <v>37</v>
      </c>
      <c r="AD7" t="s">
        <v>37</v>
      </c>
      <c r="AE7" t="s">
        <v>37</v>
      </c>
    </row>
    <row r="8" spans="1:31">
      <c r="A8" t="s">
        <v>33</v>
      </c>
      <c r="C8">
        <v>1024</v>
      </c>
      <c r="D8" t="s">
        <v>79</v>
      </c>
      <c r="E8" s="11">
        <v>46043</v>
      </c>
      <c r="F8" t="s">
        <v>80</v>
      </c>
      <c r="G8" t="s">
        <v>36</v>
      </c>
      <c r="J8" t="s">
        <v>37</v>
      </c>
      <c r="L8" t="s">
        <v>81</v>
      </c>
      <c r="M8" t="s">
        <v>82</v>
      </c>
      <c r="N8" t="s">
        <v>83</v>
      </c>
      <c r="O8" t="s">
        <v>84</v>
      </c>
      <c r="P8" t="str" cm="1">
        <f t="array" aca="1" ref="P8" ca="1">IFERROR(_xlfn.XLOOKUP(tblPedidos[[#This Row],[id_dropi]],tblNotas[[#This Row],[id__dropi]],tblNotas[[#This Row],[Notas Manuales]], “”, 0),"")</f>
        <v/>
      </c>
      <c r="Q8" t="s">
        <v>83</v>
      </c>
      <c r="R8" t="s">
        <v>51</v>
      </c>
      <c r="S8">
        <v>25436.5</v>
      </c>
      <c r="T8">
        <v>-12530.800000000001</v>
      </c>
      <c r="U8" cm="1">
        <f t="array" ref="U8">IFERROR(_xlfn.IFS(tblPedidos[[#This Row],[estado_operativo]]="ENTREGADO",tblPedidos[[#This Row],[ganancia_calc]],tblPedidos[[#This Row],[estado_operativo]]="DEVOLUCION",tblPedidos[[#This Row],[costo_devolucion_estimado]]),0)</f>
        <v>0</v>
      </c>
      <c r="V8">
        <v>0</v>
      </c>
      <c r="W8">
        <v>69900</v>
      </c>
      <c r="X8">
        <v>15663.5</v>
      </c>
      <c r="Y8">
        <v>28800</v>
      </c>
      <c r="Z8" s="11">
        <v>46043</v>
      </c>
      <c r="AA8">
        <v>1</v>
      </c>
      <c r="AB8" s="12">
        <v>0.9506944444444444</v>
      </c>
      <c r="AC8" t="s">
        <v>37</v>
      </c>
      <c r="AD8" t="s">
        <v>37</v>
      </c>
      <c r="AE8" t="s">
        <v>37</v>
      </c>
    </row>
    <row r="9" spans="1:31">
      <c r="A9" t="s">
        <v>33</v>
      </c>
      <c r="C9">
        <v>1021</v>
      </c>
      <c r="D9" t="s">
        <v>85</v>
      </c>
      <c r="E9" s="11">
        <v>46043</v>
      </c>
      <c r="F9" t="s">
        <v>86</v>
      </c>
      <c r="G9" t="s">
        <v>45</v>
      </c>
      <c r="J9" t="s">
        <v>37</v>
      </c>
      <c r="L9" t="s">
        <v>87</v>
      </c>
      <c r="M9" t="s">
        <v>88</v>
      </c>
      <c r="N9" t="s">
        <v>89</v>
      </c>
      <c r="O9" t="s">
        <v>90</v>
      </c>
      <c r="P9" t="str" cm="1">
        <f t="array" aca="1" ref="P9" ca="1">IFERROR(_xlfn.XLOOKUP(tblPedidos[[#This Row],[id_dropi]],tblNotas[[#This Row],[id__dropi]],tblNotas[[#This Row],[Notas Manuales]], “”, 0),"")</f>
        <v/>
      </c>
      <c r="Q9" t="s">
        <v>91</v>
      </c>
      <c r="R9" t="s">
        <v>42</v>
      </c>
      <c r="S9">
        <v>16801</v>
      </c>
      <c r="T9">
        <v>-18699</v>
      </c>
      <c r="U9" cm="1">
        <f t="array" ref="U9">IFERROR(_xlfn.IFS(tblPedidos[[#This Row],[estado_operativo]]="ENTREGADO",tblPedidos[[#This Row],[ganancia_calc]],tblPedidos[[#This Row],[estado_operativo]]="DEVOLUCION",tblPedidos[[#This Row],[costo_devolucion_estimado]]),0)</f>
        <v>0</v>
      </c>
      <c r="V9">
        <v>0</v>
      </c>
      <c r="W9">
        <v>49900</v>
      </c>
      <c r="X9">
        <v>18699</v>
      </c>
      <c r="Y9">
        <v>14400</v>
      </c>
      <c r="Z9" s="11">
        <v>46043</v>
      </c>
      <c r="AA9">
        <v>1</v>
      </c>
      <c r="AB9" s="12">
        <v>0.9458333333333333</v>
      </c>
      <c r="AC9" t="s">
        <v>37</v>
      </c>
      <c r="AD9" t="s">
        <v>37</v>
      </c>
      <c r="AE9" t="s">
        <v>37</v>
      </c>
    </row>
    <row r="10" spans="1:31">
      <c r="A10" t="s">
        <v>33</v>
      </c>
      <c r="C10">
        <v>1018</v>
      </c>
      <c r="D10" t="s">
        <v>92</v>
      </c>
      <c r="E10" s="11">
        <v>46043</v>
      </c>
      <c r="F10" t="s">
        <v>93</v>
      </c>
      <c r="G10" t="s">
        <v>45</v>
      </c>
      <c r="J10" t="s">
        <v>37</v>
      </c>
      <c r="L10" t="s">
        <v>46</v>
      </c>
      <c r="M10" t="s">
        <v>94</v>
      </c>
      <c r="N10" t="s">
        <v>95</v>
      </c>
      <c r="O10" t="s">
        <v>96</v>
      </c>
      <c r="P10" t="str" cm="1">
        <f t="array" aca="1" ref="P10" ca="1">IFERROR(_xlfn.XLOOKUP(tblPedidos[[#This Row],[id_dropi]],tblNotas[[#This Row],[id__dropi]],tblNotas[[#This Row],[Notas Manuales]], “”, 0),"")</f>
        <v/>
      </c>
      <c r="Q10" t="s">
        <v>97</v>
      </c>
      <c r="R10" t="s">
        <v>42</v>
      </c>
      <c r="S10">
        <v>28779.5</v>
      </c>
      <c r="T10">
        <v>-11720.5</v>
      </c>
      <c r="U10" cm="1">
        <f t="array" ref="U10">IFERROR(_xlfn.IFS(tblPedidos[[#This Row],[estado_operativo]]="ENTREGADO",tblPedidos[[#This Row],[ganancia_calc]],tblPedidos[[#This Row],[estado_operativo]]="DEVOLUCION",tblPedidos[[#This Row],[costo_devolucion_estimado]]),0)</f>
        <v>0</v>
      </c>
      <c r="V10">
        <v>0</v>
      </c>
      <c r="W10">
        <v>54900</v>
      </c>
      <c r="X10">
        <v>11720.5</v>
      </c>
      <c r="Y10">
        <v>14400</v>
      </c>
      <c r="Z10" s="11">
        <v>46043</v>
      </c>
      <c r="AA10">
        <v>1</v>
      </c>
      <c r="AB10" s="12">
        <v>0.94236111111111109</v>
      </c>
      <c r="AC10" t="s">
        <v>37</v>
      </c>
      <c r="AD10" t="s">
        <v>37</v>
      </c>
      <c r="AE10" t="s">
        <v>37</v>
      </c>
    </row>
    <row r="11" spans="1:31">
      <c r="A11" t="s">
        <v>33</v>
      </c>
      <c r="C11">
        <v>1019</v>
      </c>
      <c r="D11" t="s">
        <v>98</v>
      </c>
      <c r="E11" s="11">
        <v>46043</v>
      </c>
      <c r="F11" t="s">
        <v>99</v>
      </c>
      <c r="G11" t="s">
        <v>45</v>
      </c>
      <c r="J11" t="s">
        <v>37</v>
      </c>
      <c r="L11" t="s">
        <v>46</v>
      </c>
      <c r="M11" t="s">
        <v>100</v>
      </c>
      <c r="N11" t="s">
        <v>101</v>
      </c>
      <c r="O11" t="s">
        <v>102</v>
      </c>
      <c r="P11" t="str" cm="1">
        <f t="array" aca="1" ref="P11" ca="1">IFERROR(_xlfn.XLOOKUP(tblPedidos[[#This Row],[id_dropi]],tblNotas[[#This Row],[id__dropi]],tblNotas[[#This Row],[Notas Manuales]], “”, 0),"")</f>
        <v/>
      </c>
      <c r="R11" t="s">
        <v>58</v>
      </c>
      <c r="S11">
        <v>20654.5</v>
      </c>
      <c r="T11">
        <v>-19245.5</v>
      </c>
      <c r="U11" cm="1">
        <f t="array" ref="U11">IFERROR(_xlfn.IFS(tblPedidos[[#This Row],[estado_operativo]]="ENTREGADO",tblPedidos[[#This Row],[ganancia_calc]],tblPedidos[[#This Row],[estado_operativo]]="DEVOLUCION",tblPedidos[[#This Row],[costo_devolucion_estimado]]),0)</f>
        <v>0</v>
      </c>
      <c r="V11">
        <v>0</v>
      </c>
      <c r="W11">
        <v>89900</v>
      </c>
      <c r="X11">
        <v>19245.5</v>
      </c>
      <c r="Y11">
        <v>50000</v>
      </c>
      <c r="Z11" s="11">
        <v>46043</v>
      </c>
      <c r="AA11">
        <v>1</v>
      </c>
      <c r="AB11" s="12">
        <v>0.94097222222222221</v>
      </c>
      <c r="AC11" t="s">
        <v>37</v>
      </c>
      <c r="AD11" t="s">
        <v>37</v>
      </c>
      <c r="AE11" t="s">
        <v>37</v>
      </c>
    </row>
    <row r="12" spans="1:31" s="44" customFormat="1">
      <c r="A12" t="s">
        <v>33</v>
      </c>
      <c r="B12"/>
      <c r="C12">
        <v>1020</v>
      </c>
      <c r="D12" t="s">
        <v>103</v>
      </c>
      <c r="E12" s="11">
        <v>46043</v>
      </c>
      <c r="F12" t="s">
        <v>104</v>
      </c>
      <c r="G12" t="s">
        <v>45</v>
      </c>
      <c r="H12"/>
      <c r="I12"/>
      <c r="J12" t="s">
        <v>37</v>
      </c>
      <c r="K12"/>
      <c r="L12" t="s">
        <v>105</v>
      </c>
      <c r="M12" t="s">
        <v>106</v>
      </c>
      <c r="N12" t="s">
        <v>107</v>
      </c>
      <c r="O12" t="s">
        <v>108</v>
      </c>
      <c r="P12" t="str" cm="1">
        <f t="array" aca="1" ref="P12" ca="1">IFERROR(_xlfn.XLOOKUP(tblPedidos[[#This Row],[id_dropi]],tblNotas[[#This Row],[id__dropi]],tblNotas[[#This Row],[Notas Manuales]], “”, 0),"")</f>
        <v/>
      </c>
      <c r="Q12"/>
      <c r="R12" t="s">
        <v>42</v>
      </c>
      <c r="S12">
        <v>16801</v>
      </c>
      <c r="T12">
        <v>-18699</v>
      </c>
      <c r="U12" cm="1">
        <f t="array" ref="U12">IFERROR(_xlfn.IFS(tblPedidos[[#This Row],[estado_operativo]]="ENTREGADO",tblPedidos[[#This Row],[ganancia_calc]],tblPedidos[[#This Row],[estado_operativo]]="DEVOLUCION",tblPedidos[[#This Row],[costo_devolucion_estimado]]),0)</f>
        <v>0</v>
      </c>
      <c r="V12">
        <v>0</v>
      </c>
      <c r="W12">
        <v>49900</v>
      </c>
      <c r="X12">
        <v>18699</v>
      </c>
      <c r="Y12">
        <v>14400</v>
      </c>
      <c r="Z12" s="11">
        <v>46043</v>
      </c>
      <c r="AA12">
        <v>1</v>
      </c>
      <c r="AB12" s="12">
        <v>0.94097222222222221</v>
      </c>
      <c r="AC12" t="s">
        <v>37</v>
      </c>
      <c r="AD12" t="s">
        <v>37</v>
      </c>
      <c r="AE12" t="s">
        <v>37</v>
      </c>
    </row>
    <row r="13" spans="1:31">
      <c r="A13" t="s">
        <v>33</v>
      </c>
      <c r="C13">
        <v>1029</v>
      </c>
      <c r="D13" t="s">
        <v>109</v>
      </c>
      <c r="E13" s="11">
        <v>46043</v>
      </c>
      <c r="F13" t="s">
        <v>110</v>
      </c>
      <c r="G13" t="s">
        <v>45</v>
      </c>
      <c r="J13" t="s">
        <v>37</v>
      </c>
      <c r="L13" t="s">
        <v>111</v>
      </c>
      <c r="M13" t="s">
        <v>112</v>
      </c>
      <c r="N13" t="s">
        <v>113</v>
      </c>
      <c r="O13" t="s">
        <v>114</v>
      </c>
      <c r="P13" t="str" cm="1">
        <f t="array" aca="1" ref="P13" ca="1">IFERROR(_xlfn.XLOOKUP(tblPedidos[[#This Row],[id_dropi]],tblNotas[[#This Row],[id__dropi]],tblNotas[[#This Row],[Notas Manuales]], “”, 0),"")</f>
        <v/>
      </c>
      <c r="Q13" t="s">
        <v>50</v>
      </c>
      <c r="R13" t="s">
        <v>115</v>
      </c>
      <c r="S13">
        <v>26779.5</v>
      </c>
      <c r="T13">
        <v>-18120.5</v>
      </c>
      <c r="U13" cm="1">
        <f t="array" ref="U13">IFERROR(_xlfn.IFS(tblPedidos[[#This Row],[estado_operativo]]="ENTREGADO",tblPedidos[[#This Row],[ganancia_calc]],tblPedidos[[#This Row],[estado_operativo]]="DEVOLUCION",tblPedidos[[#This Row],[costo_devolucion_estimado]]),0)</f>
        <v>0</v>
      </c>
      <c r="V13">
        <v>0</v>
      </c>
      <c r="W13">
        <v>64900</v>
      </c>
      <c r="X13">
        <v>18120.5</v>
      </c>
      <c r="Y13">
        <v>20000</v>
      </c>
      <c r="Z13" s="11">
        <v>46043</v>
      </c>
      <c r="AA13">
        <v>1</v>
      </c>
      <c r="AB13" s="12">
        <v>0.94027777777777777</v>
      </c>
      <c r="AC13" t="s">
        <v>37</v>
      </c>
      <c r="AD13" t="s">
        <v>37</v>
      </c>
      <c r="AE13" t="s">
        <v>37</v>
      </c>
    </row>
    <row r="14" spans="1:31" s="44" customFormat="1">
      <c r="A14" t="s">
        <v>33</v>
      </c>
      <c r="B14"/>
      <c r="C14">
        <v>1030</v>
      </c>
      <c r="D14" t="s">
        <v>116</v>
      </c>
      <c r="E14" s="11">
        <v>46043</v>
      </c>
      <c r="F14" t="s">
        <v>117</v>
      </c>
      <c r="G14" t="s">
        <v>36</v>
      </c>
      <c r="H14"/>
      <c r="I14"/>
      <c r="J14" t="s">
        <v>37</v>
      </c>
      <c r="K14"/>
      <c r="L14" t="s">
        <v>81</v>
      </c>
      <c r="M14" t="s">
        <v>118</v>
      </c>
      <c r="N14" t="s">
        <v>119</v>
      </c>
      <c r="O14" t="s">
        <v>120</v>
      </c>
      <c r="P14" t="str" cm="1">
        <f t="array" aca="1" ref="P14" ca="1">IFERROR(_xlfn.XLOOKUP(tblPedidos[[#This Row],[id_dropi]],tblNotas[[#This Row],[id__dropi]],tblNotas[[#This Row],[Notas Manuales]], “”, 0),"")</f>
        <v/>
      </c>
      <c r="Q14" t="s">
        <v>121</v>
      </c>
      <c r="R14" t="s">
        <v>122</v>
      </c>
      <c r="S14">
        <v>32946.5</v>
      </c>
      <c r="T14">
        <v>-10802.800000000001</v>
      </c>
      <c r="U14" cm="1">
        <f t="array" ref="U14">IFERROR(_xlfn.IFS(tblPedidos[[#This Row],[estado_operativo]]="ENTREGADO",tblPedidos[[#This Row],[ganancia_calc]],tblPedidos[[#This Row],[estado_operativo]]="DEVOLUCION",tblPedidos[[#This Row],[costo_devolucion_estimado]]),0)</f>
        <v>0</v>
      </c>
      <c r="V14">
        <v>0</v>
      </c>
      <c r="W14">
        <v>69900</v>
      </c>
      <c r="X14">
        <v>13503.5</v>
      </c>
      <c r="Y14">
        <v>23450</v>
      </c>
      <c r="Z14" s="11">
        <v>46043</v>
      </c>
      <c r="AA14">
        <v>1</v>
      </c>
      <c r="AB14" s="12">
        <v>0.93958333333333333</v>
      </c>
      <c r="AC14" t="s">
        <v>37</v>
      </c>
      <c r="AD14" t="s">
        <v>37</v>
      </c>
      <c r="AE14" t="s">
        <v>37</v>
      </c>
    </row>
    <row r="15" spans="1:31">
      <c r="A15" t="s">
        <v>33</v>
      </c>
      <c r="C15">
        <v>1031</v>
      </c>
      <c r="D15" t="s">
        <v>123</v>
      </c>
      <c r="E15" s="11">
        <v>46043</v>
      </c>
      <c r="F15" t="s">
        <v>124</v>
      </c>
      <c r="G15" t="s">
        <v>45</v>
      </c>
      <c r="J15" t="s">
        <v>37</v>
      </c>
      <c r="L15" t="s">
        <v>125</v>
      </c>
      <c r="M15" t="s">
        <v>126</v>
      </c>
      <c r="N15" t="s">
        <v>127</v>
      </c>
      <c r="O15" t="s">
        <v>128</v>
      </c>
      <c r="P15" t="str" cm="1">
        <f t="array" aca="1" ref="P15" ca="1">IFERROR(_xlfn.XLOOKUP(tblPedidos[[#This Row],[id_dropi]],tblNotas[[#This Row],[id__dropi]],tblNotas[[#This Row],[Notas Manuales]], “”, 0),"")</f>
        <v/>
      </c>
      <c r="Q15" t="s">
        <v>50</v>
      </c>
      <c r="R15" t="s">
        <v>58</v>
      </c>
      <c r="S15">
        <v>20654.5</v>
      </c>
      <c r="T15">
        <v>-19245.5</v>
      </c>
      <c r="U15" cm="1">
        <f t="array" ref="U15">IFERROR(_xlfn.IFS(tblPedidos[[#This Row],[estado_operativo]]="ENTREGADO",tblPedidos[[#This Row],[ganancia_calc]],tblPedidos[[#This Row],[estado_operativo]]="DEVOLUCION",tblPedidos[[#This Row],[costo_devolucion_estimado]]),0)</f>
        <v>0</v>
      </c>
      <c r="V15">
        <v>0</v>
      </c>
      <c r="W15">
        <v>89900</v>
      </c>
      <c r="X15">
        <v>19245.5</v>
      </c>
      <c r="Y15">
        <v>50000</v>
      </c>
      <c r="Z15" s="11">
        <v>46043</v>
      </c>
      <c r="AA15">
        <v>1</v>
      </c>
      <c r="AB15" s="12">
        <v>0.93888888888888888</v>
      </c>
      <c r="AC15" t="s">
        <v>37</v>
      </c>
      <c r="AD15" t="s">
        <v>37</v>
      </c>
      <c r="AE15" t="s">
        <v>37</v>
      </c>
    </row>
    <row r="16" spans="1:31" s="44" customFormat="1">
      <c r="A16" t="s">
        <v>33</v>
      </c>
      <c r="B16"/>
      <c r="C16">
        <v>1028</v>
      </c>
      <c r="D16" t="s">
        <v>129</v>
      </c>
      <c r="E16" s="11">
        <v>46043</v>
      </c>
      <c r="F16" t="s">
        <v>130</v>
      </c>
      <c r="G16" t="s">
        <v>45</v>
      </c>
      <c r="H16"/>
      <c r="I16"/>
      <c r="J16" t="s">
        <v>37</v>
      </c>
      <c r="K16"/>
      <c r="L16" t="s">
        <v>46</v>
      </c>
      <c r="M16" t="s">
        <v>100</v>
      </c>
      <c r="N16" t="s">
        <v>131</v>
      </c>
      <c r="O16" t="s">
        <v>132</v>
      </c>
      <c r="P16" t="str" cm="1">
        <f t="array" aca="1" ref="P16" ca="1">IFERROR(_xlfn.XLOOKUP(tblPedidos[[#This Row],[id_dropi]],tblNotas[[#This Row],[id__dropi]],tblNotas[[#This Row],[Notas Manuales]], “”, 0),"")</f>
        <v/>
      </c>
      <c r="Q16" t="s">
        <v>133</v>
      </c>
      <c r="R16" t="s">
        <v>42</v>
      </c>
      <c r="S16">
        <v>28779.5</v>
      </c>
      <c r="T16">
        <v>-11720.5</v>
      </c>
      <c r="U16" cm="1">
        <f t="array" ref="U16">IFERROR(_xlfn.IFS(tblPedidos[[#This Row],[estado_operativo]]="ENTREGADO",tblPedidos[[#This Row],[ganancia_calc]],tblPedidos[[#This Row],[estado_operativo]]="DEVOLUCION",tblPedidos[[#This Row],[costo_devolucion_estimado]]),0)</f>
        <v>0</v>
      </c>
      <c r="V16">
        <v>0</v>
      </c>
      <c r="W16">
        <v>54900</v>
      </c>
      <c r="X16">
        <v>11720.5</v>
      </c>
      <c r="Y16">
        <v>14400</v>
      </c>
      <c r="Z16" s="11">
        <v>46043</v>
      </c>
      <c r="AA16">
        <v>1</v>
      </c>
      <c r="AB16" s="12">
        <v>0.93888888888888888</v>
      </c>
      <c r="AC16" t="s">
        <v>37</v>
      </c>
      <c r="AD16" t="s">
        <v>37</v>
      </c>
      <c r="AE16" t="s">
        <v>37</v>
      </c>
    </row>
    <row r="17" spans="1:31">
      <c r="A17" t="s">
        <v>33</v>
      </c>
      <c r="C17">
        <v>1025</v>
      </c>
      <c r="D17" t="s">
        <v>134</v>
      </c>
      <c r="E17" s="11">
        <v>46043</v>
      </c>
      <c r="F17" t="s">
        <v>135</v>
      </c>
      <c r="G17" t="s">
        <v>45</v>
      </c>
      <c r="J17" t="s">
        <v>37</v>
      </c>
      <c r="L17" t="s">
        <v>136</v>
      </c>
      <c r="M17" t="s">
        <v>137</v>
      </c>
      <c r="N17" t="s">
        <v>138</v>
      </c>
      <c r="O17" t="s">
        <v>139</v>
      </c>
      <c r="P17" t="str" cm="1">
        <f t="array" aca="1" ref="P17" ca="1">IFERROR(_xlfn.XLOOKUP(tblPedidos[[#This Row],[id_dropi]],tblNotas[[#This Row],[id__dropi]],tblNotas[[#This Row],[Notas Manuales]], “”, 0),"")</f>
        <v/>
      </c>
      <c r="Q17" t="s">
        <v>50</v>
      </c>
      <c r="R17" t="s">
        <v>58</v>
      </c>
      <c r="S17">
        <v>20654.5</v>
      </c>
      <c r="T17">
        <v>-19245.5</v>
      </c>
      <c r="U17" cm="1">
        <f t="array" ref="U17">IFERROR(_xlfn.IFS(tblPedidos[[#This Row],[estado_operativo]]="ENTREGADO",tblPedidos[[#This Row],[ganancia_calc]],tblPedidos[[#This Row],[estado_operativo]]="DEVOLUCION",tblPedidos[[#This Row],[costo_devolucion_estimado]]),0)</f>
        <v>0</v>
      </c>
      <c r="V17">
        <v>0</v>
      </c>
      <c r="W17">
        <v>89900</v>
      </c>
      <c r="X17">
        <v>19245.5</v>
      </c>
      <c r="Y17">
        <v>50000</v>
      </c>
      <c r="Z17" s="11">
        <v>46043</v>
      </c>
      <c r="AA17">
        <v>1</v>
      </c>
      <c r="AB17" s="12">
        <v>0.93888888888888888</v>
      </c>
      <c r="AC17" t="s">
        <v>37</v>
      </c>
      <c r="AD17" t="s">
        <v>37</v>
      </c>
      <c r="AE17" t="s">
        <v>37</v>
      </c>
    </row>
    <row r="18" spans="1:31">
      <c r="A18" t="s">
        <v>33</v>
      </c>
      <c r="C18">
        <v>1026</v>
      </c>
      <c r="D18" t="s">
        <v>140</v>
      </c>
      <c r="E18" s="11">
        <v>46043</v>
      </c>
      <c r="F18" t="s">
        <v>141</v>
      </c>
      <c r="G18" t="s">
        <v>45</v>
      </c>
      <c r="J18" t="s">
        <v>37</v>
      </c>
      <c r="L18" t="s">
        <v>46</v>
      </c>
      <c r="M18" t="s">
        <v>100</v>
      </c>
      <c r="N18" t="s">
        <v>142</v>
      </c>
      <c r="O18" t="s">
        <v>143</v>
      </c>
      <c r="P18" t="str" cm="1">
        <f t="array" aca="1" ref="P18" ca="1">IFERROR(_xlfn.XLOOKUP(tblPedidos[[#This Row],[id_dropi]],tblNotas[[#This Row],[id__dropi]],tblNotas[[#This Row],[Notas Manuales]], “”, 0),"")</f>
        <v/>
      </c>
      <c r="R18" t="s">
        <v>58</v>
      </c>
      <c r="S18">
        <v>20654.5</v>
      </c>
      <c r="T18">
        <v>-19245.5</v>
      </c>
      <c r="U18" cm="1">
        <f t="array" ref="U18">IFERROR(_xlfn.IFS(tblPedidos[[#This Row],[estado_operativo]]="ENTREGADO",tblPedidos[[#This Row],[ganancia_calc]],tblPedidos[[#This Row],[estado_operativo]]="DEVOLUCION",tblPedidos[[#This Row],[costo_devolucion_estimado]]),0)</f>
        <v>0</v>
      </c>
      <c r="V18">
        <v>0</v>
      </c>
      <c r="W18">
        <v>89900</v>
      </c>
      <c r="X18">
        <v>19245.5</v>
      </c>
      <c r="Y18">
        <v>50000</v>
      </c>
      <c r="Z18" s="11">
        <v>46043</v>
      </c>
      <c r="AA18">
        <v>1</v>
      </c>
      <c r="AB18" s="12">
        <v>0.93819444444444444</v>
      </c>
      <c r="AC18" t="s">
        <v>37</v>
      </c>
      <c r="AD18" t="s">
        <v>37</v>
      </c>
      <c r="AE18" t="s">
        <v>37</v>
      </c>
    </row>
    <row r="19" spans="1:31">
      <c r="A19" t="s">
        <v>33</v>
      </c>
      <c r="C19">
        <v>1027</v>
      </c>
      <c r="D19" t="s">
        <v>144</v>
      </c>
      <c r="E19" s="11">
        <v>46043</v>
      </c>
      <c r="F19" t="s">
        <v>145</v>
      </c>
      <c r="G19" t="s">
        <v>45</v>
      </c>
      <c r="J19" t="s">
        <v>37</v>
      </c>
      <c r="L19" t="s">
        <v>81</v>
      </c>
      <c r="M19" t="s">
        <v>118</v>
      </c>
      <c r="N19" t="s">
        <v>146</v>
      </c>
      <c r="O19" t="s">
        <v>147</v>
      </c>
      <c r="P19" t="str" cm="1">
        <f t="array" aca="1" ref="P19" ca="1">IFERROR(_xlfn.XLOOKUP(tblPedidos[[#This Row],[id_dropi]],tblNotas[[#This Row],[id__dropi]],tblNotas[[#This Row],[Notas Manuales]], “”, 0),"")</f>
        <v/>
      </c>
      <c r="Q19" t="s">
        <v>148</v>
      </c>
      <c r="R19" t="s">
        <v>149</v>
      </c>
      <c r="S19">
        <v>18179.5</v>
      </c>
      <c r="T19">
        <v>-11720.5</v>
      </c>
      <c r="U19" cm="1">
        <f t="array" ref="U19">IFERROR(_xlfn.IFS(tblPedidos[[#This Row],[estado_operativo]]="ENTREGADO",tblPedidos[[#This Row],[ganancia_calc]],tblPedidos[[#This Row],[estado_operativo]]="DEVOLUCION",tblPedidos[[#This Row],[costo_devolucion_estimado]]),0)</f>
        <v>0</v>
      </c>
      <c r="V19">
        <v>0</v>
      </c>
      <c r="W19">
        <v>54900</v>
      </c>
      <c r="X19">
        <v>11720.5</v>
      </c>
      <c r="Y19">
        <v>25000</v>
      </c>
      <c r="Z19" s="11">
        <v>46043</v>
      </c>
      <c r="AA19">
        <v>1</v>
      </c>
      <c r="AB19" s="12">
        <v>0.9375</v>
      </c>
      <c r="AC19" t="s">
        <v>37</v>
      </c>
      <c r="AD19" t="s">
        <v>37</v>
      </c>
      <c r="AE19" t="s">
        <v>37</v>
      </c>
    </row>
    <row r="20" spans="1:31">
      <c r="A20" t="s">
        <v>33</v>
      </c>
      <c r="C20">
        <v>1017</v>
      </c>
      <c r="D20" t="s">
        <v>150</v>
      </c>
      <c r="E20" s="11">
        <v>46043</v>
      </c>
      <c r="F20" t="s">
        <v>151</v>
      </c>
      <c r="G20" t="s">
        <v>45</v>
      </c>
      <c r="J20" t="s">
        <v>37</v>
      </c>
      <c r="L20" t="s">
        <v>152</v>
      </c>
      <c r="M20" t="s">
        <v>153</v>
      </c>
      <c r="N20" t="s">
        <v>154</v>
      </c>
      <c r="O20" t="s">
        <v>155</v>
      </c>
      <c r="P20" t="str" cm="1">
        <f t="array" aca="1" ref="P20" ca="1">IFERROR(_xlfn.XLOOKUP(tblPedidos[[#This Row],[id_dropi]],tblNotas[[#This Row],[id__dropi]],tblNotas[[#This Row],[Notas Manuales]], “”, 0),"")</f>
        <v/>
      </c>
      <c r="Q20" t="s">
        <v>156</v>
      </c>
      <c r="R20" t="s">
        <v>42</v>
      </c>
      <c r="S20">
        <v>22829.5</v>
      </c>
      <c r="T20">
        <v>-17670.5</v>
      </c>
      <c r="U20" cm="1">
        <f t="array" ref="U20">IFERROR(_xlfn.IFS(tblPedidos[[#This Row],[estado_operativo]]="ENTREGADO",tblPedidos[[#This Row],[ganancia_calc]],tblPedidos[[#This Row],[estado_operativo]]="DEVOLUCION",tblPedidos[[#This Row],[costo_devolucion_estimado]]),0)</f>
        <v>0</v>
      </c>
      <c r="V20">
        <v>0</v>
      </c>
      <c r="W20">
        <v>54900</v>
      </c>
      <c r="X20">
        <v>17670.5</v>
      </c>
      <c r="Y20">
        <v>14400</v>
      </c>
      <c r="Z20" s="11">
        <v>46043</v>
      </c>
      <c r="AA20">
        <v>1</v>
      </c>
      <c r="AB20" s="12">
        <v>0.93680555555555556</v>
      </c>
      <c r="AC20" t="s">
        <v>37</v>
      </c>
      <c r="AD20" t="s">
        <v>37</v>
      </c>
      <c r="AE20" t="s">
        <v>37</v>
      </c>
    </row>
    <row r="21" spans="1:31">
      <c r="A21" t="s">
        <v>33</v>
      </c>
      <c r="C21">
        <v>1007</v>
      </c>
      <c r="D21" t="s">
        <v>157</v>
      </c>
      <c r="E21" s="11">
        <v>46043</v>
      </c>
      <c r="F21" t="s">
        <v>158</v>
      </c>
      <c r="G21" t="s">
        <v>45</v>
      </c>
      <c r="J21" t="s">
        <v>37</v>
      </c>
      <c r="L21" t="s">
        <v>159</v>
      </c>
      <c r="M21" t="s">
        <v>160</v>
      </c>
      <c r="N21" t="s">
        <v>161</v>
      </c>
      <c r="O21" t="s">
        <v>162</v>
      </c>
      <c r="P21" t="str" cm="1">
        <f t="array" aca="1" ref="P21" ca="1">IFERROR(_xlfn.XLOOKUP(tblPedidos[[#This Row],[id_dropi]],tblNotas[[#This Row],[id__dropi]],tblNotas[[#This Row],[Notas Manuales]], “”, 0),"")</f>
        <v/>
      </c>
      <c r="Q21" t="s">
        <v>163</v>
      </c>
      <c r="R21" t="s">
        <v>122</v>
      </c>
      <c r="S21">
        <v>34054.5</v>
      </c>
      <c r="T21">
        <v>-12395.5</v>
      </c>
      <c r="U21" cm="1">
        <f t="array" ref="U21">IFERROR(_xlfn.IFS(tblPedidos[[#This Row],[estado_operativo]]="ENTREGADO",tblPedidos[[#This Row],[ganancia_calc]],tblPedidos[[#This Row],[estado_operativo]]="DEVOLUCION",tblPedidos[[#This Row],[costo_devolucion_estimado]]),0)</f>
        <v>0</v>
      </c>
      <c r="V21">
        <v>0</v>
      </c>
      <c r="W21">
        <v>69900</v>
      </c>
      <c r="X21">
        <v>12395.5</v>
      </c>
      <c r="Y21">
        <v>23450</v>
      </c>
      <c r="Z21" s="11">
        <v>46043</v>
      </c>
      <c r="AA21">
        <v>1</v>
      </c>
      <c r="AB21" s="12">
        <v>0.93680555555555556</v>
      </c>
      <c r="AC21" t="s">
        <v>37</v>
      </c>
      <c r="AD21" t="s">
        <v>37</v>
      </c>
      <c r="AE21" t="s">
        <v>37</v>
      </c>
    </row>
    <row r="22" spans="1:31">
      <c r="A22" t="s">
        <v>33</v>
      </c>
      <c r="C22">
        <v>1008</v>
      </c>
      <c r="D22" t="s">
        <v>164</v>
      </c>
      <c r="E22" s="11">
        <v>46043</v>
      </c>
      <c r="F22" t="s">
        <v>165</v>
      </c>
      <c r="G22" t="s">
        <v>45</v>
      </c>
      <c r="J22" t="s">
        <v>37</v>
      </c>
      <c r="L22" t="s">
        <v>166</v>
      </c>
      <c r="M22" t="s">
        <v>167</v>
      </c>
      <c r="N22" t="s">
        <v>168</v>
      </c>
      <c r="O22" t="s">
        <v>169</v>
      </c>
      <c r="P22" t="str" cm="1">
        <f t="array" aca="1" ref="P22" ca="1">IFERROR(_xlfn.XLOOKUP(tblPedidos[[#This Row],[id_dropi]],tblNotas[[#This Row],[id__dropi]],tblNotas[[#This Row],[Notas Manuales]], “”, 0),"")</f>
        <v/>
      </c>
      <c r="Q22" t="s">
        <v>170</v>
      </c>
      <c r="R22" t="s">
        <v>51</v>
      </c>
      <c r="S22">
        <v>27529.5</v>
      </c>
      <c r="T22">
        <v>-18570.5</v>
      </c>
      <c r="U22" cm="1">
        <f t="array" ref="U22">IFERROR(_xlfn.IFS(tblPedidos[[#This Row],[estado_operativo]]="ENTREGADO",tblPedidos[[#This Row],[ganancia_calc]],tblPedidos[[#This Row],[estado_operativo]]="DEVOLUCION",tblPedidos[[#This Row],[costo_devolucion_estimado]]),0)</f>
        <v>0</v>
      </c>
      <c r="V22">
        <v>0</v>
      </c>
      <c r="W22">
        <v>74900</v>
      </c>
      <c r="X22">
        <v>18570.5</v>
      </c>
      <c r="Y22">
        <v>28800</v>
      </c>
      <c r="Z22" s="11">
        <v>46043</v>
      </c>
      <c r="AA22">
        <v>1</v>
      </c>
      <c r="AB22" s="12">
        <v>0.93541666666666667</v>
      </c>
      <c r="AC22" t="s">
        <v>37</v>
      </c>
      <c r="AD22" t="s">
        <v>37</v>
      </c>
      <c r="AE22" t="s">
        <v>37</v>
      </c>
    </row>
    <row r="23" spans="1:31">
      <c r="A23" t="s">
        <v>33</v>
      </c>
      <c r="C23">
        <v>1009</v>
      </c>
      <c r="D23" t="s">
        <v>171</v>
      </c>
      <c r="E23" s="11">
        <v>46043</v>
      </c>
      <c r="F23" t="s">
        <v>172</v>
      </c>
      <c r="G23" t="s">
        <v>45</v>
      </c>
      <c r="J23" t="s">
        <v>37</v>
      </c>
      <c r="L23" t="s">
        <v>46</v>
      </c>
      <c r="M23" t="s">
        <v>100</v>
      </c>
      <c r="N23" t="s">
        <v>173</v>
      </c>
      <c r="O23" t="s">
        <v>174</v>
      </c>
      <c r="P23" t="str" cm="1">
        <f t="array" aca="1" ref="P23" ca="1">IFERROR(_xlfn.XLOOKUP(tblPedidos[[#This Row],[id_dropi]],tblNotas[[#This Row],[id__dropi]],tblNotas[[#This Row],[Notas Manuales]], “”, 0),"")</f>
        <v/>
      </c>
      <c r="Q23" t="s">
        <v>175</v>
      </c>
      <c r="R23" t="s">
        <v>122</v>
      </c>
      <c r="S23">
        <v>28104.5</v>
      </c>
      <c r="T23">
        <v>-18345.5</v>
      </c>
      <c r="U23" cm="1">
        <f t="array" ref="U23">IFERROR(_xlfn.IFS(tblPedidos[[#This Row],[estado_operativo]]="ENTREGADO",tblPedidos[[#This Row],[ganancia_calc]],tblPedidos[[#This Row],[estado_operativo]]="DEVOLUCION",tblPedidos[[#This Row],[costo_devolucion_estimado]]),0)</f>
        <v>0</v>
      </c>
      <c r="V23">
        <v>0</v>
      </c>
      <c r="W23">
        <v>69900</v>
      </c>
      <c r="X23">
        <v>18345.5</v>
      </c>
      <c r="Y23">
        <v>23450</v>
      </c>
      <c r="Z23" s="11">
        <v>46043</v>
      </c>
      <c r="AA23">
        <v>1</v>
      </c>
      <c r="AB23" s="12">
        <v>0.93472222222222223</v>
      </c>
      <c r="AC23" t="s">
        <v>37</v>
      </c>
      <c r="AD23" t="s">
        <v>37</v>
      </c>
      <c r="AE23" t="s">
        <v>37</v>
      </c>
    </row>
    <row r="24" spans="1:31">
      <c r="A24" t="s">
        <v>33</v>
      </c>
      <c r="C24">
        <v>1006</v>
      </c>
      <c r="D24" t="s">
        <v>176</v>
      </c>
      <c r="E24" s="11">
        <v>46043</v>
      </c>
      <c r="F24" t="s">
        <v>177</v>
      </c>
      <c r="G24" t="s">
        <v>45</v>
      </c>
      <c r="J24" t="s">
        <v>37</v>
      </c>
      <c r="L24" t="s">
        <v>178</v>
      </c>
      <c r="M24" t="s">
        <v>179</v>
      </c>
      <c r="N24" t="s">
        <v>180</v>
      </c>
      <c r="O24" t="s">
        <v>181</v>
      </c>
      <c r="P24" t="str" cm="1">
        <f t="array" aca="1" ref="P24" ca="1">IFERROR(_xlfn.XLOOKUP(tblPedidos[[#This Row],[id_dropi]],tblNotas[[#This Row],[id__dropi]],tblNotas[[#This Row],[Notas Manuales]], “”, 0),"")</f>
        <v/>
      </c>
      <c r="Q24" t="s">
        <v>50</v>
      </c>
      <c r="R24" t="s">
        <v>58</v>
      </c>
      <c r="S24">
        <v>20654.5</v>
      </c>
      <c r="T24">
        <v>-19245.5</v>
      </c>
      <c r="U24" cm="1">
        <f t="array" ref="U24">IFERROR(_xlfn.IFS(tblPedidos[[#This Row],[estado_operativo]]="ENTREGADO",tblPedidos[[#This Row],[ganancia_calc]],tblPedidos[[#This Row],[estado_operativo]]="DEVOLUCION",tblPedidos[[#This Row],[costo_devolucion_estimado]]),0)</f>
        <v>0</v>
      </c>
      <c r="V24">
        <v>0</v>
      </c>
      <c r="W24">
        <v>89900</v>
      </c>
      <c r="X24">
        <v>19245.5</v>
      </c>
      <c r="Y24">
        <v>50000</v>
      </c>
      <c r="Z24" s="11">
        <v>46043</v>
      </c>
      <c r="AA24">
        <v>1</v>
      </c>
      <c r="AB24" s="12">
        <v>0.93402777777777779</v>
      </c>
      <c r="AC24" t="s">
        <v>37</v>
      </c>
      <c r="AD24" t="s">
        <v>37</v>
      </c>
      <c r="AE24" t="s">
        <v>37</v>
      </c>
    </row>
    <row r="25" spans="1:31">
      <c r="A25" t="s">
        <v>33</v>
      </c>
      <c r="C25">
        <v>1003</v>
      </c>
      <c r="D25" t="s">
        <v>182</v>
      </c>
      <c r="E25" s="11">
        <v>46043</v>
      </c>
      <c r="F25" t="s">
        <v>183</v>
      </c>
      <c r="G25" t="s">
        <v>45</v>
      </c>
      <c r="J25" t="s">
        <v>37</v>
      </c>
      <c r="L25" t="s">
        <v>125</v>
      </c>
      <c r="M25" t="s">
        <v>184</v>
      </c>
      <c r="N25" t="s">
        <v>185</v>
      </c>
      <c r="O25" t="s">
        <v>186</v>
      </c>
      <c r="P25" t="str" cm="1">
        <f t="array" aca="1" ref="P25" ca="1">IFERROR(_xlfn.XLOOKUP(tblPedidos[[#This Row],[id_dropi]],tblNotas[[#This Row],[id__dropi]],tblNotas[[#This Row],[Notas Manuales]], “”, 0),"")</f>
        <v/>
      </c>
      <c r="R25" t="s">
        <v>58</v>
      </c>
      <c r="S25">
        <v>15879.5</v>
      </c>
      <c r="T25">
        <v>-19020.5</v>
      </c>
      <c r="U25" cm="1">
        <f t="array" ref="U25">IFERROR(_xlfn.IFS(tblPedidos[[#This Row],[estado_operativo]]="ENTREGADO",tblPedidos[[#This Row],[ganancia_calc]],tblPedidos[[#This Row],[estado_operativo]]="DEVOLUCION",tblPedidos[[#This Row],[costo_devolucion_estimado]]),0)</f>
        <v>0</v>
      </c>
      <c r="V25">
        <v>0</v>
      </c>
      <c r="W25">
        <v>84900</v>
      </c>
      <c r="X25">
        <v>19020.5</v>
      </c>
      <c r="Y25">
        <v>50000</v>
      </c>
      <c r="Z25" s="11">
        <v>46043</v>
      </c>
      <c r="AA25">
        <v>1</v>
      </c>
      <c r="AB25" s="12">
        <v>0.93402777777777779</v>
      </c>
      <c r="AC25" t="s">
        <v>37</v>
      </c>
      <c r="AD25" t="s">
        <v>37</v>
      </c>
      <c r="AE25" t="s">
        <v>37</v>
      </c>
    </row>
    <row r="26" spans="1:31" s="44" customFormat="1">
      <c r="A26" t="s">
        <v>33</v>
      </c>
      <c r="B26"/>
      <c r="C26">
        <v>1004</v>
      </c>
      <c r="D26" t="s">
        <v>187</v>
      </c>
      <c r="E26" s="11">
        <v>46043</v>
      </c>
      <c r="F26" t="s">
        <v>188</v>
      </c>
      <c r="G26" t="s">
        <v>45</v>
      </c>
      <c r="H26"/>
      <c r="I26"/>
      <c r="J26" t="s">
        <v>37</v>
      </c>
      <c r="K26"/>
      <c r="L26" t="s">
        <v>87</v>
      </c>
      <c r="M26" t="s">
        <v>88</v>
      </c>
      <c r="N26" t="s">
        <v>189</v>
      </c>
      <c r="O26" t="s">
        <v>190</v>
      </c>
      <c r="P26" t="str" cm="1">
        <f t="array" aca="1" ref="P26" ca="1">IFERROR(_xlfn.XLOOKUP(tblPedidos[[#This Row],[id_dropi]],tblNotas[[#This Row],[id__dropi]],tblNotas[[#This Row],[Notas Manuales]], “”, 0),"")</f>
        <v/>
      </c>
      <c r="Q26"/>
      <c r="R26" t="s">
        <v>51</v>
      </c>
      <c r="S26">
        <v>27529.5</v>
      </c>
      <c r="T26">
        <v>-18570.5</v>
      </c>
      <c r="U26" cm="1">
        <f t="array" ref="U26">IFERROR(_xlfn.IFS(tblPedidos[[#This Row],[estado_operativo]]="ENTREGADO",tblPedidos[[#This Row],[ganancia_calc]],tblPedidos[[#This Row],[estado_operativo]]="DEVOLUCION",tblPedidos[[#This Row],[costo_devolucion_estimado]]),0)</f>
        <v>0</v>
      </c>
      <c r="V26">
        <v>0</v>
      </c>
      <c r="W26">
        <v>74900</v>
      </c>
      <c r="X26">
        <v>18570.5</v>
      </c>
      <c r="Y26">
        <v>28800</v>
      </c>
      <c r="Z26" s="11">
        <v>46043</v>
      </c>
      <c r="AA26">
        <v>1</v>
      </c>
      <c r="AB26" s="12">
        <v>0.93263888888888891</v>
      </c>
      <c r="AC26" t="s">
        <v>37</v>
      </c>
      <c r="AD26" t="s">
        <v>37</v>
      </c>
      <c r="AE26" t="s">
        <v>37</v>
      </c>
    </row>
    <row r="27" spans="1:31">
      <c r="A27" t="s">
        <v>33</v>
      </c>
      <c r="C27">
        <v>1005</v>
      </c>
      <c r="D27" t="s">
        <v>191</v>
      </c>
      <c r="E27" s="11">
        <v>46043</v>
      </c>
      <c r="F27" t="s">
        <v>192</v>
      </c>
      <c r="G27" t="s">
        <v>45</v>
      </c>
      <c r="J27" t="s">
        <v>37</v>
      </c>
      <c r="L27" t="s">
        <v>111</v>
      </c>
      <c r="M27" t="s">
        <v>193</v>
      </c>
      <c r="N27" t="s">
        <v>194</v>
      </c>
      <c r="O27" t="s">
        <v>195</v>
      </c>
      <c r="P27" t="str" cm="1">
        <f t="array" aca="1" ref="P27" ca="1">IFERROR(_xlfn.XLOOKUP(tblPedidos[[#This Row],[id_dropi]],tblNotas[[#This Row],[id__dropi]],tblNotas[[#This Row],[Notas Manuales]], “”, 0),"")</f>
        <v/>
      </c>
      <c r="R27" t="s">
        <v>196</v>
      </c>
      <c r="S27">
        <v>35429.5</v>
      </c>
      <c r="T27">
        <v>-19470.5</v>
      </c>
      <c r="U27" cm="1">
        <f t="array" ref="U27">IFERROR(_xlfn.IFS(tblPedidos[[#This Row],[estado_operativo]]="ENTREGADO",tblPedidos[[#This Row],[ganancia_calc]],tblPedidos[[#This Row],[estado_operativo]]="DEVOLUCION",tblPedidos[[#This Row],[costo_devolucion_estimado]]),0)</f>
        <v>0</v>
      </c>
      <c r="V27">
        <v>0</v>
      </c>
      <c r="W27">
        <v>94900</v>
      </c>
      <c r="X27">
        <v>19470.5</v>
      </c>
      <c r="Y27">
        <v>40000</v>
      </c>
      <c r="Z27" s="11">
        <v>46043</v>
      </c>
      <c r="AA27">
        <v>1</v>
      </c>
      <c r="AB27" s="12">
        <v>0.93263888888888891</v>
      </c>
      <c r="AC27" t="s">
        <v>37</v>
      </c>
      <c r="AD27" t="s">
        <v>37</v>
      </c>
      <c r="AE27" t="s">
        <v>37</v>
      </c>
    </row>
    <row r="28" spans="1:31">
      <c r="A28" t="s">
        <v>33</v>
      </c>
      <c r="C28">
        <v>1014</v>
      </c>
      <c r="D28" t="s">
        <v>197</v>
      </c>
      <c r="E28" s="11">
        <v>46043</v>
      </c>
      <c r="F28" t="s">
        <v>198</v>
      </c>
      <c r="G28" t="s">
        <v>45</v>
      </c>
      <c r="J28" t="s">
        <v>37</v>
      </c>
      <c r="L28" t="s">
        <v>166</v>
      </c>
      <c r="M28" t="s">
        <v>199</v>
      </c>
      <c r="N28" t="s">
        <v>200</v>
      </c>
      <c r="O28" t="s">
        <v>201</v>
      </c>
      <c r="P28" t="str" cm="1">
        <f t="array" aca="1" ref="P28" ca="1">IFERROR(_xlfn.XLOOKUP(tblPedidos[[#This Row],[id_dropi]],tblNotas[[#This Row],[id__dropi]],tblNotas[[#This Row],[Notas Manuales]], “”, 0),"")</f>
        <v/>
      </c>
      <c r="Q28" t="s">
        <v>202</v>
      </c>
      <c r="R28" t="s">
        <v>203</v>
      </c>
      <c r="S28">
        <v>22054.5</v>
      </c>
      <c r="T28">
        <v>-17895.5</v>
      </c>
      <c r="U28" cm="1">
        <f t="array" ref="U28">IFERROR(_xlfn.IFS(tblPedidos[[#This Row],[estado_operativo]]="ENTREGADO",tblPedidos[[#This Row],[ganancia_calc]],tblPedidos[[#This Row],[estado_operativo]]="DEVOLUCION",tblPedidos[[#This Row],[costo_devolucion_estimado]]),0)</f>
        <v>0</v>
      </c>
      <c r="V28">
        <v>0</v>
      </c>
      <c r="W28">
        <v>59900</v>
      </c>
      <c r="X28">
        <v>17895.5</v>
      </c>
      <c r="Y28">
        <v>19950</v>
      </c>
      <c r="Z28" s="11">
        <v>46043</v>
      </c>
      <c r="AA28">
        <v>1</v>
      </c>
      <c r="AB28" s="12">
        <v>0.93263888888888891</v>
      </c>
      <c r="AC28" t="s">
        <v>37</v>
      </c>
      <c r="AD28" t="s">
        <v>37</v>
      </c>
      <c r="AE28" t="s">
        <v>37</v>
      </c>
    </row>
    <row r="29" spans="1:31">
      <c r="A29" t="s">
        <v>33</v>
      </c>
      <c r="C29">
        <v>1015</v>
      </c>
      <c r="D29" t="s">
        <v>204</v>
      </c>
      <c r="E29" s="11">
        <v>46043</v>
      </c>
      <c r="F29" t="s">
        <v>205</v>
      </c>
      <c r="G29" t="s">
        <v>45</v>
      </c>
      <c r="J29" t="s">
        <v>37</v>
      </c>
      <c r="L29" t="s">
        <v>136</v>
      </c>
      <c r="M29" t="s">
        <v>206</v>
      </c>
      <c r="N29" t="s">
        <v>207</v>
      </c>
      <c r="O29" t="s">
        <v>208</v>
      </c>
      <c r="P29" t="str" cm="1">
        <f t="array" aca="1" ref="P29" ca="1">IFERROR(_xlfn.XLOOKUP(tblPedidos[[#This Row],[id_dropi]],tblNotas[[#This Row],[id__dropi]],tblNotas[[#This Row],[Notas Manuales]], “”, 0),"")</f>
        <v/>
      </c>
      <c r="Q29" t="s">
        <v>209</v>
      </c>
      <c r="R29" t="s">
        <v>122</v>
      </c>
      <c r="S29">
        <v>30551</v>
      </c>
      <c r="T29">
        <v>-15899</v>
      </c>
      <c r="U29" cm="1">
        <f t="array" ref="U29">IFERROR(_xlfn.IFS(tblPedidos[[#This Row],[estado_operativo]]="ENTREGADO",tblPedidos[[#This Row],[ganancia_calc]],tblPedidos[[#This Row],[estado_operativo]]="DEVOLUCION",tblPedidos[[#This Row],[costo_devolucion_estimado]]),0)</f>
        <v>0</v>
      </c>
      <c r="V29">
        <v>0</v>
      </c>
      <c r="W29">
        <v>69900</v>
      </c>
      <c r="X29">
        <v>15899</v>
      </c>
      <c r="Y29">
        <v>23450</v>
      </c>
      <c r="Z29" s="11">
        <v>46043</v>
      </c>
      <c r="AA29">
        <v>1</v>
      </c>
      <c r="AB29" s="12">
        <v>0.93055555555555558</v>
      </c>
      <c r="AC29" t="s">
        <v>37</v>
      </c>
      <c r="AD29" t="s">
        <v>37</v>
      </c>
      <c r="AE29" t="s">
        <v>37</v>
      </c>
    </row>
    <row r="30" spans="1:31">
      <c r="A30" t="s">
        <v>33</v>
      </c>
      <c r="C30">
        <v>1016</v>
      </c>
      <c r="D30" t="s">
        <v>210</v>
      </c>
      <c r="E30" s="11">
        <v>46043</v>
      </c>
      <c r="F30" t="s">
        <v>211</v>
      </c>
      <c r="G30" t="s">
        <v>45</v>
      </c>
      <c r="J30" t="s">
        <v>37</v>
      </c>
      <c r="L30" t="s">
        <v>212</v>
      </c>
      <c r="M30" t="s">
        <v>213</v>
      </c>
      <c r="N30" t="s">
        <v>214</v>
      </c>
      <c r="O30" t="s">
        <v>215</v>
      </c>
      <c r="P30" t="str" cm="1">
        <f t="array" aca="1" ref="P30" ca="1">IFERROR(_xlfn.XLOOKUP(tblPedidos[[#This Row],[id_dropi]],tblNotas[[#This Row],[id__dropi]],tblNotas[[#This Row],[Notas Manuales]], “”, 0),"")</f>
        <v/>
      </c>
      <c r="R30" t="s">
        <v>58</v>
      </c>
      <c r="S30">
        <v>15879.5</v>
      </c>
      <c r="T30">
        <v>-19020.5</v>
      </c>
      <c r="U30" cm="1">
        <f t="array" ref="U30">IFERROR(_xlfn.IFS(tblPedidos[[#This Row],[estado_operativo]]="ENTREGADO",tblPedidos[[#This Row],[ganancia_calc]],tblPedidos[[#This Row],[estado_operativo]]="DEVOLUCION",tblPedidos[[#This Row],[costo_devolucion_estimado]]),0)</f>
        <v>0</v>
      </c>
      <c r="V30">
        <v>0</v>
      </c>
      <c r="W30">
        <v>84900</v>
      </c>
      <c r="X30">
        <v>19020.5</v>
      </c>
      <c r="Y30">
        <v>50000</v>
      </c>
      <c r="Z30" s="11">
        <v>46043</v>
      </c>
      <c r="AA30">
        <v>1</v>
      </c>
      <c r="AB30" s="12">
        <v>0.93055555555555558</v>
      </c>
      <c r="AC30" t="s">
        <v>37</v>
      </c>
      <c r="AD30" t="s">
        <v>37</v>
      </c>
      <c r="AE30" t="s">
        <v>37</v>
      </c>
    </row>
    <row r="31" spans="1:31">
      <c r="A31" t="s">
        <v>33</v>
      </c>
      <c r="C31">
        <v>1013</v>
      </c>
      <c r="D31" t="s">
        <v>216</v>
      </c>
      <c r="E31" s="11">
        <v>46043</v>
      </c>
      <c r="F31" t="s">
        <v>217</v>
      </c>
      <c r="G31" t="s">
        <v>45</v>
      </c>
      <c r="J31" t="s">
        <v>37</v>
      </c>
      <c r="L31" t="s">
        <v>125</v>
      </c>
      <c r="M31" t="s">
        <v>218</v>
      </c>
      <c r="N31" t="s">
        <v>219</v>
      </c>
      <c r="O31" t="s">
        <v>220</v>
      </c>
      <c r="P31" t="str" cm="1">
        <f t="array" aca="1" ref="P31" ca="1">IFERROR(_xlfn.XLOOKUP(tblPedidos[[#This Row],[id_dropi]],tblNotas[[#This Row],[id__dropi]],tblNotas[[#This Row],[Notas Manuales]], “”, 0),"")</f>
        <v/>
      </c>
      <c r="Q31" t="s">
        <v>50</v>
      </c>
      <c r="R31" t="s">
        <v>221</v>
      </c>
      <c r="S31">
        <v>26554.5</v>
      </c>
      <c r="T31">
        <v>-18345.5</v>
      </c>
      <c r="U31" cm="1">
        <f t="array" ref="U31">IFERROR(_xlfn.IFS(tblPedidos[[#This Row],[estado_operativo]]="ENTREGADO",tblPedidos[[#This Row],[ganancia_calc]],tblPedidos[[#This Row],[estado_operativo]]="DEVOLUCION",tblPedidos[[#This Row],[costo_devolucion_estimado]]),0)</f>
        <v>0</v>
      </c>
      <c r="V31">
        <v>0</v>
      </c>
      <c r="W31">
        <v>69900</v>
      </c>
      <c r="X31">
        <v>18345.5</v>
      </c>
      <c r="Y31">
        <v>25000</v>
      </c>
      <c r="Z31" s="11">
        <v>46043</v>
      </c>
      <c r="AA31">
        <v>1</v>
      </c>
      <c r="AB31" s="12">
        <v>0.92986111111111114</v>
      </c>
      <c r="AC31" t="s">
        <v>37</v>
      </c>
      <c r="AD31" t="s">
        <v>37</v>
      </c>
      <c r="AE31" t="s">
        <v>37</v>
      </c>
    </row>
    <row r="32" spans="1:31" s="44" customFormat="1">
      <c r="A32" t="s">
        <v>33</v>
      </c>
      <c r="B32"/>
      <c r="C32">
        <v>1010</v>
      </c>
      <c r="D32" t="s">
        <v>222</v>
      </c>
      <c r="E32" s="11">
        <v>46043</v>
      </c>
      <c r="F32" t="s">
        <v>223</v>
      </c>
      <c r="G32" t="s">
        <v>36</v>
      </c>
      <c r="H32"/>
      <c r="I32"/>
      <c r="J32" t="s">
        <v>37</v>
      </c>
      <c r="K32"/>
      <c r="L32" t="s">
        <v>54</v>
      </c>
      <c r="M32" t="s">
        <v>224</v>
      </c>
      <c r="N32" t="s">
        <v>225</v>
      </c>
      <c r="O32" t="s">
        <v>226</v>
      </c>
      <c r="P32" t="str" cm="1">
        <f t="array" aca="1" ref="P32" ca="1">IFERROR(_xlfn.XLOOKUP(tblPedidos[[#This Row],[id_dropi]],tblNotas[[#This Row],[id__dropi]],tblNotas[[#This Row],[Notas Manuales]], “”, 0),"")</f>
        <v/>
      </c>
      <c r="Q32"/>
      <c r="R32" t="s">
        <v>221</v>
      </c>
      <c r="S32">
        <v>29236.5</v>
      </c>
      <c r="T32">
        <v>-12530.800000000001</v>
      </c>
      <c r="U32" cm="1">
        <f t="array" ref="U32">IFERROR(_xlfn.IFS(tblPedidos[[#This Row],[estado_operativo]]="ENTREGADO",tblPedidos[[#This Row],[ganancia_calc]],tblPedidos[[#This Row],[estado_operativo]]="DEVOLUCION",tblPedidos[[#This Row],[costo_devolucion_estimado]]),0)</f>
        <v>0</v>
      </c>
      <c r="V32">
        <v>0</v>
      </c>
      <c r="W32">
        <v>69900</v>
      </c>
      <c r="X32">
        <v>15663.5</v>
      </c>
      <c r="Y32">
        <v>25000</v>
      </c>
      <c r="Z32" s="11">
        <v>46043</v>
      </c>
      <c r="AA32">
        <v>1</v>
      </c>
      <c r="AB32" s="12">
        <v>0.9291666666666667</v>
      </c>
      <c r="AC32" t="s">
        <v>37</v>
      </c>
      <c r="AD32" t="s">
        <v>37</v>
      </c>
      <c r="AE32" t="s">
        <v>37</v>
      </c>
    </row>
    <row r="33" spans="1:31">
      <c r="A33" t="s">
        <v>33</v>
      </c>
      <c r="C33">
        <v>1011</v>
      </c>
      <c r="D33" t="s">
        <v>227</v>
      </c>
      <c r="E33" s="11">
        <v>46043</v>
      </c>
      <c r="F33" t="s">
        <v>228</v>
      </c>
      <c r="G33" t="s">
        <v>45</v>
      </c>
      <c r="J33" t="s">
        <v>37</v>
      </c>
      <c r="L33" t="s">
        <v>212</v>
      </c>
      <c r="M33" t="s">
        <v>229</v>
      </c>
      <c r="N33" t="s">
        <v>230</v>
      </c>
      <c r="O33" t="s">
        <v>231</v>
      </c>
      <c r="P33" t="str" cm="1">
        <f t="array" aca="1" ref="P33" ca="1">IFERROR(_xlfn.XLOOKUP(tblPedidos[[#This Row],[id_dropi]],tblNotas[[#This Row],[id__dropi]],tblNotas[[#This Row],[Notas Manuales]], “”, 0),"")</f>
        <v/>
      </c>
      <c r="R33" t="s">
        <v>51</v>
      </c>
      <c r="S33">
        <v>22754.5</v>
      </c>
      <c r="T33">
        <v>-18345.5</v>
      </c>
      <c r="U33" cm="1">
        <f t="array" ref="U33">IFERROR(_xlfn.IFS(tblPedidos[[#This Row],[estado_operativo]]="ENTREGADO",tblPedidos[[#This Row],[ganancia_calc]],tblPedidos[[#This Row],[estado_operativo]]="DEVOLUCION",tblPedidos[[#This Row],[costo_devolucion_estimado]]),0)</f>
        <v>0</v>
      </c>
      <c r="V33">
        <v>0</v>
      </c>
      <c r="W33">
        <v>69900</v>
      </c>
      <c r="X33">
        <v>18345.5</v>
      </c>
      <c r="Y33">
        <v>28800</v>
      </c>
      <c r="Z33" s="11">
        <v>46043</v>
      </c>
      <c r="AA33">
        <v>1</v>
      </c>
      <c r="AB33" s="12">
        <v>0.92847222222222225</v>
      </c>
      <c r="AC33" t="s">
        <v>37</v>
      </c>
      <c r="AD33" t="s">
        <v>37</v>
      </c>
      <c r="AE33" t="s">
        <v>37</v>
      </c>
    </row>
    <row r="34" spans="1:31">
      <c r="A34" t="s">
        <v>33</v>
      </c>
      <c r="C34">
        <v>1012</v>
      </c>
      <c r="D34" t="s">
        <v>232</v>
      </c>
      <c r="E34" s="11">
        <v>46043</v>
      </c>
      <c r="F34" t="s">
        <v>233</v>
      </c>
      <c r="G34" t="s">
        <v>45</v>
      </c>
      <c r="J34" t="s">
        <v>37</v>
      </c>
      <c r="L34" t="s">
        <v>234</v>
      </c>
      <c r="M34" t="s">
        <v>235</v>
      </c>
      <c r="N34" t="s">
        <v>236</v>
      </c>
      <c r="O34" t="s">
        <v>237</v>
      </c>
      <c r="P34" t="str" cm="1">
        <f t="array" aca="1" ref="P34" ca="1">IFERROR(_xlfn.XLOOKUP(tblPedidos[[#This Row],[id_dropi]],tblNotas[[#This Row],[id__dropi]],tblNotas[[#This Row],[Notas Manuales]], “”, 0),"")</f>
        <v/>
      </c>
      <c r="Q34" t="s">
        <v>50</v>
      </c>
      <c r="R34" t="s">
        <v>238</v>
      </c>
      <c r="S34">
        <v>24004.5</v>
      </c>
      <c r="T34">
        <v>-17895.5</v>
      </c>
      <c r="U34" cm="1">
        <f t="array" ref="U34">IFERROR(_xlfn.IFS(tblPedidos[[#This Row],[estado_operativo]]="ENTREGADO",tblPedidos[[#This Row],[ganancia_calc]],tblPedidos[[#This Row],[estado_operativo]]="DEVOLUCION",tblPedidos[[#This Row],[costo_devolucion_estimado]]),0)</f>
        <v>0</v>
      </c>
      <c r="V34">
        <v>0</v>
      </c>
      <c r="W34">
        <v>59900</v>
      </c>
      <c r="X34">
        <v>17895.5</v>
      </c>
      <c r="Y34">
        <v>18000</v>
      </c>
      <c r="Z34" s="11">
        <v>46043</v>
      </c>
      <c r="AA34">
        <v>1</v>
      </c>
      <c r="AB34" s="12">
        <v>0.92777777777777781</v>
      </c>
      <c r="AC34" t="s">
        <v>37</v>
      </c>
      <c r="AD34" t="s">
        <v>37</v>
      </c>
      <c r="AE34" t="s">
        <v>37</v>
      </c>
    </row>
    <row r="35" spans="1:31">
      <c r="A35" t="s">
        <v>33</v>
      </c>
      <c r="C35">
        <v>1051</v>
      </c>
      <c r="D35" t="s">
        <v>239</v>
      </c>
      <c r="E35" s="11">
        <v>46043</v>
      </c>
      <c r="F35" t="s">
        <v>240</v>
      </c>
      <c r="G35" t="s">
        <v>45</v>
      </c>
      <c r="J35" t="s">
        <v>37</v>
      </c>
      <c r="L35" t="s">
        <v>166</v>
      </c>
      <c r="M35" t="s">
        <v>241</v>
      </c>
      <c r="N35" t="s">
        <v>242</v>
      </c>
      <c r="O35" t="s">
        <v>243</v>
      </c>
      <c r="P35" t="str" cm="1">
        <f t="array" aca="1" ref="P35" ca="1">IFERROR(_xlfn.XLOOKUP(tblPedidos[[#This Row],[id_dropi]],tblNotas[[#This Row],[id__dropi]],tblNotas[[#This Row],[Notas Manuales]], “”, 0),"")</f>
        <v/>
      </c>
      <c r="Q35" t="s">
        <v>244</v>
      </c>
      <c r="R35" t="s">
        <v>245</v>
      </c>
      <c r="S35">
        <v>24879.5</v>
      </c>
      <c r="T35">
        <v>-19020.5</v>
      </c>
      <c r="U35" cm="1">
        <f t="array" ref="U35">IFERROR(_xlfn.IFS(tblPedidos[[#This Row],[estado_operativo]]="ENTREGADO",tblPedidos[[#This Row],[ganancia_calc]],tblPedidos[[#This Row],[estado_operativo]]="DEVOLUCION",tblPedidos[[#This Row],[costo_devolucion_estimado]]),0)</f>
        <v>0</v>
      </c>
      <c r="V35">
        <v>0</v>
      </c>
      <c r="W35">
        <v>84900</v>
      </c>
      <c r="X35">
        <v>19020.5</v>
      </c>
      <c r="Y35">
        <v>41000</v>
      </c>
      <c r="Z35" s="11">
        <v>46043</v>
      </c>
      <c r="AA35">
        <v>1</v>
      </c>
      <c r="AB35" s="12">
        <v>0.92361111111111116</v>
      </c>
      <c r="AC35" t="s">
        <v>37</v>
      </c>
      <c r="AD35" t="s">
        <v>37</v>
      </c>
      <c r="AE35" t="s">
        <v>37</v>
      </c>
    </row>
    <row r="36" spans="1:31">
      <c r="A36" t="s">
        <v>33</v>
      </c>
      <c r="C36">
        <v>1052</v>
      </c>
      <c r="D36" t="s">
        <v>246</v>
      </c>
      <c r="E36" s="11">
        <v>46043</v>
      </c>
      <c r="F36" t="s">
        <v>247</v>
      </c>
      <c r="G36" t="s">
        <v>45</v>
      </c>
      <c r="J36" t="s">
        <v>37</v>
      </c>
      <c r="L36" t="s">
        <v>178</v>
      </c>
      <c r="M36" t="s">
        <v>248</v>
      </c>
      <c r="N36" t="s">
        <v>249</v>
      </c>
      <c r="O36" t="s">
        <v>250</v>
      </c>
      <c r="P36" t="str" cm="1">
        <f t="array" aca="1" ref="P36" ca="1">IFERROR(_xlfn.XLOOKUP(tblPedidos[[#This Row],[id_dropi]],tblNotas[[#This Row],[id__dropi]],tblNotas[[#This Row],[Notas Manuales]], “”, 0),"")</f>
        <v/>
      </c>
      <c r="Q36" t="s">
        <v>50</v>
      </c>
      <c r="R36" t="s">
        <v>251</v>
      </c>
      <c r="S36">
        <v>42854.5</v>
      </c>
      <c r="T36">
        <v>-20145.5</v>
      </c>
      <c r="U36" cm="1">
        <f t="array" ref="U36">IFERROR(_xlfn.IFS(tblPedidos[[#This Row],[estado_operativo]]="ENTREGADO",tblPedidos[[#This Row],[ganancia_calc]],tblPedidos[[#This Row],[estado_operativo]]="DEVOLUCION",tblPedidos[[#This Row],[costo_devolucion_estimado]]),0)</f>
        <v>0</v>
      </c>
      <c r="V36">
        <v>0</v>
      </c>
      <c r="W36">
        <v>109900</v>
      </c>
      <c r="X36">
        <v>20145.5</v>
      </c>
      <c r="Y36">
        <v>46900</v>
      </c>
      <c r="Z36" s="11">
        <v>46043</v>
      </c>
      <c r="AA36">
        <v>1</v>
      </c>
      <c r="AB36" s="12">
        <v>0.92361111111111116</v>
      </c>
      <c r="AC36" t="s">
        <v>37</v>
      </c>
      <c r="AD36" t="s">
        <v>37</v>
      </c>
      <c r="AE36" t="s">
        <v>37</v>
      </c>
    </row>
    <row r="37" spans="1:31">
      <c r="A37" t="s">
        <v>33</v>
      </c>
      <c r="C37">
        <v>1053</v>
      </c>
      <c r="D37" t="s">
        <v>252</v>
      </c>
      <c r="E37" s="11">
        <v>46043</v>
      </c>
      <c r="F37" t="s">
        <v>253</v>
      </c>
      <c r="G37" t="s">
        <v>45</v>
      </c>
      <c r="J37" t="s">
        <v>37</v>
      </c>
      <c r="L37" t="s">
        <v>234</v>
      </c>
      <c r="M37" t="s">
        <v>254</v>
      </c>
      <c r="N37" t="s">
        <v>255</v>
      </c>
      <c r="O37" t="s">
        <v>256</v>
      </c>
      <c r="P37" t="str" cm="1">
        <f t="array" aca="1" ref="P37" ca="1">IFERROR(_xlfn.XLOOKUP(tblPedidos[[#This Row],[id_dropi]],tblNotas[[#This Row],[id__dropi]],tblNotas[[#This Row],[Notas Manuales]], “”, 0),"")</f>
        <v/>
      </c>
      <c r="Q37" t="s">
        <v>50</v>
      </c>
      <c r="R37" t="s">
        <v>58</v>
      </c>
      <c r="S37">
        <v>20654.5</v>
      </c>
      <c r="T37">
        <v>-19245.5</v>
      </c>
      <c r="U37" cm="1">
        <f t="array" ref="U37">IFERROR(_xlfn.IFS(tblPedidos[[#This Row],[estado_operativo]]="ENTREGADO",tblPedidos[[#This Row],[ganancia_calc]],tblPedidos[[#This Row],[estado_operativo]]="DEVOLUCION",tblPedidos[[#This Row],[costo_devolucion_estimado]]),0)</f>
        <v>0</v>
      </c>
      <c r="V37">
        <v>0</v>
      </c>
      <c r="W37">
        <v>89900</v>
      </c>
      <c r="X37">
        <v>19245.5</v>
      </c>
      <c r="Y37">
        <v>50000</v>
      </c>
      <c r="Z37" s="11">
        <v>46043</v>
      </c>
      <c r="AA37">
        <v>1</v>
      </c>
      <c r="AB37" s="12">
        <v>0.92152777777777772</v>
      </c>
      <c r="AC37" t="s">
        <v>37</v>
      </c>
      <c r="AD37" t="s">
        <v>37</v>
      </c>
      <c r="AE37" t="s">
        <v>37</v>
      </c>
    </row>
    <row r="38" spans="1:31">
      <c r="A38" t="s">
        <v>33</v>
      </c>
      <c r="C38">
        <v>1050</v>
      </c>
      <c r="D38" t="s">
        <v>257</v>
      </c>
      <c r="E38" s="11">
        <v>46043</v>
      </c>
      <c r="F38" t="s">
        <v>258</v>
      </c>
      <c r="G38" t="s">
        <v>45</v>
      </c>
      <c r="J38" t="s">
        <v>37</v>
      </c>
      <c r="L38" t="s">
        <v>46</v>
      </c>
      <c r="M38" t="s">
        <v>100</v>
      </c>
      <c r="N38" t="s">
        <v>259</v>
      </c>
      <c r="O38" t="s">
        <v>260</v>
      </c>
      <c r="P38" t="str" cm="1">
        <f t="array" aca="1" ref="P38" ca="1">IFERROR(_xlfn.XLOOKUP(tblPedidos[[#This Row],[id_dropi]],tblNotas[[#This Row],[id__dropi]],tblNotas[[#This Row],[Notas Manuales]], “”, 0),"")</f>
        <v/>
      </c>
      <c r="R38" t="s">
        <v>58</v>
      </c>
      <c r="S38">
        <v>20654.5</v>
      </c>
      <c r="T38">
        <v>-19245.5</v>
      </c>
      <c r="U38" cm="1">
        <f t="array" ref="U38">IFERROR(_xlfn.IFS(tblPedidos[[#This Row],[estado_operativo]]="ENTREGADO",tblPedidos[[#This Row],[ganancia_calc]],tblPedidos[[#This Row],[estado_operativo]]="DEVOLUCION",tblPedidos[[#This Row],[costo_devolucion_estimado]]),0)</f>
        <v>0</v>
      </c>
      <c r="V38">
        <v>0</v>
      </c>
      <c r="W38">
        <v>89900</v>
      </c>
      <c r="X38">
        <v>19245.5</v>
      </c>
      <c r="Y38">
        <v>50000</v>
      </c>
      <c r="Z38" s="11">
        <v>46043</v>
      </c>
      <c r="AA38">
        <v>1</v>
      </c>
      <c r="AB38" s="12">
        <v>0.91805555555555551</v>
      </c>
      <c r="AC38" t="s">
        <v>37</v>
      </c>
      <c r="AD38" t="s">
        <v>37</v>
      </c>
      <c r="AE38" t="s">
        <v>37</v>
      </c>
    </row>
    <row r="39" spans="1:31">
      <c r="A39" t="s">
        <v>33</v>
      </c>
      <c r="C39">
        <v>1047</v>
      </c>
      <c r="D39" t="s">
        <v>261</v>
      </c>
      <c r="E39" s="11">
        <v>46043</v>
      </c>
      <c r="F39" t="s">
        <v>262</v>
      </c>
      <c r="G39" t="s">
        <v>45</v>
      </c>
      <c r="J39" t="s">
        <v>37</v>
      </c>
      <c r="L39" t="s">
        <v>46</v>
      </c>
      <c r="M39" t="s">
        <v>263</v>
      </c>
      <c r="N39" t="s">
        <v>264</v>
      </c>
      <c r="O39" t="s">
        <v>265</v>
      </c>
      <c r="P39" t="str" cm="1">
        <f t="array" aca="1" ref="P39" ca="1">IFERROR(_xlfn.XLOOKUP(tblPedidos[[#This Row],[id_dropi]],tblNotas[[#This Row],[id__dropi]],tblNotas[[#This Row],[Notas Manuales]], “”, 0),"")</f>
        <v/>
      </c>
      <c r="R39" t="s">
        <v>58</v>
      </c>
      <c r="S39">
        <v>20654.5</v>
      </c>
      <c r="T39">
        <v>-19245.5</v>
      </c>
      <c r="U39" cm="1">
        <f t="array" ref="U39">IFERROR(_xlfn.IFS(tblPedidos[[#This Row],[estado_operativo]]="ENTREGADO",tblPedidos[[#This Row],[ganancia_calc]],tblPedidos[[#This Row],[estado_operativo]]="DEVOLUCION",tblPedidos[[#This Row],[costo_devolucion_estimado]]),0)</f>
        <v>0</v>
      </c>
      <c r="V39">
        <v>0</v>
      </c>
      <c r="W39">
        <v>89900</v>
      </c>
      <c r="X39">
        <v>19245.5</v>
      </c>
      <c r="Y39">
        <v>50000</v>
      </c>
      <c r="Z39" s="11">
        <v>46043</v>
      </c>
      <c r="AA39">
        <v>1</v>
      </c>
      <c r="AB39" s="12">
        <v>0.91736111111111107</v>
      </c>
      <c r="AC39" t="s">
        <v>37</v>
      </c>
      <c r="AD39" t="s">
        <v>37</v>
      </c>
      <c r="AE39" t="s">
        <v>37</v>
      </c>
    </row>
    <row r="40" spans="1:31">
      <c r="A40" t="s">
        <v>33</v>
      </c>
      <c r="C40">
        <v>1048</v>
      </c>
      <c r="D40" t="s">
        <v>266</v>
      </c>
      <c r="E40" s="11">
        <v>46043</v>
      </c>
      <c r="F40" t="s">
        <v>267</v>
      </c>
      <c r="G40" t="s">
        <v>45</v>
      </c>
      <c r="J40" t="s">
        <v>37</v>
      </c>
      <c r="L40" t="s">
        <v>111</v>
      </c>
      <c r="M40" t="s">
        <v>112</v>
      </c>
      <c r="N40" t="s">
        <v>268</v>
      </c>
      <c r="O40" t="s">
        <v>269</v>
      </c>
      <c r="P40" t="str" cm="1">
        <f t="array" aca="1" ref="P40" ca="1">IFERROR(_xlfn.XLOOKUP(tblPedidos[[#This Row],[id_dropi]],tblNotas[[#This Row],[id__dropi]],tblNotas[[#This Row],[Notas Manuales]], “”, 0),"")</f>
        <v/>
      </c>
      <c r="R40" t="s">
        <v>65</v>
      </c>
      <c r="S40">
        <v>17004.5</v>
      </c>
      <c r="T40">
        <v>-17895.5</v>
      </c>
      <c r="U40" cm="1">
        <f t="array" ref="U40">IFERROR(_xlfn.IFS(tblPedidos[[#This Row],[estado_operativo]]="ENTREGADO",tblPedidos[[#This Row],[ganancia_calc]],tblPedidos[[#This Row],[estado_operativo]]="DEVOLUCION",tblPedidos[[#This Row],[costo_devolucion_estimado]]),0)</f>
        <v>0</v>
      </c>
      <c r="V40">
        <v>0</v>
      </c>
      <c r="W40">
        <v>59900</v>
      </c>
      <c r="X40">
        <v>17895.5</v>
      </c>
      <c r="Y40">
        <v>25000</v>
      </c>
      <c r="Z40" s="11">
        <v>46043</v>
      </c>
      <c r="AA40">
        <v>1</v>
      </c>
      <c r="AB40" s="12">
        <v>0.91597222222222219</v>
      </c>
      <c r="AC40" t="s">
        <v>37</v>
      </c>
      <c r="AD40" t="s">
        <v>37</v>
      </c>
      <c r="AE40" t="s">
        <v>37</v>
      </c>
    </row>
    <row r="41" spans="1:31">
      <c r="A41" t="s">
        <v>33</v>
      </c>
      <c r="C41">
        <v>1049</v>
      </c>
      <c r="D41" t="s">
        <v>270</v>
      </c>
      <c r="E41" s="11">
        <v>46043</v>
      </c>
      <c r="F41" t="s">
        <v>271</v>
      </c>
      <c r="G41" t="s">
        <v>36</v>
      </c>
      <c r="J41" t="s">
        <v>37</v>
      </c>
      <c r="L41" t="s">
        <v>81</v>
      </c>
      <c r="M41" t="s">
        <v>272</v>
      </c>
      <c r="N41" t="s">
        <v>273</v>
      </c>
      <c r="O41" t="s">
        <v>274</v>
      </c>
      <c r="P41" t="str" cm="1">
        <f t="array" aca="1" ref="P41" ca="1">IFERROR(_xlfn.XLOOKUP(tblPedidos[[#This Row],[id_dropi]],tblNotas[[#This Row],[id__dropi]],tblNotas[[#This Row],[Notas Manuales]], “”, 0),"")</f>
        <v/>
      </c>
      <c r="R41" t="s">
        <v>275</v>
      </c>
      <c r="S41">
        <v>38696.5</v>
      </c>
      <c r="T41">
        <v>-12962.800000000001</v>
      </c>
      <c r="U41" cm="1">
        <f t="array" ref="U41">IFERROR(_xlfn.IFS(tblPedidos[[#This Row],[estado_operativo]]="ENTREGADO",tblPedidos[[#This Row],[ganancia_calc]],tblPedidos[[#This Row],[estado_operativo]]="DEVOLUCION",tblPedidos[[#This Row],[costo_devolucion_estimado]]),0)</f>
        <v>0</v>
      </c>
      <c r="V41">
        <v>0</v>
      </c>
      <c r="W41">
        <v>129900</v>
      </c>
      <c r="X41">
        <v>16203.5</v>
      </c>
      <c r="Y41">
        <v>75000</v>
      </c>
      <c r="Z41" s="11">
        <v>46043</v>
      </c>
      <c r="AA41">
        <v>1</v>
      </c>
      <c r="AB41" s="12">
        <v>0.91527777777777775</v>
      </c>
      <c r="AC41" t="s">
        <v>37</v>
      </c>
      <c r="AD41" t="s">
        <v>37</v>
      </c>
      <c r="AE41" t="s">
        <v>37</v>
      </c>
    </row>
    <row r="42" spans="1:31">
      <c r="A42" t="s">
        <v>33</v>
      </c>
      <c r="C42">
        <v>1058</v>
      </c>
      <c r="D42" t="s">
        <v>276</v>
      </c>
      <c r="E42" s="11">
        <v>46043</v>
      </c>
      <c r="F42" t="s">
        <v>277</v>
      </c>
      <c r="G42" t="s">
        <v>45</v>
      </c>
      <c r="J42" t="s">
        <v>37</v>
      </c>
      <c r="L42" t="s">
        <v>38</v>
      </c>
      <c r="M42" t="s">
        <v>278</v>
      </c>
      <c r="N42" t="s">
        <v>279</v>
      </c>
      <c r="O42" t="s">
        <v>280</v>
      </c>
      <c r="P42" t="str" cm="1">
        <f t="array" aca="1" ref="P42" ca="1">IFERROR(_xlfn.XLOOKUP(tblPedidos[[#This Row],[id_dropi]],tblNotas[[#This Row],[id__dropi]],tblNotas[[#This Row],[Notas Manuales]], “”, 0),"")</f>
        <v/>
      </c>
      <c r="Q42" t="s">
        <v>281</v>
      </c>
      <c r="R42" t="s">
        <v>65</v>
      </c>
      <c r="S42">
        <v>17004.5</v>
      </c>
      <c r="T42">
        <v>-17895.5</v>
      </c>
      <c r="U42" cm="1">
        <f t="array" ref="U42">IFERROR(_xlfn.IFS(tblPedidos[[#This Row],[estado_operativo]]="ENTREGADO",tblPedidos[[#This Row],[ganancia_calc]],tblPedidos[[#This Row],[estado_operativo]]="DEVOLUCION",tblPedidos[[#This Row],[costo_devolucion_estimado]]),0)</f>
        <v>0</v>
      </c>
      <c r="V42">
        <v>0</v>
      </c>
      <c r="W42">
        <v>59900</v>
      </c>
      <c r="X42">
        <v>17895.5</v>
      </c>
      <c r="Y42">
        <v>25000</v>
      </c>
      <c r="Z42" s="11">
        <v>46043</v>
      </c>
      <c r="AA42">
        <v>1</v>
      </c>
      <c r="AB42" s="12">
        <v>0.9145833333333333</v>
      </c>
      <c r="AC42" t="s">
        <v>37</v>
      </c>
      <c r="AD42" t="s">
        <v>37</v>
      </c>
      <c r="AE42" t="s">
        <v>37</v>
      </c>
    </row>
    <row r="43" spans="1:31">
      <c r="A43" t="s">
        <v>33</v>
      </c>
      <c r="C43">
        <v>1059</v>
      </c>
      <c r="D43" t="s">
        <v>282</v>
      </c>
      <c r="E43" s="11">
        <v>46043</v>
      </c>
      <c r="F43" t="s">
        <v>283</v>
      </c>
      <c r="G43" t="s">
        <v>45</v>
      </c>
      <c r="J43" t="s">
        <v>37</v>
      </c>
      <c r="L43" t="s">
        <v>46</v>
      </c>
      <c r="M43" t="s">
        <v>100</v>
      </c>
      <c r="N43" t="s">
        <v>284</v>
      </c>
      <c r="O43" t="s">
        <v>285</v>
      </c>
      <c r="P43" t="str" cm="1">
        <f t="array" aca="1" ref="P43" ca="1">IFERROR(_xlfn.XLOOKUP(tblPedidos[[#This Row],[id_dropi]],tblNotas[[#This Row],[id__dropi]],tblNotas[[#This Row],[Notas Manuales]], “”, 0),"")</f>
        <v/>
      </c>
      <c r="R43" t="s">
        <v>58</v>
      </c>
      <c r="S43">
        <v>15879.5</v>
      </c>
      <c r="T43">
        <v>-19020.5</v>
      </c>
      <c r="U43" cm="1">
        <f t="array" ref="U43">IFERROR(_xlfn.IFS(tblPedidos[[#This Row],[estado_operativo]]="ENTREGADO",tblPedidos[[#This Row],[ganancia_calc]],tblPedidos[[#This Row],[estado_operativo]]="DEVOLUCION",tblPedidos[[#This Row],[costo_devolucion_estimado]]),0)</f>
        <v>0</v>
      </c>
      <c r="V43">
        <v>0</v>
      </c>
      <c r="W43">
        <v>84900</v>
      </c>
      <c r="X43">
        <v>19020.5</v>
      </c>
      <c r="Y43">
        <v>50000</v>
      </c>
      <c r="Z43" s="11">
        <v>46043</v>
      </c>
      <c r="AA43">
        <v>1</v>
      </c>
      <c r="AB43" s="12">
        <v>0.9145833333333333</v>
      </c>
      <c r="AC43" t="s">
        <v>37</v>
      </c>
      <c r="AD43" t="s">
        <v>37</v>
      </c>
      <c r="AE43" t="s">
        <v>37</v>
      </c>
    </row>
    <row r="44" spans="1:31">
      <c r="A44" t="s">
        <v>33</v>
      </c>
      <c r="C44">
        <v>1060</v>
      </c>
      <c r="D44" t="s">
        <v>286</v>
      </c>
      <c r="E44" s="11">
        <v>46043</v>
      </c>
      <c r="F44" t="s">
        <v>287</v>
      </c>
      <c r="G44" t="s">
        <v>45</v>
      </c>
      <c r="J44" t="s">
        <v>37</v>
      </c>
      <c r="L44" t="s">
        <v>46</v>
      </c>
      <c r="M44" t="s">
        <v>100</v>
      </c>
      <c r="N44" t="s">
        <v>288</v>
      </c>
      <c r="O44" t="s">
        <v>289</v>
      </c>
      <c r="P44" t="str" cm="1">
        <f t="array" aca="1" ref="P44" ca="1">IFERROR(_xlfn.XLOOKUP(tblPedidos[[#This Row],[id_dropi]],tblNotas[[#This Row],[id__dropi]],tblNotas[[#This Row],[Notas Manuales]], “”, 0),"")</f>
        <v/>
      </c>
      <c r="R44" t="s">
        <v>149</v>
      </c>
      <c r="S44">
        <v>17004.5</v>
      </c>
      <c r="T44">
        <v>-17895.5</v>
      </c>
      <c r="U44" cm="1">
        <f t="array" ref="U44">IFERROR(_xlfn.IFS(tblPedidos[[#This Row],[estado_operativo]]="ENTREGADO",tblPedidos[[#This Row],[ganancia_calc]],tblPedidos[[#This Row],[estado_operativo]]="DEVOLUCION",tblPedidos[[#This Row],[costo_devolucion_estimado]]),0)</f>
        <v>0</v>
      </c>
      <c r="V44">
        <v>0</v>
      </c>
      <c r="W44">
        <v>59900</v>
      </c>
      <c r="X44">
        <v>17895.5</v>
      </c>
      <c r="Y44">
        <v>25000</v>
      </c>
      <c r="Z44" s="11">
        <v>46043</v>
      </c>
      <c r="AA44">
        <v>1</v>
      </c>
      <c r="AB44" s="12">
        <v>0.91388888888888886</v>
      </c>
      <c r="AC44" t="s">
        <v>37</v>
      </c>
      <c r="AD44" t="s">
        <v>37</v>
      </c>
      <c r="AE44" t="s">
        <v>37</v>
      </c>
    </row>
    <row r="45" spans="1:31">
      <c r="A45" t="s">
        <v>33</v>
      </c>
      <c r="C45">
        <v>1057</v>
      </c>
      <c r="D45" t="s">
        <v>290</v>
      </c>
      <c r="E45" s="11">
        <v>46043</v>
      </c>
      <c r="F45" t="s">
        <v>291</v>
      </c>
      <c r="G45" t="s">
        <v>45</v>
      </c>
      <c r="J45" t="s">
        <v>37</v>
      </c>
      <c r="L45" t="s">
        <v>159</v>
      </c>
      <c r="M45" t="s">
        <v>292</v>
      </c>
      <c r="N45" t="s">
        <v>293</v>
      </c>
      <c r="O45" t="s">
        <v>294</v>
      </c>
      <c r="P45" t="str" cm="1">
        <f t="array" aca="1" ref="P45" ca="1">IFERROR(_xlfn.XLOOKUP(tblPedidos[[#This Row],[id_dropi]],tblNotas[[#This Row],[id__dropi]],tblNotas[[#This Row],[Notas Manuales]], “”, 0),"")</f>
        <v/>
      </c>
      <c r="Q45" t="s">
        <v>50</v>
      </c>
      <c r="R45" t="s">
        <v>122</v>
      </c>
      <c r="S45">
        <v>32654.5</v>
      </c>
      <c r="T45">
        <v>-13795.5</v>
      </c>
      <c r="U45" cm="1">
        <f t="array" ref="U45">IFERROR(_xlfn.IFS(tblPedidos[[#This Row],[estado_operativo]]="ENTREGADO",tblPedidos[[#This Row],[ganancia_calc]],tblPedidos[[#This Row],[estado_operativo]]="DEVOLUCION",tblPedidos[[#This Row],[costo_devolucion_estimado]]),0)</f>
        <v>0</v>
      </c>
      <c r="V45">
        <v>0</v>
      </c>
      <c r="W45">
        <v>69900</v>
      </c>
      <c r="X45">
        <v>13795.5</v>
      </c>
      <c r="Y45">
        <v>23450</v>
      </c>
      <c r="Z45" s="11">
        <v>46043</v>
      </c>
      <c r="AA45">
        <v>1</v>
      </c>
      <c r="AB45" s="12">
        <v>0.91249999999999998</v>
      </c>
      <c r="AC45" t="s">
        <v>37</v>
      </c>
      <c r="AD45" t="s">
        <v>37</v>
      </c>
      <c r="AE45" t="s">
        <v>37</v>
      </c>
    </row>
    <row r="46" spans="1:31">
      <c r="A46" t="s">
        <v>33</v>
      </c>
      <c r="C46">
        <v>1054</v>
      </c>
      <c r="D46" t="s">
        <v>295</v>
      </c>
      <c r="E46" s="11">
        <v>46043</v>
      </c>
      <c r="F46" t="s">
        <v>296</v>
      </c>
      <c r="G46" t="s">
        <v>45</v>
      </c>
      <c r="J46" t="s">
        <v>37</v>
      </c>
      <c r="L46" t="s">
        <v>105</v>
      </c>
      <c r="M46" t="s">
        <v>106</v>
      </c>
      <c r="N46" t="s">
        <v>297</v>
      </c>
      <c r="O46" t="s">
        <v>298</v>
      </c>
      <c r="P46" t="str" cm="1">
        <f t="array" aca="1" ref="P46" ca="1">IFERROR(_xlfn.XLOOKUP(tblPedidos[[#This Row],[id_dropi]],tblNotas[[#This Row],[id__dropi]],tblNotas[[#This Row],[Notas Manuales]], “”, 0),"")</f>
        <v/>
      </c>
      <c r="R46" t="s">
        <v>203</v>
      </c>
      <c r="S46">
        <v>22054.5</v>
      </c>
      <c r="T46">
        <v>-17895.5</v>
      </c>
      <c r="U46" cm="1">
        <f t="array" ref="U46">IFERROR(_xlfn.IFS(tblPedidos[[#This Row],[estado_operativo]]="ENTREGADO",tblPedidos[[#This Row],[ganancia_calc]],tblPedidos[[#This Row],[estado_operativo]]="DEVOLUCION",tblPedidos[[#This Row],[costo_devolucion_estimado]]),0)</f>
        <v>0</v>
      </c>
      <c r="V46">
        <v>0</v>
      </c>
      <c r="W46">
        <v>59900</v>
      </c>
      <c r="X46">
        <v>17895.5</v>
      </c>
      <c r="Y46">
        <v>19950</v>
      </c>
      <c r="Z46" s="11">
        <v>46043</v>
      </c>
      <c r="AA46">
        <v>1</v>
      </c>
      <c r="AB46" s="12">
        <v>0.91180555555555554</v>
      </c>
      <c r="AC46" t="s">
        <v>37</v>
      </c>
      <c r="AD46" t="s">
        <v>37</v>
      </c>
      <c r="AE46" t="s">
        <v>37</v>
      </c>
    </row>
    <row r="47" spans="1:31">
      <c r="A47" t="s">
        <v>33</v>
      </c>
      <c r="C47">
        <v>1055</v>
      </c>
      <c r="D47" t="s">
        <v>299</v>
      </c>
      <c r="E47" s="11">
        <v>46043</v>
      </c>
      <c r="F47" t="s">
        <v>300</v>
      </c>
      <c r="G47" t="s">
        <v>45</v>
      </c>
      <c r="J47" t="s">
        <v>37</v>
      </c>
      <c r="L47" t="s">
        <v>61</v>
      </c>
      <c r="M47" t="s">
        <v>62</v>
      </c>
      <c r="N47" t="s">
        <v>301</v>
      </c>
      <c r="O47" t="s">
        <v>302</v>
      </c>
      <c r="P47" t="str" cm="1">
        <f t="array" aca="1" ref="P47" ca="1">IFERROR(_xlfn.XLOOKUP(tblPedidos[[#This Row],[id_dropi]],tblNotas[[#This Row],[id__dropi]],tblNotas[[#This Row],[Notas Manuales]], “”, 0),"")</f>
        <v/>
      </c>
      <c r="Q47" t="s">
        <v>303</v>
      </c>
      <c r="R47" t="s">
        <v>65</v>
      </c>
      <c r="S47">
        <v>17004.5</v>
      </c>
      <c r="T47">
        <v>-17895.5</v>
      </c>
      <c r="U47" cm="1">
        <f t="array" ref="U47">IFERROR(_xlfn.IFS(tblPedidos[[#This Row],[estado_operativo]]="ENTREGADO",tblPedidos[[#This Row],[ganancia_calc]],tblPedidos[[#This Row],[estado_operativo]]="DEVOLUCION",tblPedidos[[#This Row],[costo_devolucion_estimado]]),0)</f>
        <v>0</v>
      </c>
      <c r="V47">
        <v>0</v>
      </c>
      <c r="W47">
        <v>59900</v>
      </c>
      <c r="X47">
        <v>17895.5</v>
      </c>
      <c r="Y47">
        <v>25000</v>
      </c>
      <c r="Z47" s="11">
        <v>46043</v>
      </c>
      <c r="AA47">
        <v>1</v>
      </c>
      <c r="AB47" s="12">
        <v>0.91111111111111109</v>
      </c>
      <c r="AC47" t="s">
        <v>37</v>
      </c>
      <c r="AD47" t="s">
        <v>37</v>
      </c>
      <c r="AE47" t="s">
        <v>37</v>
      </c>
    </row>
    <row r="48" spans="1:31">
      <c r="A48" t="s">
        <v>33</v>
      </c>
      <c r="C48">
        <v>1056</v>
      </c>
      <c r="D48" t="s">
        <v>304</v>
      </c>
      <c r="E48" s="11">
        <v>46043</v>
      </c>
      <c r="F48" t="s">
        <v>305</v>
      </c>
      <c r="G48" t="s">
        <v>45</v>
      </c>
      <c r="J48" t="s">
        <v>37</v>
      </c>
      <c r="L48" t="s">
        <v>125</v>
      </c>
      <c r="M48" t="s">
        <v>306</v>
      </c>
      <c r="N48" t="s">
        <v>307</v>
      </c>
      <c r="O48" t="s">
        <v>308</v>
      </c>
      <c r="P48" t="str" cm="1">
        <f t="array" aca="1" ref="P48" ca="1">IFERROR(_xlfn.XLOOKUP(tblPedidos[[#This Row],[id_dropi]],tblNotas[[#This Row],[id__dropi]],tblNotas[[#This Row],[Notas Manuales]], “”, 0),"")</f>
        <v/>
      </c>
      <c r="R48" t="s">
        <v>58</v>
      </c>
      <c r="S48">
        <v>20654.5</v>
      </c>
      <c r="T48">
        <v>-19245.5</v>
      </c>
      <c r="U48" cm="1">
        <f t="array" ref="U48">IFERROR(_xlfn.IFS(tblPedidos[[#This Row],[estado_operativo]]="ENTREGADO",tblPedidos[[#This Row],[ganancia_calc]],tblPedidos[[#This Row],[estado_operativo]]="DEVOLUCION",tblPedidos[[#This Row],[costo_devolucion_estimado]]),0)</f>
        <v>0</v>
      </c>
      <c r="V48">
        <v>0</v>
      </c>
      <c r="W48">
        <v>89900</v>
      </c>
      <c r="X48">
        <v>19245.5</v>
      </c>
      <c r="Y48">
        <v>50000</v>
      </c>
      <c r="Z48" s="11">
        <v>46043</v>
      </c>
      <c r="AA48">
        <v>1</v>
      </c>
      <c r="AB48" s="12">
        <v>0.90972222222222221</v>
      </c>
      <c r="AC48" t="s">
        <v>37</v>
      </c>
      <c r="AD48" t="s">
        <v>37</v>
      </c>
      <c r="AE48" t="s">
        <v>37</v>
      </c>
    </row>
    <row r="49" spans="1:31">
      <c r="A49" t="s">
        <v>33</v>
      </c>
      <c r="C49">
        <v>1046</v>
      </c>
      <c r="D49" t="s">
        <v>309</v>
      </c>
      <c r="E49" s="11">
        <v>46043</v>
      </c>
      <c r="F49" t="s">
        <v>310</v>
      </c>
      <c r="G49" t="s">
        <v>45</v>
      </c>
      <c r="J49" t="s">
        <v>37</v>
      </c>
      <c r="L49" t="s">
        <v>46</v>
      </c>
      <c r="M49" t="s">
        <v>311</v>
      </c>
      <c r="N49" t="s">
        <v>312</v>
      </c>
      <c r="O49" t="s">
        <v>313</v>
      </c>
      <c r="P49" t="str" cm="1">
        <f t="array" aca="1" ref="P49" ca="1">IFERROR(_xlfn.XLOOKUP(tblPedidos[[#This Row],[id_dropi]],tblNotas[[#This Row],[id__dropi]],tblNotas[[#This Row],[Notas Manuales]], “”, 0),"")</f>
        <v/>
      </c>
      <c r="Q49" t="s">
        <v>50</v>
      </c>
      <c r="R49" t="s">
        <v>314</v>
      </c>
      <c r="S49">
        <v>17554.5</v>
      </c>
      <c r="T49">
        <v>-13345.5</v>
      </c>
      <c r="U49" cm="1">
        <f t="array" ref="U49">IFERROR(_xlfn.IFS(tblPedidos[[#This Row],[estado_operativo]]="ENTREGADO",tblPedidos[[#This Row],[ganancia_calc]],tblPedidos[[#This Row],[estado_operativo]]="DEVOLUCION",tblPedidos[[#This Row],[costo_devolucion_estimado]]),0)</f>
        <v>0</v>
      </c>
      <c r="V49">
        <v>0</v>
      </c>
      <c r="W49">
        <v>59900</v>
      </c>
      <c r="X49">
        <v>13345.5</v>
      </c>
      <c r="Y49">
        <v>29000</v>
      </c>
      <c r="Z49" s="11">
        <v>46043</v>
      </c>
      <c r="AA49">
        <v>1</v>
      </c>
      <c r="AB49" s="12">
        <v>0.90833333333333333</v>
      </c>
      <c r="AC49" t="s">
        <v>37</v>
      </c>
      <c r="AD49" t="s">
        <v>37</v>
      </c>
      <c r="AE49" t="s">
        <v>37</v>
      </c>
    </row>
    <row r="50" spans="1:31">
      <c r="A50" t="s">
        <v>33</v>
      </c>
      <c r="C50">
        <v>1036</v>
      </c>
      <c r="D50" t="s">
        <v>315</v>
      </c>
      <c r="E50" s="11">
        <v>46043</v>
      </c>
      <c r="F50" t="s">
        <v>316</v>
      </c>
      <c r="G50" t="s">
        <v>317</v>
      </c>
      <c r="J50" t="s">
        <v>37</v>
      </c>
      <c r="L50" t="s">
        <v>46</v>
      </c>
      <c r="M50" t="s">
        <v>100</v>
      </c>
      <c r="N50" t="s">
        <v>318</v>
      </c>
      <c r="O50" t="s">
        <v>319</v>
      </c>
      <c r="P50" t="str" cm="1">
        <f t="array" aca="1" ref="P50" ca="1">IFERROR(_xlfn.XLOOKUP(tblPedidos[[#This Row],[id_dropi]],tblNotas[[#This Row],[id__dropi]],tblNotas[[#This Row],[Notas Manuales]], “”, 0),"")</f>
        <v/>
      </c>
      <c r="R50" t="s">
        <v>65</v>
      </c>
      <c r="S50">
        <v>22103</v>
      </c>
      <c r="T50">
        <v>-10237.6</v>
      </c>
      <c r="U50" cm="1">
        <f t="array" ref="U50">IFERROR(_xlfn.IFS(tblPedidos[[#This Row],[estado_operativo]]="ENTREGADO",tblPedidos[[#This Row],[ganancia_calc]],tblPedidos[[#This Row],[estado_operativo]]="DEVOLUCION",tblPedidos[[#This Row],[costo_devolucion_estimado]]),0)</f>
        <v>0</v>
      </c>
      <c r="V50">
        <v>0</v>
      </c>
      <c r="W50">
        <v>59900</v>
      </c>
      <c r="X50">
        <v>12797</v>
      </c>
      <c r="Y50">
        <v>25000</v>
      </c>
      <c r="Z50" s="11">
        <v>46043</v>
      </c>
      <c r="AA50">
        <v>1</v>
      </c>
      <c r="AB50" s="12">
        <v>0.90208333333333335</v>
      </c>
      <c r="AC50" t="s">
        <v>37</v>
      </c>
      <c r="AD50" t="s">
        <v>37</v>
      </c>
      <c r="AE50" t="s">
        <v>37</v>
      </c>
    </row>
    <row r="51" spans="1:31">
      <c r="A51" t="s">
        <v>33</v>
      </c>
      <c r="C51">
        <v>1037</v>
      </c>
      <c r="D51" t="s">
        <v>320</v>
      </c>
      <c r="E51" s="11">
        <v>46043</v>
      </c>
      <c r="F51" t="s">
        <v>321</v>
      </c>
      <c r="G51" t="s">
        <v>36</v>
      </c>
      <c r="J51" t="s">
        <v>37</v>
      </c>
      <c r="L51" t="s">
        <v>322</v>
      </c>
      <c r="M51" t="s">
        <v>323</v>
      </c>
      <c r="N51" t="s">
        <v>324</v>
      </c>
      <c r="O51" t="s">
        <v>325</v>
      </c>
      <c r="P51" t="str" cm="1">
        <f t="array" aca="1" ref="P51" ca="1">IFERROR(_xlfn.XLOOKUP(tblPedidos[[#This Row],[id_dropi]],tblNotas[[#This Row],[id__dropi]],tblNotas[[#This Row],[Notas Manuales]], “”, 0),"")</f>
        <v/>
      </c>
      <c r="R51" t="s">
        <v>58</v>
      </c>
      <c r="S51">
        <v>23336.5</v>
      </c>
      <c r="T51">
        <v>-13250.800000000001</v>
      </c>
      <c r="U51" cm="1">
        <f t="array" ref="U51">IFERROR(_xlfn.IFS(tblPedidos[[#This Row],[estado_operativo]]="ENTREGADO",tblPedidos[[#This Row],[ganancia_calc]],tblPedidos[[#This Row],[estado_operativo]]="DEVOLUCION",tblPedidos[[#This Row],[costo_devolucion_estimado]]),0)</f>
        <v>0</v>
      </c>
      <c r="V51">
        <v>0</v>
      </c>
      <c r="W51">
        <v>89900</v>
      </c>
      <c r="X51">
        <v>16563.5</v>
      </c>
      <c r="Y51">
        <v>50000</v>
      </c>
      <c r="Z51" s="11">
        <v>46043</v>
      </c>
      <c r="AA51">
        <v>1</v>
      </c>
      <c r="AB51" s="12">
        <v>0.89513888888888893</v>
      </c>
      <c r="AC51" t="s">
        <v>37</v>
      </c>
      <c r="AD51" t="s">
        <v>37</v>
      </c>
      <c r="AE51" t="s">
        <v>37</v>
      </c>
    </row>
    <row r="52" spans="1:31">
      <c r="A52" t="s">
        <v>33</v>
      </c>
      <c r="C52">
        <v>1038</v>
      </c>
      <c r="D52" t="s">
        <v>326</v>
      </c>
      <c r="E52" s="11">
        <v>46043</v>
      </c>
      <c r="F52" t="s">
        <v>327</v>
      </c>
      <c r="G52" t="s">
        <v>45</v>
      </c>
      <c r="J52" t="s">
        <v>37</v>
      </c>
      <c r="L52" t="s">
        <v>328</v>
      </c>
      <c r="M52" t="s">
        <v>329</v>
      </c>
      <c r="N52" t="s">
        <v>330</v>
      </c>
      <c r="O52" t="s">
        <v>331</v>
      </c>
      <c r="P52" t="str" cm="1">
        <f t="array" aca="1" ref="P52" ca="1">IFERROR(_xlfn.XLOOKUP(tblPedidos[[#This Row],[id_dropi]],tblNotas[[#This Row],[id__dropi]],tblNotas[[#This Row],[Notas Manuales]], “”, 0),"")</f>
        <v/>
      </c>
      <c r="R52" t="s">
        <v>58</v>
      </c>
      <c r="S52">
        <v>20654.5</v>
      </c>
      <c r="T52">
        <v>-19245.5</v>
      </c>
      <c r="U52" cm="1">
        <f t="array" ref="U52">IFERROR(_xlfn.IFS(tblPedidos[[#This Row],[estado_operativo]]="ENTREGADO",tblPedidos[[#This Row],[ganancia_calc]],tblPedidos[[#This Row],[estado_operativo]]="DEVOLUCION",tblPedidos[[#This Row],[costo_devolucion_estimado]]),0)</f>
        <v>0</v>
      </c>
      <c r="V52">
        <v>0</v>
      </c>
      <c r="W52">
        <v>89900</v>
      </c>
      <c r="X52">
        <v>19245.5</v>
      </c>
      <c r="Y52">
        <v>50000</v>
      </c>
      <c r="Z52" s="11">
        <v>46043</v>
      </c>
      <c r="AA52">
        <v>1</v>
      </c>
      <c r="AB52" s="12">
        <v>0.89236111111111116</v>
      </c>
      <c r="AC52" t="s">
        <v>37</v>
      </c>
      <c r="AD52" t="s">
        <v>37</v>
      </c>
      <c r="AE52" t="s">
        <v>37</v>
      </c>
    </row>
    <row r="53" spans="1:31">
      <c r="A53" t="s">
        <v>33</v>
      </c>
      <c r="C53">
        <v>1035</v>
      </c>
      <c r="D53" t="s">
        <v>332</v>
      </c>
      <c r="E53" s="11">
        <v>46043</v>
      </c>
      <c r="F53" t="s">
        <v>333</v>
      </c>
      <c r="G53" t="s">
        <v>45</v>
      </c>
      <c r="J53" t="s">
        <v>37</v>
      </c>
      <c r="L53" t="s">
        <v>152</v>
      </c>
      <c r="M53" t="s">
        <v>334</v>
      </c>
      <c r="N53" t="s">
        <v>335</v>
      </c>
      <c r="O53" t="s">
        <v>336</v>
      </c>
      <c r="P53" t="str" cm="1">
        <f t="array" aca="1" ref="P53" ca="1">IFERROR(_xlfn.XLOOKUP(tblPedidos[[#This Row],[id_dropi]],tblNotas[[#This Row],[id__dropi]],tblNotas[[#This Row],[Notas Manuales]], “”, 0),"")</f>
        <v/>
      </c>
      <c r="R53" t="s">
        <v>337</v>
      </c>
      <c r="S53">
        <v>34494.5</v>
      </c>
      <c r="T53">
        <v>-19155.5</v>
      </c>
      <c r="U53" cm="1">
        <f t="array" ref="U53">IFERROR(_xlfn.IFS(tblPedidos[[#This Row],[estado_operativo]]="ENTREGADO",tblPedidos[[#This Row],[ganancia_calc]],tblPedidos[[#This Row],[estado_operativo]]="DEVOLUCION",tblPedidos[[#This Row],[costo_devolucion_estimado]]),0)</f>
        <v>0</v>
      </c>
      <c r="V53">
        <v>0</v>
      </c>
      <c r="W53">
        <v>87900</v>
      </c>
      <c r="X53">
        <v>19155.5</v>
      </c>
      <c r="Y53">
        <v>34250</v>
      </c>
      <c r="Z53" s="11">
        <v>46043</v>
      </c>
      <c r="AA53">
        <v>1</v>
      </c>
      <c r="AB53" s="12">
        <v>0.88958333333333328</v>
      </c>
      <c r="AC53" t="s">
        <v>37</v>
      </c>
      <c r="AD53" t="s">
        <v>37</v>
      </c>
      <c r="AE53" t="s">
        <v>37</v>
      </c>
    </row>
    <row r="54" spans="1:31">
      <c r="A54" t="s">
        <v>33</v>
      </c>
      <c r="C54">
        <v>1032</v>
      </c>
      <c r="D54" t="s">
        <v>338</v>
      </c>
      <c r="E54" s="11">
        <v>46043</v>
      </c>
      <c r="F54" t="s">
        <v>339</v>
      </c>
      <c r="G54" t="s">
        <v>45</v>
      </c>
      <c r="J54" t="s">
        <v>37</v>
      </c>
      <c r="L54" t="s">
        <v>159</v>
      </c>
      <c r="M54" t="s">
        <v>340</v>
      </c>
      <c r="N54" t="s">
        <v>341</v>
      </c>
      <c r="O54" t="s">
        <v>342</v>
      </c>
      <c r="P54" t="str" cm="1">
        <f t="array" aca="1" ref="P54" ca="1">IFERROR(_xlfn.XLOOKUP(tblPedidos[[#This Row],[id_dropi]],tblNotas[[#This Row],[id__dropi]],tblNotas[[#This Row],[Notas Manuales]], “”, 0),"")</f>
        <v/>
      </c>
      <c r="Q54" t="s">
        <v>50</v>
      </c>
      <c r="R54" t="s">
        <v>115</v>
      </c>
      <c r="S54">
        <v>26779.5</v>
      </c>
      <c r="T54">
        <v>-18120.5</v>
      </c>
      <c r="U54" cm="1">
        <f t="array" ref="U54">IFERROR(_xlfn.IFS(tblPedidos[[#This Row],[estado_operativo]]="ENTREGADO",tblPedidos[[#This Row],[ganancia_calc]],tblPedidos[[#This Row],[estado_operativo]]="DEVOLUCION",tblPedidos[[#This Row],[costo_devolucion_estimado]]),0)</f>
        <v>0</v>
      </c>
      <c r="V54">
        <v>0</v>
      </c>
      <c r="W54">
        <v>64900</v>
      </c>
      <c r="X54">
        <v>18120.5</v>
      </c>
      <c r="Y54">
        <v>20000</v>
      </c>
      <c r="Z54" s="11">
        <v>46043</v>
      </c>
      <c r="AA54">
        <v>1</v>
      </c>
      <c r="AB54" s="12">
        <v>0.88749999999999996</v>
      </c>
      <c r="AC54" t="s">
        <v>37</v>
      </c>
      <c r="AD54" t="s">
        <v>37</v>
      </c>
      <c r="AE54" t="s">
        <v>37</v>
      </c>
    </row>
    <row r="55" spans="1:31">
      <c r="A55" t="s">
        <v>33</v>
      </c>
      <c r="C55">
        <v>1033</v>
      </c>
      <c r="D55" t="s">
        <v>343</v>
      </c>
      <c r="E55" s="11">
        <v>46043</v>
      </c>
      <c r="F55" t="s">
        <v>344</v>
      </c>
      <c r="G55" t="s">
        <v>45</v>
      </c>
      <c r="J55" t="s">
        <v>37</v>
      </c>
      <c r="L55" t="s">
        <v>159</v>
      </c>
      <c r="M55" t="s">
        <v>345</v>
      </c>
      <c r="N55" t="s">
        <v>346</v>
      </c>
      <c r="O55" t="s">
        <v>347</v>
      </c>
      <c r="P55" t="str" cm="1">
        <f t="array" aca="1" ref="P55" ca="1">IFERROR(_xlfn.XLOOKUP(tblPedidos[[#This Row],[id_dropi]],tblNotas[[#This Row],[id__dropi]],tblNotas[[#This Row],[Notas Manuales]], “”, 0),"")</f>
        <v/>
      </c>
      <c r="R55" t="s">
        <v>42</v>
      </c>
      <c r="S55">
        <v>22829.5</v>
      </c>
      <c r="T55">
        <v>-17670.5</v>
      </c>
      <c r="U55" cm="1">
        <f t="array" ref="U55">IFERROR(_xlfn.IFS(tblPedidos[[#This Row],[estado_operativo]]="ENTREGADO",tblPedidos[[#This Row],[ganancia_calc]],tblPedidos[[#This Row],[estado_operativo]]="DEVOLUCION",tblPedidos[[#This Row],[costo_devolucion_estimado]]),0)</f>
        <v>0</v>
      </c>
      <c r="V55">
        <v>0</v>
      </c>
      <c r="W55">
        <v>54900</v>
      </c>
      <c r="X55">
        <v>17670.5</v>
      </c>
      <c r="Y55">
        <v>14400</v>
      </c>
      <c r="Z55" s="11">
        <v>46043</v>
      </c>
      <c r="AA55">
        <v>1</v>
      </c>
      <c r="AB55" s="12">
        <v>0.88611111111111107</v>
      </c>
      <c r="AC55" t="s">
        <v>37</v>
      </c>
      <c r="AD55" t="s">
        <v>37</v>
      </c>
      <c r="AE55" t="s">
        <v>37</v>
      </c>
    </row>
    <row r="56" spans="1:31">
      <c r="A56" t="s">
        <v>33</v>
      </c>
      <c r="C56">
        <v>1034</v>
      </c>
      <c r="D56" t="s">
        <v>348</v>
      </c>
      <c r="E56" s="11">
        <v>46043</v>
      </c>
      <c r="F56" t="s">
        <v>349</v>
      </c>
      <c r="G56" t="s">
        <v>45</v>
      </c>
      <c r="J56" t="s">
        <v>37</v>
      </c>
      <c r="L56" t="s">
        <v>46</v>
      </c>
      <c r="M56" t="s">
        <v>350</v>
      </c>
      <c r="N56" t="s">
        <v>351</v>
      </c>
      <c r="O56" t="s">
        <v>352</v>
      </c>
      <c r="P56" t="str" cm="1">
        <f t="array" aca="1" ref="P56" ca="1">IFERROR(_xlfn.XLOOKUP(tblPedidos[[#This Row],[id_dropi]],tblNotas[[#This Row],[id__dropi]],tblNotas[[#This Row],[Notas Manuales]], “”, 0),"")</f>
        <v/>
      </c>
      <c r="R56" t="s">
        <v>58</v>
      </c>
      <c r="S56">
        <v>15879.5</v>
      </c>
      <c r="T56">
        <v>-19020.5</v>
      </c>
      <c r="U56" cm="1">
        <f t="array" ref="U56">IFERROR(_xlfn.IFS(tblPedidos[[#This Row],[estado_operativo]]="ENTREGADO",tblPedidos[[#This Row],[ganancia_calc]],tblPedidos[[#This Row],[estado_operativo]]="DEVOLUCION",tblPedidos[[#This Row],[costo_devolucion_estimado]]),0)</f>
        <v>0</v>
      </c>
      <c r="V56">
        <v>0</v>
      </c>
      <c r="W56">
        <v>84900</v>
      </c>
      <c r="X56">
        <v>19020.5</v>
      </c>
      <c r="Y56">
        <v>50000</v>
      </c>
      <c r="Z56" s="11">
        <v>46043</v>
      </c>
      <c r="AA56">
        <v>1</v>
      </c>
      <c r="AB56" s="12">
        <v>0.8833333333333333</v>
      </c>
      <c r="AC56" t="s">
        <v>37</v>
      </c>
      <c r="AD56" t="s">
        <v>37</v>
      </c>
      <c r="AE56" t="s">
        <v>37</v>
      </c>
    </row>
    <row r="57" spans="1:31">
      <c r="A57" t="s">
        <v>33</v>
      </c>
      <c r="C57">
        <v>1043</v>
      </c>
      <c r="D57" t="s">
        <v>353</v>
      </c>
      <c r="E57" s="11">
        <v>46043</v>
      </c>
      <c r="F57" t="s">
        <v>354</v>
      </c>
      <c r="G57" t="s">
        <v>45</v>
      </c>
      <c r="J57" t="s">
        <v>37</v>
      </c>
      <c r="L57" t="s">
        <v>54</v>
      </c>
      <c r="M57" t="s">
        <v>355</v>
      </c>
      <c r="N57" t="s">
        <v>356</v>
      </c>
      <c r="O57" t="s">
        <v>357</v>
      </c>
      <c r="P57" t="str" cm="1">
        <f t="array" aca="1" ref="P57" ca="1">IFERROR(_xlfn.XLOOKUP(tblPedidos[[#This Row],[id_dropi]],tblNotas[[#This Row],[id__dropi]],tblNotas[[#This Row],[Notas Manuales]], “”, 0),"")</f>
        <v/>
      </c>
      <c r="Q57" t="s">
        <v>50</v>
      </c>
      <c r="R57" t="s">
        <v>58</v>
      </c>
      <c r="S57">
        <v>20654.5</v>
      </c>
      <c r="T57">
        <v>-19245.5</v>
      </c>
      <c r="U57" cm="1">
        <f t="array" ref="U57">IFERROR(_xlfn.IFS(tblPedidos[[#This Row],[estado_operativo]]="ENTREGADO",tblPedidos[[#This Row],[ganancia_calc]],tblPedidos[[#This Row],[estado_operativo]]="DEVOLUCION",tblPedidos[[#This Row],[costo_devolucion_estimado]]),0)</f>
        <v>0</v>
      </c>
      <c r="V57">
        <v>0</v>
      </c>
      <c r="W57">
        <v>89900</v>
      </c>
      <c r="X57">
        <v>19245.5</v>
      </c>
      <c r="Y57">
        <v>50000</v>
      </c>
      <c r="Z57" s="11">
        <v>46043</v>
      </c>
      <c r="AA57">
        <v>1</v>
      </c>
      <c r="AB57" s="12">
        <v>0.88194444444444442</v>
      </c>
      <c r="AC57" t="s">
        <v>37</v>
      </c>
      <c r="AD57" t="s">
        <v>37</v>
      </c>
      <c r="AE57" t="s">
        <v>37</v>
      </c>
    </row>
    <row r="58" spans="1:31">
      <c r="A58" t="s">
        <v>33</v>
      </c>
      <c r="C58">
        <v>1044</v>
      </c>
      <c r="D58" t="s">
        <v>358</v>
      </c>
      <c r="E58" s="11">
        <v>46043</v>
      </c>
      <c r="F58" t="s">
        <v>359</v>
      </c>
      <c r="G58" t="s">
        <v>45</v>
      </c>
      <c r="J58" t="s">
        <v>37</v>
      </c>
      <c r="L58" t="s">
        <v>46</v>
      </c>
      <c r="M58" t="s">
        <v>100</v>
      </c>
      <c r="N58" t="s">
        <v>360</v>
      </c>
      <c r="O58" t="s">
        <v>361</v>
      </c>
      <c r="P58" t="str" cm="1">
        <f t="array" aca="1" ref="P58" ca="1">IFERROR(_xlfn.XLOOKUP(tblPedidos[[#This Row],[id_dropi]],tblNotas[[#This Row],[id__dropi]],tblNotas[[#This Row],[Notas Manuales]], “”, 0),"")</f>
        <v/>
      </c>
      <c r="R58" t="s">
        <v>58</v>
      </c>
      <c r="S58">
        <v>20654.5</v>
      </c>
      <c r="T58">
        <v>-19245.5</v>
      </c>
      <c r="U58" cm="1">
        <f t="array" ref="U58">IFERROR(_xlfn.IFS(tblPedidos[[#This Row],[estado_operativo]]="ENTREGADO",tblPedidos[[#This Row],[ganancia_calc]],tblPedidos[[#This Row],[estado_operativo]]="DEVOLUCION",tblPedidos[[#This Row],[costo_devolucion_estimado]]),0)</f>
        <v>0</v>
      </c>
      <c r="V58">
        <v>0</v>
      </c>
      <c r="W58">
        <v>89900</v>
      </c>
      <c r="X58">
        <v>19245.5</v>
      </c>
      <c r="Y58">
        <v>50000</v>
      </c>
      <c r="Z58" s="11">
        <v>46043</v>
      </c>
      <c r="AA58">
        <v>1</v>
      </c>
      <c r="AB58" s="12">
        <v>0.88194444444444442</v>
      </c>
      <c r="AC58" t="s">
        <v>37</v>
      </c>
      <c r="AD58" t="s">
        <v>37</v>
      </c>
      <c r="AE58" t="s">
        <v>37</v>
      </c>
    </row>
    <row r="59" spans="1:31">
      <c r="A59" t="s">
        <v>33</v>
      </c>
      <c r="C59">
        <v>1045</v>
      </c>
      <c r="D59" t="s">
        <v>362</v>
      </c>
      <c r="E59" s="11">
        <v>46043</v>
      </c>
      <c r="F59" t="s">
        <v>363</v>
      </c>
      <c r="G59" t="s">
        <v>45</v>
      </c>
      <c r="J59" t="s">
        <v>37</v>
      </c>
      <c r="L59" t="s">
        <v>74</v>
      </c>
      <c r="M59" t="s">
        <v>364</v>
      </c>
      <c r="N59" t="s">
        <v>365</v>
      </c>
      <c r="O59" t="s">
        <v>366</v>
      </c>
      <c r="P59" t="str" cm="1">
        <f t="array" aca="1" ref="P59" ca="1">IFERROR(_xlfn.XLOOKUP(tblPedidos[[#This Row],[id_dropi]],tblNotas[[#This Row],[id__dropi]],tblNotas[[#This Row],[Notas Manuales]], “”, 0),"")</f>
        <v/>
      </c>
      <c r="Q59" t="s">
        <v>50</v>
      </c>
      <c r="R59" t="s">
        <v>203</v>
      </c>
      <c r="S59">
        <v>22054.5</v>
      </c>
      <c r="T59">
        <v>-17895.5</v>
      </c>
      <c r="U59" cm="1">
        <f t="array" ref="U59">IFERROR(_xlfn.IFS(tblPedidos[[#This Row],[estado_operativo]]="ENTREGADO",tblPedidos[[#This Row],[ganancia_calc]],tblPedidos[[#This Row],[estado_operativo]]="DEVOLUCION",tblPedidos[[#This Row],[costo_devolucion_estimado]]),0)</f>
        <v>0</v>
      </c>
      <c r="V59">
        <v>0</v>
      </c>
      <c r="W59">
        <v>59900</v>
      </c>
      <c r="X59">
        <v>17895.5</v>
      </c>
      <c r="Y59">
        <v>19950</v>
      </c>
      <c r="Z59" s="11">
        <v>46043</v>
      </c>
      <c r="AA59">
        <v>1</v>
      </c>
      <c r="AB59" s="12">
        <v>0.88124999999999998</v>
      </c>
      <c r="AC59" t="s">
        <v>37</v>
      </c>
      <c r="AD59" t="s">
        <v>37</v>
      </c>
      <c r="AE59" t="s">
        <v>37</v>
      </c>
    </row>
    <row r="60" spans="1:31">
      <c r="A60" t="s">
        <v>33</v>
      </c>
      <c r="C60">
        <v>1042</v>
      </c>
      <c r="D60" t="s">
        <v>367</v>
      </c>
      <c r="E60" s="11">
        <v>46043</v>
      </c>
      <c r="F60" t="s">
        <v>368</v>
      </c>
      <c r="G60" t="s">
        <v>45</v>
      </c>
      <c r="J60" t="s">
        <v>37</v>
      </c>
      <c r="L60" t="s">
        <v>46</v>
      </c>
      <c r="M60" t="s">
        <v>100</v>
      </c>
      <c r="N60" t="s">
        <v>369</v>
      </c>
      <c r="O60" t="s">
        <v>370</v>
      </c>
      <c r="P60" t="str" cm="1">
        <f t="array" aca="1" ref="P60" ca="1">IFERROR(_xlfn.XLOOKUP(tblPedidos[[#This Row],[id_dropi]],tblNotas[[#This Row],[id__dropi]],tblNotas[[#This Row],[Notas Manuales]], “”, 0),"")</f>
        <v/>
      </c>
      <c r="R60" t="s">
        <v>122</v>
      </c>
      <c r="S60">
        <v>28104.5</v>
      </c>
      <c r="T60">
        <v>-18345.5</v>
      </c>
      <c r="U60" cm="1">
        <f t="array" ref="U60">IFERROR(_xlfn.IFS(tblPedidos[[#This Row],[estado_operativo]]="ENTREGADO",tblPedidos[[#This Row],[ganancia_calc]],tblPedidos[[#This Row],[estado_operativo]]="DEVOLUCION",tblPedidos[[#This Row],[costo_devolucion_estimado]]),0)</f>
        <v>0</v>
      </c>
      <c r="V60">
        <v>0</v>
      </c>
      <c r="W60">
        <v>69900</v>
      </c>
      <c r="X60">
        <v>18345.5</v>
      </c>
      <c r="Y60">
        <v>23450</v>
      </c>
      <c r="Z60" s="11">
        <v>46043</v>
      </c>
      <c r="AA60">
        <v>1</v>
      </c>
      <c r="AB60" s="12">
        <v>0.88055555555555554</v>
      </c>
      <c r="AC60" t="s">
        <v>37</v>
      </c>
      <c r="AD60" t="s">
        <v>37</v>
      </c>
      <c r="AE60" t="s">
        <v>37</v>
      </c>
    </row>
    <row r="61" spans="1:31">
      <c r="A61" t="s">
        <v>33</v>
      </c>
      <c r="C61">
        <v>1039</v>
      </c>
      <c r="D61" t="s">
        <v>371</v>
      </c>
      <c r="E61" s="11">
        <v>46043</v>
      </c>
      <c r="F61" t="s">
        <v>372</v>
      </c>
      <c r="G61" t="s">
        <v>36</v>
      </c>
      <c r="J61" t="s">
        <v>37</v>
      </c>
      <c r="L61" t="s">
        <v>54</v>
      </c>
      <c r="M61" t="s">
        <v>373</v>
      </c>
      <c r="N61" t="s">
        <v>374</v>
      </c>
      <c r="O61" t="s">
        <v>375</v>
      </c>
      <c r="P61" t="str" cm="1">
        <f t="array" aca="1" ref="P61" ca="1">IFERROR(_xlfn.XLOOKUP(tblPedidos[[#This Row],[id_dropi]],tblNotas[[#This Row],[id__dropi]],tblNotas[[#This Row],[Notas Manuales]], “”, 0),"")</f>
        <v/>
      </c>
      <c r="R61" t="s">
        <v>203</v>
      </c>
      <c r="S61">
        <v>26896.5</v>
      </c>
      <c r="T61">
        <v>-10442.800000000001</v>
      </c>
      <c r="U61" cm="1">
        <f t="array" ref="U61">IFERROR(_xlfn.IFS(tblPedidos[[#This Row],[estado_operativo]]="ENTREGADO",tblPedidos[[#This Row],[ganancia_calc]],tblPedidos[[#This Row],[estado_operativo]]="DEVOLUCION",tblPedidos[[#This Row],[costo_devolucion_estimado]]),0)</f>
        <v>0</v>
      </c>
      <c r="V61">
        <v>0</v>
      </c>
      <c r="W61">
        <v>59900</v>
      </c>
      <c r="X61">
        <v>13053.5</v>
      </c>
      <c r="Y61">
        <v>19950</v>
      </c>
      <c r="Z61" s="11">
        <v>46043</v>
      </c>
      <c r="AA61">
        <v>1</v>
      </c>
      <c r="AB61" s="12">
        <v>0.87847222222222221</v>
      </c>
      <c r="AC61" t="s">
        <v>37</v>
      </c>
      <c r="AD61" t="s">
        <v>37</v>
      </c>
      <c r="AE61" t="s">
        <v>37</v>
      </c>
    </row>
    <row r="62" spans="1:31">
      <c r="A62" t="s">
        <v>33</v>
      </c>
      <c r="C62">
        <v>1040</v>
      </c>
      <c r="D62" t="s">
        <v>376</v>
      </c>
      <c r="E62" s="11">
        <v>46043</v>
      </c>
      <c r="F62" t="s">
        <v>377</v>
      </c>
      <c r="G62" t="s">
        <v>36</v>
      </c>
      <c r="J62" t="s">
        <v>37</v>
      </c>
      <c r="L62" t="s">
        <v>46</v>
      </c>
      <c r="M62" t="s">
        <v>100</v>
      </c>
      <c r="N62" t="s">
        <v>378</v>
      </c>
      <c r="O62" t="s">
        <v>379</v>
      </c>
      <c r="P62" t="str" cm="1">
        <f t="array" aca="1" ref="P62" ca="1">IFERROR(_xlfn.XLOOKUP(tblPedidos[[#This Row],[id_dropi]],tblNotas[[#This Row],[id__dropi]],tblNotas[[#This Row],[Notas Manuales]], “”, 0),"")</f>
        <v/>
      </c>
      <c r="R62" t="s">
        <v>122</v>
      </c>
      <c r="S62">
        <v>30786.5</v>
      </c>
      <c r="T62">
        <v>-12530.800000000001</v>
      </c>
      <c r="U62" cm="1">
        <f t="array" ref="U62">IFERROR(_xlfn.IFS(tblPedidos[[#This Row],[estado_operativo]]="ENTREGADO",tblPedidos[[#This Row],[ganancia_calc]],tblPedidos[[#This Row],[estado_operativo]]="DEVOLUCION",tblPedidos[[#This Row],[costo_devolucion_estimado]]),0)</f>
        <v>0</v>
      </c>
      <c r="V62">
        <v>0</v>
      </c>
      <c r="W62">
        <v>69900</v>
      </c>
      <c r="X62">
        <v>15663.5</v>
      </c>
      <c r="Y62">
        <v>23450</v>
      </c>
      <c r="Z62" s="11">
        <v>46043</v>
      </c>
      <c r="AA62">
        <v>1</v>
      </c>
      <c r="AB62" s="12">
        <v>0.79236111111111107</v>
      </c>
      <c r="AC62" t="s">
        <v>37</v>
      </c>
      <c r="AD62" t="s">
        <v>37</v>
      </c>
      <c r="AE62" t="s">
        <v>37</v>
      </c>
    </row>
    <row r="63" spans="1:31">
      <c r="A63" t="s">
        <v>33</v>
      </c>
      <c r="C63">
        <v>1041</v>
      </c>
      <c r="D63" t="s">
        <v>380</v>
      </c>
      <c r="E63" s="11">
        <v>46043</v>
      </c>
      <c r="F63" t="s">
        <v>381</v>
      </c>
      <c r="G63" t="s">
        <v>317</v>
      </c>
      <c r="J63" t="s">
        <v>37</v>
      </c>
      <c r="L63" t="s">
        <v>46</v>
      </c>
      <c r="M63" t="s">
        <v>100</v>
      </c>
      <c r="N63" t="s">
        <v>382</v>
      </c>
      <c r="O63" t="s">
        <v>383</v>
      </c>
      <c r="P63" t="str" cm="1">
        <f t="array" aca="1" ref="P63" ca="1">IFERROR(_xlfn.XLOOKUP(tblPedidos[[#This Row],[id_dropi]],tblNotas[[#This Row],[id__dropi]],tblNotas[[#This Row],[Notas Manuales]], “”, 0),"")</f>
        <v/>
      </c>
      <c r="R63" t="s">
        <v>58</v>
      </c>
      <c r="S63">
        <v>21203</v>
      </c>
      <c r="T63">
        <v>-14957.6</v>
      </c>
      <c r="U63" cm="1">
        <f t="array" ref="U63">IFERROR(_xlfn.IFS(tblPedidos[[#This Row],[estado_operativo]]="ENTREGADO",tblPedidos[[#This Row],[ganancia_calc]],tblPedidos[[#This Row],[estado_operativo]]="DEVOLUCION",tblPedidos[[#This Row],[costo_devolucion_estimado]]),0)</f>
        <v>0</v>
      </c>
      <c r="V63">
        <v>0</v>
      </c>
      <c r="W63">
        <v>89900</v>
      </c>
      <c r="X63">
        <v>18697</v>
      </c>
      <c r="Y63">
        <v>50000</v>
      </c>
      <c r="Z63" s="11">
        <v>46043</v>
      </c>
      <c r="AA63">
        <v>1</v>
      </c>
      <c r="AB63" s="12">
        <v>0.79097222222222219</v>
      </c>
      <c r="AC63" t="s">
        <v>37</v>
      </c>
      <c r="AD63" t="s">
        <v>37</v>
      </c>
      <c r="AE63" t="s">
        <v>37</v>
      </c>
    </row>
    <row r="64" spans="1:31">
      <c r="A64" t="s">
        <v>33</v>
      </c>
      <c r="C64">
        <v>966</v>
      </c>
      <c r="D64" t="s">
        <v>384</v>
      </c>
      <c r="E64" s="11">
        <v>46042</v>
      </c>
      <c r="F64" t="s">
        <v>385</v>
      </c>
      <c r="G64" t="s">
        <v>45</v>
      </c>
      <c r="J64" t="s">
        <v>386</v>
      </c>
      <c r="K64" t="s">
        <v>387</v>
      </c>
      <c r="L64" t="s">
        <v>46</v>
      </c>
      <c r="M64" t="s">
        <v>388</v>
      </c>
      <c r="N64" t="s">
        <v>389</v>
      </c>
      <c r="O64" t="s">
        <v>390</v>
      </c>
      <c r="P64" s="46" t="str" cm="1">
        <f t="array" aca="1" ref="P64" ca="1">IFERROR(_xlfn.XLOOKUP(tblPedidos[[#This Row],[id_dropi]],tblNotas[[#This Row],[id__dropi]],tblNotas[[#This Row],[Notas Manuales]], “”, 0),"")</f>
        <v/>
      </c>
      <c r="R64" t="s">
        <v>391</v>
      </c>
      <c r="S64">
        <v>32729.5</v>
      </c>
      <c r="T64">
        <v>-12170.5</v>
      </c>
      <c r="U64" cm="1">
        <f t="array" ref="U64">IFERROR(_xlfn.IFS(tblPedidos[[#This Row],[estado_operativo]]="ENTREGADO",tblPedidos[[#This Row],[ganancia_calc]],tblPedidos[[#This Row],[estado_operativo]]="DEVOLUCION",tblPedidos[[#This Row],[costo_devolucion_estimado]]),0)</f>
        <v>0</v>
      </c>
      <c r="V64">
        <v>0</v>
      </c>
      <c r="W64">
        <v>64900</v>
      </c>
      <c r="X64">
        <v>12170.5</v>
      </c>
      <c r="Y64">
        <v>20000</v>
      </c>
      <c r="Z64" s="11">
        <v>46043</v>
      </c>
      <c r="AA64">
        <v>1</v>
      </c>
      <c r="AB64" s="12">
        <v>0.45833333333333331</v>
      </c>
      <c r="AC64" t="s">
        <v>392</v>
      </c>
      <c r="AD64" t="s">
        <v>392</v>
      </c>
      <c r="AE64" t="s">
        <v>386</v>
      </c>
    </row>
    <row r="65" spans="1:31">
      <c r="A65" t="s">
        <v>33</v>
      </c>
      <c r="C65">
        <v>967</v>
      </c>
      <c r="D65" t="s">
        <v>393</v>
      </c>
      <c r="E65" s="11">
        <v>46042</v>
      </c>
      <c r="F65" t="s">
        <v>394</v>
      </c>
      <c r="G65" t="s">
        <v>36</v>
      </c>
      <c r="J65" t="s">
        <v>386</v>
      </c>
      <c r="K65" t="s">
        <v>395</v>
      </c>
      <c r="L65" t="s">
        <v>54</v>
      </c>
      <c r="M65" t="s">
        <v>224</v>
      </c>
      <c r="N65" t="s">
        <v>396</v>
      </c>
      <c r="O65" t="s">
        <v>397</v>
      </c>
      <c r="P65" s="46" t="str" cm="1">
        <f t="array" aca="1" ref="P65" ca="1">IFERROR(_xlfn.XLOOKUP(tblPedidos[[#This Row],[id_dropi]],tblNotas[[#This Row],[id__dropi]],tblNotas[[#This Row],[Notas Manuales]], “”, 0),"")</f>
        <v/>
      </c>
      <c r="R65" t="s">
        <v>398</v>
      </c>
      <c r="S65">
        <v>23336.5</v>
      </c>
      <c r="T65">
        <v>-13250.800000000001</v>
      </c>
      <c r="U65" cm="1">
        <f t="array" ref="U65">IFERROR(_xlfn.IFS(tblPedidos[[#This Row],[estado_operativo]]="ENTREGADO",tblPedidos[[#This Row],[ganancia_calc]],tblPedidos[[#This Row],[estado_operativo]]="DEVOLUCION",tblPedidos[[#This Row],[costo_devolucion_estimado]]),0)</f>
        <v>0</v>
      </c>
      <c r="V65">
        <v>0</v>
      </c>
      <c r="W65">
        <v>89900</v>
      </c>
      <c r="X65">
        <v>16563.5</v>
      </c>
      <c r="Y65">
        <v>50000</v>
      </c>
      <c r="Z65" s="11">
        <v>46043</v>
      </c>
      <c r="AA65">
        <v>1</v>
      </c>
      <c r="AB65" s="12">
        <v>0.91111111111111109</v>
      </c>
      <c r="AC65" t="s">
        <v>399</v>
      </c>
      <c r="AD65" t="s">
        <v>399</v>
      </c>
      <c r="AE65" t="s">
        <v>386</v>
      </c>
    </row>
    <row r="66" spans="1:31">
      <c r="A66" t="s">
        <v>33</v>
      </c>
      <c r="C66">
        <v>968</v>
      </c>
      <c r="D66" t="s">
        <v>400</v>
      </c>
      <c r="E66" s="11">
        <v>46042</v>
      </c>
      <c r="F66" t="s">
        <v>401</v>
      </c>
      <c r="G66" t="s">
        <v>36</v>
      </c>
      <c r="J66" t="s">
        <v>386</v>
      </c>
      <c r="K66" t="s">
        <v>402</v>
      </c>
      <c r="L66" t="s">
        <v>54</v>
      </c>
      <c r="M66" t="s">
        <v>373</v>
      </c>
      <c r="N66" t="s">
        <v>403</v>
      </c>
      <c r="O66" t="s">
        <v>404</v>
      </c>
      <c r="P66" s="46" t="str" cm="1">
        <f t="array" aca="1" ref="P66" ca="1">IFERROR(_xlfn.XLOOKUP(tblPedidos[[#This Row],[id_dropi]],tblNotas[[#This Row],[id__dropi]],tblNotas[[#This Row],[Notas Manuales]], “”, 0),"")</f>
        <v/>
      </c>
      <c r="R66" t="s">
        <v>405</v>
      </c>
      <c r="S66">
        <v>19686.5</v>
      </c>
      <c r="T66">
        <v>-12170.800000000001</v>
      </c>
      <c r="U66" cm="1">
        <f t="array" ref="U66">IFERROR(_xlfn.IFS(tblPedidos[[#This Row],[estado_operativo]]="ENTREGADO",tblPedidos[[#This Row],[ganancia_calc]],tblPedidos[[#This Row],[estado_operativo]]="DEVOLUCION",tblPedidos[[#This Row],[costo_devolucion_estimado]]),0)</f>
        <v>0</v>
      </c>
      <c r="V66">
        <v>0</v>
      </c>
      <c r="W66">
        <v>59900</v>
      </c>
      <c r="X66">
        <v>15213.5</v>
      </c>
      <c r="Y66">
        <v>25000</v>
      </c>
      <c r="Z66" s="11">
        <v>46043</v>
      </c>
      <c r="AA66">
        <v>1</v>
      </c>
      <c r="AB66" s="12">
        <v>0.91180555555555554</v>
      </c>
      <c r="AC66" t="s">
        <v>399</v>
      </c>
      <c r="AD66" t="s">
        <v>399</v>
      </c>
      <c r="AE66" t="s">
        <v>386</v>
      </c>
    </row>
    <row r="67" spans="1:31">
      <c r="A67" t="s">
        <v>33</v>
      </c>
      <c r="C67">
        <v>963</v>
      </c>
      <c r="D67" t="s">
        <v>406</v>
      </c>
      <c r="E67" s="11">
        <v>46042</v>
      </c>
      <c r="F67" t="s">
        <v>407</v>
      </c>
      <c r="G67" t="s">
        <v>317</v>
      </c>
      <c r="J67" t="s">
        <v>386</v>
      </c>
      <c r="K67" t="s">
        <v>408</v>
      </c>
      <c r="L67" t="s">
        <v>46</v>
      </c>
      <c r="M67" t="s">
        <v>100</v>
      </c>
      <c r="N67" t="s">
        <v>409</v>
      </c>
      <c r="O67" t="s">
        <v>410</v>
      </c>
      <c r="P67" s="46" t="str" cm="1">
        <f t="array" aca="1" ref="P67" ca="1">IFERROR(_xlfn.XLOOKUP(tblPedidos[[#This Row],[id_dropi]],tblNotas[[#This Row],[id__dropi]],tblNotas[[#This Row],[Notas Manuales]], “”, 0),"")</f>
        <v/>
      </c>
      <c r="R67" t="s">
        <v>411</v>
      </c>
      <c r="S67">
        <v>21103</v>
      </c>
      <c r="T67">
        <v>-10237.6</v>
      </c>
      <c r="U67" cm="1">
        <f t="array" ref="U67">IFERROR(_xlfn.IFS(tblPedidos[[#This Row],[estado_operativo]]="ENTREGADO",tblPedidos[[#This Row],[ganancia_calc]],tblPedidos[[#This Row],[estado_operativo]]="DEVOLUCION",tblPedidos[[#This Row],[costo_devolucion_estimado]]),0)</f>
        <v>0</v>
      </c>
      <c r="V67">
        <v>0</v>
      </c>
      <c r="W67">
        <v>59900</v>
      </c>
      <c r="X67">
        <v>12797</v>
      </c>
      <c r="Y67">
        <v>26000</v>
      </c>
      <c r="Z67" s="11">
        <v>46043</v>
      </c>
      <c r="AA67">
        <v>1</v>
      </c>
      <c r="AB67" s="12">
        <v>0.77083333333333337</v>
      </c>
      <c r="AC67" t="s">
        <v>399</v>
      </c>
      <c r="AD67" t="s">
        <v>399</v>
      </c>
      <c r="AE67" t="s">
        <v>386</v>
      </c>
    </row>
    <row r="68" spans="1:31">
      <c r="A68" t="s">
        <v>33</v>
      </c>
      <c r="C68">
        <v>964</v>
      </c>
      <c r="D68" t="s">
        <v>412</v>
      </c>
      <c r="E68" s="11">
        <v>46042</v>
      </c>
      <c r="F68" t="s">
        <v>413</v>
      </c>
      <c r="G68" t="s">
        <v>45</v>
      </c>
      <c r="J68" t="s">
        <v>386</v>
      </c>
      <c r="K68" t="s">
        <v>414</v>
      </c>
      <c r="L68" t="s">
        <v>46</v>
      </c>
      <c r="M68" t="s">
        <v>100</v>
      </c>
      <c r="N68" t="s">
        <v>415</v>
      </c>
      <c r="O68" t="s">
        <v>416</v>
      </c>
      <c r="P68" s="46" t="str" cm="1">
        <f t="array" aca="1" ref="P68" ca="1">IFERROR(_xlfn.XLOOKUP(tblPedidos[[#This Row],[id_dropi]],tblNotas[[#This Row],[id__dropi]],tblNotas[[#This Row],[Notas Manuales]], “”, 0),"")</f>
        <v/>
      </c>
      <c r="R68" t="s">
        <v>405</v>
      </c>
      <c r="S68">
        <v>17004.5</v>
      </c>
      <c r="T68">
        <v>-17895.5</v>
      </c>
      <c r="U68" cm="1">
        <f t="array" ref="U68">IFERROR(_xlfn.IFS(tblPedidos[[#This Row],[estado_operativo]]="ENTREGADO",tblPedidos[[#This Row],[ganancia_calc]],tblPedidos[[#This Row],[estado_operativo]]="DEVOLUCION",tblPedidos[[#This Row],[costo_devolucion_estimado]]),0)</f>
        <v>0</v>
      </c>
      <c r="V68">
        <v>0</v>
      </c>
      <c r="W68">
        <v>59900</v>
      </c>
      <c r="X68">
        <v>17895.5</v>
      </c>
      <c r="Y68">
        <v>25000</v>
      </c>
      <c r="Z68" s="11">
        <v>46043</v>
      </c>
      <c r="AA68">
        <v>1</v>
      </c>
      <c r="AB68" s="12">
        <v>0.83958333333333335</v>
      </c>
      <c r="AC68" t="s">
        <v>417</v>
      </c>
      <c r="AD68" t="s">
        <v>417</v>
      </c>
      <c r="AE68" t="s">
        <v>386</v>
      </c>
    </row>
    <row r="69" spans="1:31">
      <c r="A69" t="s">
        <v>33</v>
      </c>
      <c r="C69">
        <v>965</v>
      </c>
      <c r="D69" t="s">
        <v>418</v>
      </c>
      <c r="E69" s="11">
        <v>46042</v>
      </c>
      <c r="F69" t="s">
        <v>419</v>
      </c>
      <c r="G69" t="s">
        <v>45</v>
      </c>
      <c r="J69" t="s">
        <v>386</v>
      </c>
      <c r="K69" t="s">
        <v>420</v>
      </c>
      <c r="L69" t="s">
        <v>46</v>
      </c>
      <c r="M69" t="s">
        <v>100</v>
      </c>
      <c r="N69" t="s">
        <v>421</v>
      </c>
      <c r="O69" t="s">
        <v>422</v>
      </c>
      <c r="P69" s="46" t="str" cm="1">
        <f t="array" aca="1" ref="P69" ca="1">IFERROR(_xlfn.XLOOKUP(tblPedidos[[#This Row],[id_dropi]],tblNotas[[#This Row],[id__dropi]],tblNotas[[#This Row],[Notas Manuales]], “”, 0),"")</f>
        <v/>
      </c>
      <c r="R69" t="s">
        <v>423</v>
      </c>
      <c r="S69">
        <v>28779.5</v>
      </c>
      <c r="T69">
        <v>-11720.5</v>
      </c>
      <c r="U69" cm="1">
        <f t="array" ref="U69">IFERROR(_xlfn.IFS(tblPedidos[[#This Row],[estado_operativo]]="ENTREGADO",tblPedidos[[#This Row],[ganancia_calc]],tblPedidos[[#This Row],[estado_operativo]]="DEVOLUCION",tblPedidos[[#This Row],[costo_devolucion_estimado]]),0)</f>
        <v>0</v>
      </c>
      <c r="V69">
        <v>0</v>
      </c>
      <c r="W69">
        <v>54900</v>
      </c>
      <c r="X69">
        <v>11720.5</v>
      </c>
      <c r="Y69">
        <v>14400</v>
      </c>
      <c r="Z69" s="11">
        <v>46043</v>
      </c>
      <c r="AA69">
        <v>1</v>
      </c>
      <c r="AB69" s="12">
        <v>0.70347222222222228</v>
      </c>
      <c r="AC69" t="s">
        <v>392</v>
      </c>
      <c r="AD69" t="s">
        <v>392</v>
      </c>
      <c r="AE69" t="s">
        <v>386</v>
      </c>
    </row>
    <row r="70" spans="1:31">
      <c r="A70" t="s">
        <v>33</v>
      </c>
      <c r="C70">
        <v>969</v>
      </c>
      <c r="D70" t="s">
        <v>424</v>
      </c>
      <c r="E70" s="11">
        <v>46042</v>
      </c>
      <c r="F70" t="s">
        <v>425</v>
      </c>
      <c r="G70" t="s">
        <v>45</v>
      </c>
      <c r="J70" t="s">
        <v>386</v>
      </c>
      <c r="K70" t="s">
        <v>426</v>
      </c>
      <c r="L70" t="s">
        <v>427</v>
      </c>
      <c r="M70" t="s">
        <v>428</v>
      </c>
      <c r="N70" t="s">
        <v>429</v>
      </c>
      <c r="O70" t="s">
        <v>430</v>
      </c>
      <c r="P70" s="46" t="str" cm="1">
        <f t="array" aca="1" ref="P70" ca="1">IFERROR(_xlfn.XLOOKUP(tblPedidos[[#This Row],[id_dropi]],tblNotas[[#This Row],[id__dropi]],tblNotas[[#This Row],[Notas Manuales]], “”, 0),"")</f>
        <v/>
      </c>
      <c r="Q70" t="s">
        <v>50</v>
      </c>
      <c r="R70" t="s">
        <v>411</v>
      </c>
      <c r="S70">
        <v>16004.5</v>
      </c>
      <c r="T70">
        <v>-17895.5</v>
      </c>
      <c r="U70" cm="1">
        <f t="array" ref="U70">IFERROR(_xlfn.IFS(tblPedidos[[#This Row],[estado_operativo]]="ENTREGADO",tblPedidos[[#This Row],[ganancia_calc]],tblPedidos[[#This Row],[estado_operativo]]="DEVOLUCION",tblPedidos[[#This Row],[costo_devolucion_estimado]]),0)</f>
        <v>0</v>
      </c>
      <c r="V70">
        <v>0</v>
      </c>
      <c r="W70">
        <v>59900</v>
      </c>
      <c r="X70">
        <v>17895.5</v>
      </c>
      <c r="Y70">
        <v>26000</v>
      </c>
      <c r="Z70" s="11">
        <v>46043</v>
      </c>
      <c r="AA70">
        <v>1</v>
      </c>
      <c r="AB70" s="12">
        <v>0.75486111111111109</v>
      </c>
      <c r="AC70" t="s">
        <v>417</v>
      </c>
      <c r="AD70" t="s">
        <v>417</v>
      </c>
      <c r="AE70" t="s">
        <v>386</v>
      </c>
    </row>
    <row r="71" spans="1:31">
      <c r="A71" t="s">
        <v>33</v>
      </c>
      <c r="C71">
        <v>973</v>
      </c>
      <c r="D71" t="s">
        <v>431</v>
      </c>
      <c r="E71" s="11">
        <v>46042</v>
      </c>
      <c r="F71" t="s">
        <v>432</v>
      </c>
      <c r="G71" t="s">
        <v>45</v>
      </c>
      <c r="J71" t="s">
        <v>386</v>
      </c>
      <c r="K71" t="s">
        <v>433</v>
      </c>
      <c r="L71" t="s">
        <v>427</v>
      </c>
      <c r="M71" t="s">
        <v>434</v>
      </c>
      <c r="N71" t="s">
        <v>435</v>
      </c>
      <c r="O71" t="s">
        <v>436</v>
      </c>
      <c r="P71" s="46" t="str" cm="1">
        <f t="array" aca="1" ref="P71" ca="1">IFERROR(_xlfn.XLOOKUP(tblPedidos[[#This Row],[id_dropi]],tblNotas[[#This Row],[id__dropi]],tblNotas[[#This Row],[Notas Manuales]], “”, 0),"")</f>
        <v/>
      </c>
      <c r="Q71" t="s">
        <v>50</v>
      </c>
      <c r="R71" t="s">
        <v>411</v>
      </c>
      <c r="S71">
        <v>16004.5</v>
      </c>
      <c r="T71">
        <v>-17895.5</v>
      </c>
      <c r="U71" cm="1">
        <f t="array" ref="U71">IFERROR(_xlfn.IFS(tblPedidos[[#This Row],[estado_operativo]]="ENTREGADO",tblPedidos[[#This Row],[ganancia_calc]],tblPedidos[[#This Row],[estado_operativo]]="DEVOLUCION",tblPedidos[[#This Row],[costo_devolucion_estimado]]),0)</f>
        <v>0</v>
      </c>
      <c r="V71">
        <v>0</v>
      </c>
      <c r="W71">
        <v>59900</v>
      </c>
      <c r="X71">
        <v>17895.5</v>
      </c>
      <c r="Y71">
        <v>26000</v>
      </c>
      <c r="Z71" s="11">
        <v>46043</v>
      </c>
      <c r="AA71">
        <v>1</v>
      </c>
      <c r="AB71" s="12">
        <v>0.75486111111111109</v>
      </c>
      <c r="AC71" t="s">
        <v>417</v>
      </c>
      <c r="AD71" t="s">
        <v>417</v>
      </c>
      <c r="AE71" t="s">
        <v>386</v>
      </c>
    </row>
    <row r="72" spans="1:31">
      <c r="A72" t="s">
        <v>33</v>
      </c>
      <c r="C72">
        <v>974</v>
      </c>
      <c r="D72" t="s">
        <v>437</v>
      </c>
      <c r="E72" s="11">
        <v>46042</v>
      </c>
      <c r="F72" t="s">
        <v>438</v>
      </c>
      <c r="G72" t="s">
        <v>36</v>
      </c>
      <c r="J72" t="s">
        <v>386</v>
      </c>
      <c r="K72" t="s">
        <v>439</v>
      </c>
      <c r="L72" t="s">
        <v>54</v>
      </c>
      <c r="M72" t="s">
        <v>373</v>
      </c>
      <c r="N72" t="s">
        <v>440</v>
      </c>
      <c r="O72" t="s">
        <v>441</v>
      </c>
      <c r="P72" s="46" t="str" cm="1">
        <f t="array" aca="1" ref="P72" ca="1">IFERROR(_xlfn.XLOOKUP(tblPedidos[[#This Row],[id_dropi]],tblNotas[[#This Row],[id__dropi]],tblNotas[[#This Row],[Notas Manuales]], “”, 0),"")</f>
        <v/>
      </c>
      <c r="R72" t="s">
        <v>411</v>
      </c>
      <c r="S72">
        <v>18686.5</v>
      </c>
      <c r="T72">
        <v>-12170.800000000001</v>
      </c>
      <c r="U72" cm="1">
        <f t="array" ref="U72">IFERROR(_xlfn.IFS(tblPedidos[[#This Row],[estado_operativo]]="ENTREGADO",tblPedidos[[#This Row],[ganancia_calc]],tblPedidos[[#This Row],[estado_operativo]]="DEVOLUCION",tblPedidos[[#This Row],[costo_devolucion_estimado]]),0)</f>
        <v>0</v>
      </c>
      <c r="V72">
        <v>0</v>
      </c>
      <c r="W72">
        <v>59900</v>
      </c>
      <c r="X72">
        <v>15213.5</v>
      </c>
      <c r="Y72">
        <v>26000</v>
      </c>
      <c r="Z72" s="11">
        <v>46043</v>
      </c>
      <c r="AA72">
        <v>1</v>
      </c>
      <c r="AB72" s="12">
        <v>0.73958333333333337</v>
      </c>
      <c r="AC72" t="s">
        <v>399</v>
      </c>
      <c r="AD72" t="s">
        <v>399</v>
      </c>
      <c r="AE72" t="s">
        <v>386</v>
      </c>
    </row>
    <row r="73" spans="1:31">
      <c r="A73" t="s">
        <v>33</v>
      </c>
      <c r="C73">
        <v>975</v>
      </c>
      <c r="D73" t="s">
        <v>442</v>
      </c>
      <c r="E73" s="11">
        <v>46042</v>
      </c>
      <c r="F73" t="s">
        <v>443</v>
      </c>
      <c r="G73" t="s">
        <v>45</v>
      </c>
      <c r="J73" t="s">
        <v>386</v>
      </c>
      <c r="K73" t="s">
        <v>444</v>
      </c>
      <c r="L73" t="s">
        <v>46</v>
      </c>
      <c r="M73" t="s">
        <v>94</v>
      </c>
      <c r="N73" t="s">
        <v>445</v>
      </c>
      <c r="O73" t="s">
        <v>446</v>
      </c>
      <c r="P73" s="46" t="str" cm="1">
        <f t="array" aca="1" ref="P73" ca="1">IFERROR(_xlfn.XLOOKUP(tblPedidos[[#This Row],[id_dropi]],tblNotas[[#This Row],[id__dropi]],tblNotas[[#This Row],[Notas Manuales]], “”, 0),"")</f>
        <v/>
      </c>
      <c r="R73" t="s">
        <v>411</v>
      </c>
      <c r="S73">
        <v>21954.5</v>
      </c>
      <c r="T73">
        <v>-11945.5</v>
      </c>
      <c r="U73" cm="1">
        <f t="array" ref="U73">IFERROR(_xlfn.IFS(tblPedidos[[#This Row],[estado_operativo]]="ENTREGADO",tblPedidos[[#This Row],[ganancia_calc]],tblPedidos[[#This Row],[estado_operativo]]="DEVOLUCION",tblPedidos[[#This Row],[costo_devolucion_estimado]]),0)</f>
        <v>0</v>
      </c>
      <c r="V73">
        <v>0</v>
      </c>
      <c r="W73">
        <v>59900</v>
      </c>
      <c r="X73">
        <v>11945.5</v>
      </c>
      <c r="Y73">
        <v>26000</v>
      </c>
      <c r="Z73" s="11">
        <v>46043</v>
      </c>
      <c r="AA73">
        <v>1</v>
      </c>
      <c r="AB73" s="12">
        <v>0.75486111111111109</v>
      </c>
      <c r="AC73" t="s">
        <v>417</v>
      </c>
      <c r="AD73" t="s">
        <v>417</v>
      </c>
      <c r="AE73" t="s">
        <v>386</v>
      </c>
    </row>
    <row r="74" spans="1:31">
      <c r="A74" t="s">
        <v>33</v>
      </c>
      <c r="C74">
        <v>970</v>
      </c>
      <c r="D74" t="s">
        <v>447</v>
      </c>
      <c r="E74" s="11">
        <v>46042</v>
      </c>
      <c r="F74" t="s">
        <v>448</v>
      </c>
      <c r="G74" t="s">
        <v>45</v>
      </c>
      <c r="J74" t="s">
        <v>386</v>
      </c>
      <c r="K74" t="s">
        <v>449</v>
      </c>
      <c r="L74" t="s">
        <v>46</v>
      </c>
      <c r="M74" t="s">
        <v>450</v>
      </c>
      <c r="N74" t="s">
        <v>451</v>
      </c>
      <c r="O74" t="s">
        <v>452</v>
      </c>
      <c r="P74" s="46" t="str" cm="1">
        <f t="array" aca="1" ref="P74" ca="1">IFERROR(_xlfn.XLOOKUP(tblPedidos[[#This Row],[id_dropi]],tblNotas[[#This Row],[id__dropi]],tblNotas[[#This Row],[Notas Manuales]], “”, 0),"")</f>
        <v/>
      </c>
      <c r="Q74" t="s">
        <v>50</v>
      </c>
      <c r="R74" t="s">
        <v>398</v>
      </c>
      <c r="S74">
        <v>20654.5</v>
      </c>
      <c r="T74">
        <v>-19245.5</v>
      </c>
      <c r="U74" cm="1">
        <f t="array" ref="U74">IFERROR(_xlfn.IFS(tblPedidos[[#This Row],[estado_operativo]]="ENTREGADO",tblPedidos[[#This Row],[ganancia_calc]],tblPedidos[[#This Row],[estado_operativo]]="DEVOLUCION",tblPedidos[[#This Row],[costo_devolucion_estimado]]),0)</f>
        <v>0</v>
      </c>
      <c r="V74">
        <v>0</v>
      </c>
      <c r="W74">
        <v>89900</v>
      </c>
      <c r="X74">
        <v>19245.5</v>
      </c>
      <c r="Y74">
        <v>50000</v>
      </c>
      <c r="Z74" s="11">
        <v>46043</v>
      </c>
      <c r="AA74">
        <v>1</v>
      </c>
      <c r="AB74" s="12">
        <v>0.83958333333333335</v>
      </c>
      <c r="AC74" t="s">
        <v>417</v>
      </c>
      <c r="AD74" t="s">
        <v>417</v>
      </c>
      <c r="AE74" t="s">
        <v>386</v>
      </c>
    </row>
    <row r="75" spans="1:31">
      <c r="A75" t="s">
        <v>33</v>
      </c>
      <c r="C75">
        <v>971</v>
      </c>
      <c r="D75" t="s">
        <v>453</v>
      </c>
      <c r="E75" s="11">
        <v>46042</v>
      </c>
      <c r="F75" t="s">
        <v>454</v>
      </c>
      <c r="G75" t="s">
        <v>45</v>
      </c>
      <c r="J75" t="s">
        <v>386</v>
      </c>
      <c r="K75" t="s">
        <v>455</v>
      </c>
      <c r="L75" t="s">
        <v>87</v>
      </c>
      <c r="M75" t="s">
        <v>456</v>
      </c>
      <c r="N75" t="s">
        <v>457</v>
      </c>
      <c r="O75" t="s">
        <v>458</v>
      </c>
      <c r="P75" s="46" t="str" cm="1">
        <f t="array" aca="1" ref="P75" ca="1">IFERROR(_xlfn.XLOOKUP(tblPedidos[[#This Row],[id_dropi]],tblNotas[[#This Row],[id__dropi]],tblNotas[[#This Row],[Notas Manuales]], “”, 0),"")</f>
        <v/>
      </c>
      <c r="Q75" t="s">
        <v>50</v>
      </c>
      <c r="R75" t="s">
        <v>411</v>
      </c>
      <c r="S75">
        <v>16004.5</v>
      </c>
      <c r="T75">
        <v>-17895.5</v>
      </c>
      <c r="U75" cm="1">
        <f t="array" ref="U75">IFERROR(_xlfn.IFS(tblPedidos[[#This Row],[estado_operativo]]="ENTREGADO",tblPedidos[[#This Row],[ganancia_calc]],tblPedidos[[#This Row],[estado_operativo]]="DEVOLUCION",tblPedidos[[#This Row],[costo_devolucion_estimado]]),0)</f>
        <v>0</v>
      </c>
      <c r="V75">
        <v>0</v>
      </c>
      <c r="W75">
        <v>59900</v>
      </c>
      <c r="X75">
        <v>17895.5</v>
      </c>
      <c r="Y75">
        <v>26000</v>
      </c>
      <c r="Z75" s="11">
        <v>46043</v>
      </c>
      <c r="AA75">
        <v>1</v>
      </c>
      <c r="AB75" s="12">
        <v>0.75486111111111109</v>
      </c>
      <c r="AC75" t="s">
        <v>417</v>
      </c>
      <c r="AD75" t="s">
        <v>417</v>
      </c>
      <c r="AE75" t="s">
        <v>386</v>
      </c>
    </row>
    <row r="76" spans="1:31">
      <c r="A76" t="s">
        <v>33</v>
      </c>
      <c r="C76">
        <v>972</v>
      </c>
      <c r="D76" t="s">
        <v>459</v>
      </c>
      <c r="E76" s="11">
        <v>46042</v>
      </c>
      <c r="F76" t="s">
        <v>460</v>
      </c>
      <c r="G76" t="s">
        <v>45</v>
      </c>
      <c r="J76" t="s">
        <v>386</v>
      </c>
      <c r="K76" t="s">
        <v>461</v>
      </c>
      <c r="L76" t="s">
        <v>212</v>
      </c>
      <c r="M76" t="s">
        <v>462</v>
      </c>
      <c r="N76" t="s">
        <v>463</v>
      </c>
      <c r="O76" t="s">
        <v>464</v>
      </c>
      <c r="P76" s="46" t="str" cm="1">
        <f t="array" aca="1" ref="P76" ca="1">IFERROR(_xlfn.XLOOKUP(tblPedidos[[#This Row],[id_dropi]],tblNotas[[#This Row],[id__dropi]],tblNotas[[#This Row],[Notas Manuales]], “”, 0),"")</f>
        <v/>
      </c>
      <c r="R76" t="s">
        <v>411</v>
      </c>
      <c r="S76">
        <v>20554.5</v>
      </c>
      <c r="T76">
        <v>-13345.5</v>
      </c>
      <c r="U76" cm="1">
        <f t="array" ref="U76">IFERROR(_xlfn.IFS(tblPedidos[[#This Row],[estado_operativo]]="ENTREGADO",tblPedidos[[#This Row],[ganancia_calc]],tblPedidos[[#This Row],[estado_operativo]]="DEVOLUCION",tblPedidos[[#This Row],[costo_devolucion_estimado]]),0)</f>
        <v>0</v>
      </c>
      <c r="V76">
        <v>0</v>
      </c>
      <c r="W76">
        <v>59900</v>
      </c>
      <c r="X76">
        <v>13345.5</v>
      </c>
      <c r="Y76">
        <v>26000</v>
      </c>
      <c r="Z76" s="11">
        <v>46043</v>
      </c>
      <c r="AA76">
        <v>1</v>
      </c>
      <c r="AB76" s="12">
        <v>0.75486111111111109</v>
      </c>
      <c r="AC76" t="s">
        <v>417</v>
      </c>
      <c r="AD76" t="s">
        <v>417</v>
      </c>
      <c r="AE76" t="s">
        <v>386</v>
      </c>
    </row>
    <row r="77" spans="1:31">
      <c r="A77" t="s">
        <v>33</v>
      </c>
      <c r="C77">
        <v>953</v>
      </c>
      <c r="D77" t="s">
        <v>465</v>
      </c>
      <c r="E77" s="11">
        <v>46042</v>
      </c>
      <c r="F77" t="s">
        <v>466</v>
      </c>
      <c r="G77" t="s">
        <v>36</v>
      </c>
      <c r="J77" t="s">
        <v>386</v>
      </c>
      <c r="K77" t="s">
        <v>467</v>
      </c>
      <c r="L77" t="s">
        <v>166</v>
      </c>
      <c r="M77" t="s">
        <v>468</v>
      </c>
      <c r="N77" t="s">
        <v>469</v>
      </c>
      <c r="O77" t="s">
        <v>470</v>
      </c>
      <c r="P77" s="46" t="str" cm="1">
        <f t="array" aca="1" ref="P77" ca="1">IFERROR(_xlfn.XLOOKUP(tblPedidos[[#This Row],[id_dropi]],tblNotas[[#This Row],[id__dropi]],tblNotas[[#This Row],[Notas Manuales]], “”, 0),"")</f>
        <v/>
      </c>
      <c r="R77" t="s">
        <v>471</v>
      </c>
      <c r="S77">
        <v>14911.5</v>
      </c>
      <c r="T77">
        <v>-11990.800000000001</v>
      </c>
      <c r="U77" cm="1">
        <f t="array" ref="U77">IFERROR(_xlfn.IFS(tblPedidos[[#This Row],[estado_operativo]]="ENTREGADO",tblPedidos[[#This Row],[ganancia_calc]],tblPedidos[[#This Row],[estado_operativo]]="DEVOLUCION",tblPedidos[[#This Row],[costo_devolucion_estimado]]),0)</f>
        <v>0</v>
      </c>
      <c r="V77">
        <v>0</v>
      </c>
      <c r="W77">
        <v>54900</v>
      </c>
      <c r="X77">
        <v>14988.5</v>
      </c>
      <c r="Y77">
        <v>25000</v>
      </c>
      <c r="Z77" s="11">
        <v>46043</v>
      </c>
      <c r="AA77">
        <v>1</v>
      </c>
      <c r="AB77" s="12">
        <v>0.72430555555555554</v>
      </c>
      <c r="AC77" t="s">
        <v>399</v>
      </c>
      <c r="AD77" t="s">
        <v>399</v>
      </c>
      <c r="AE77" t="s">
        <v>386</v>
      </c>
    </row>
    <row r="78" spans="1:31">
      <c r="A78" t="s">
        <v>33</v>
      </c>
      <c r="C78">
        <v>954</v>
      </c>
      <c r="D78" t="s">
        <v>472</v>
      </c>
      <c r="E78" s="11">
        <v>46042</v>
      </c>
      <c r="F78" t="s">
        <v>473</v>
      </c>
      <c r="G78" t="s">
        <v>45</v>
      </c>
      <c r="J78" t="s">
        <v>386</v>
      </c>
      <c r="K78" t="s">
        <v>474</v>
      </c>
      <c r="L78" t="s">
        <v>54</v>
      </c>
      <c r="M78" t="s">
        <v>475</v>
      </c>
      <c r="N78" t="s">
        <v>476</v>
      </c>
      <c r="O78" t="s">
        <v>477</v>
      </c>
      <c r="P78" s="46" t="str" cm="1">
        <f t="array" aca="1" ref="P78" ca="1">IFERROR(_xlfn.XLOOKUP(tblPedidos[[#This Row],[id_dropi]],tblNotas[[#This Row],[id__dropi]],tblNotas[[#This Row],[Notas Manuales]], “”, 0),"")</f>
        <v/>
      </c>
      <c r="Q78" t="s">
        <v>50</v>
      </c>
      <c r="R78" t="s">
        <v>398</v>
      </c>
      <c r="S78">
        <v>20654.5</v>
      </c>
      <c r="T78">
        <v>-19245.5</v>
      </c>
      <c r="U78" cm="1">
        <f t="array" ref="U78">IFERROR(_xlfn.IFS(tblPedidos[[#This Row],[estado_operativo]]="ENTREGADO",tblPedidos[[#This Row],[ganancia_calc]],tblPedidos[[#This Row],[estado_operativo]]="DEVOLUCION",tblPedidos[[#This Row],[costo_devolucion_estimado]]),0)</f>
        <v>0</v>
      </c>
      <c r="V78">
        <v>0</v>
      </c>
      <c r="W78">
        <v>89900</v>
      </c>
      <c r="X78">
        <v>19245.5</v>
      </c>
      <c r="Y78">
        <v>50000</v>
      </c>
      <c r="Z78" s="11">
        <v>46043</v>
      </c>
      <c r="AA78">
        <v>1</v>
      </c>
      <c r="AB78" s="12">
        <v>0.83958333333333335</v>
      </c>
      <c r="AC78" t="s">
        <v>417</v>
      </c>
      <c r="AD78" t="s">
        <v>417</v>
      </c>
      <c r="AE78" t="s">
        <v>386</v>
      </c>
    </row>
    <row r="79" spans="1:31">
      <c r="A79" t="s">
        <v>33</v>
      </c>
      <c r="C79">
        <v>955</v>
      </c>
      <c r="D79" t="s">
        <v>478</v>
      </c>
      <c r="E79" s="11">
        <v>46042</v>
      </c>
      <c r="F79" t="s">
        <v>479</v>
      </c>
      <c r="G79" t="s">
        <v>45</v>
      </c>
      <c r="J79" t="s">
        <v>386</v>
      </c>
      <c r="K79" t="s">
        <v>480</v>
      </c>
      <c r="L79" t="s">
        <v>68</v>
      </c>
      <c r="M79" t="s">
        <v>69</v>
      </c>
      <c r="N79" t="s">
        <v>481</v>
      </c>
      <c r="O79" t="s">
        <v>482</v>
      </c>
      <c r="P79" s="46" t="str" cm="1">
        <f t="array" aca="1" ref="P79" ca="1">IFERROR(_xlfn.XLOOKUP(tblPedidos[[#This Row],[id_dropi]],tblNotas[[#This Row],[id__dropi]],tblNotas[[#This Row],[Notas Manuales]], “”, 0),"")</f>
        <v/>
      </c>
      <c r="R79" t="s">
        <v>483</v>
      </c>
      <c r="S79">
        <v>32654.5</v>
      </c>
      <c r="T79">
        <v>-13795.5</v>
      </c>
      <c r="U79" cm="1">
        <f t="array" ref="U79">IFERROR(_xlfn.IFS(tblPedidos[[#This Row],[estado_operativo]]="ENTREGADO",tblPedidos[[#This Row],[ganancia_calc]],tblPedidos[[#This Row],[estado_operativo]]="DEVOLUCION",tblPedidos[[#This Row],[costo_devolucion_estimado]]),0)</f>
        <v>0</v>
      </c>
      <c r="V79">
        <v>0</v>
      </c>
      <c r="W79">
        <v>69900</v>
      </c>
      <c r="X79">
        <v>13795.5</v>
      </c>
      <c r="Y79">
        <v>23450</v>
      </c>
      <c r="Z79" s="11">
        <v>46043</v>
      </c>
      <c r="AA79">
        <v>1</v>
      </c>
      <c r="AB79" s="12">
        <v>0.60277777777777775</v>
      </c>
      <c r="AC79" t="s">
        <v>484</v>
      </c>
      <c r="AD79" t="s">
        <v>484</v>
      </c>
      <c r="AE79" t="s">
        <v>386</v>
      </c>
    </row>
    <row r="80" spans="1:31">
      <c r="A80" t="s">
        <v>33</v>
      </c>
      <c r="C80">
        <v>950</v>
      </c>
      <c r="D80" t="s">
        <v>485</v>
      </c>
      <c r="E80" s="11">
        <v>46042</v>
      </c>
      <c r="F80" t="s">
        <v>486</v>
      </c>
      <c r="G80" t="s">
        <v>45</v>
      </c>
      <c r="J80" t="s">
        <v>386</v>
      </c>
      <c r="K80" t="s">
        <v>487</v>
      </c>
      <c r="L80" t="s">
        <v>61</v>
      </c>
      <c r="M80" t="s">
        <v>488</v>
      </c>
      <c r="N80" t="s">
        <v>489</v>
      </c>
      <c r="O80" t="s">
        <v>490</v>
      </c>
      <c r="P80" s="46" t="str" cm="1">
        <f t="array" aca="1" ref="P80" ca="1">IFERROR(_xlfn.XLOOKUP(tblPedidos[[#This Row],[id_dropi]],tblNotas[[#This Row],[id__dropi]],tblNotas[[#This Row],[Notas Manuales]], “”, 0),"")</f>
        <v/>
      </c>
      <c r="Q80" t="s">
        <v>50</v>
      </c>
      <c r="R80" t="s">
        <v>491</v>
      </c>
      <c r="S80">
        <v>22054.5</v>
      </c>
      <c r="T80">
        <v>-17895.5</v>
      </c>
      <c r="U80" cm="1">
        <f t="array" ref="U80">IFERROR(_xlfn.IFS(tblPedidos[[#This Row],[estado_operativo]]="ENTREGADO",tblPedidos[[#This Row],[ganancia_calc]],tblPedidos[[#This Row],[estado_operativo]]="DEVOLUCION",tblPedidos[[#This Row],[costo_devolucion_estimado]]),0)</f>
        <v>0</v>
      </c>
      <c r="V80">
        <v>0</v>
      </c>
      <c r="W80">
        <v>59900</v>
      </c>
      <c r="X80">
        <v>17895.5</v>
      </c>
      <c r="Y80">
        <v>19950</v>
      </c>
      <c r="Z80" s="11">
        <v>46043</v>
      </c>
      <c r="AA80">
        <v>1</v>
      </c>
      <c r="AB80" s="12">
        <v>0.60277777777777775</v>
      </c>
      <c r="AC80" t="s">
        <v>484</v>
      </c>
      <c r="AD80" t="s">
        <v>484</v>
      </c>
      <c r="AE80" t="s">
        <v>386</v>
      </c>
    </row>
    <row r="81" spans="1:31">
      <c r="A81" t="s">
        <v>33</v>
      </c>
      <c r="C81">
        <v>951</v>
      </c>
      <c r="D81" t="s">
        <v>492</v>
      </c>
      <c r="E81" s="11">
        <v>46042</v>
      </c>
      <c r="F81" t="s">
        <v>493</v>
      </c>
      <c r="G81" t="s">
        <v>36</v>
      </c>
      <c r="J81" t="s">
        <v>386</v>
      </c>
      <c r="K81" t="s">
        <v>494</v>
      </c>
      <c r="L81" t="s">
        <v>81</v>
      </c>
      <c r="M81" t="s">
        <v>495</v>
      </c>
      <c r="N81" t="s">
        <v>496</v>
      </c>
      <c r="O81" t="s">
        <v>497</v>
      </c>
      <c r="P81" s="46" t="str" cm="1">
        <f t="array" aca="1" ref="P81" ca="1">IFERROR(_xlfn.XLOOKUP(tblPedidos[[#This Row],[id_dropi]],tblNotas[[#This Row],[id__dropi]],tblNotas[[#This Row],[Notas Manuales]], “”, 0),"")</f>
        <v/>
      </c>
      <c r="R81" t="s">
        <v>498</v>
      </c>
      <c r="S81">
        <v>30211.5</v>
      </c>
      <c r="T81">
        <v>-12710.800000000001</v>
      </c>
      <c r="U81" cm="1">
        <f t="array" ref="U81">IFERROR(_xlfn.IFS(tblPedidos[[#This Row],[estado_operativo]]="ENTREGADO",tblPedidos[[#This Row],[ganancia_calc]],tblPedidos[[#This Row],[estado_operativo]]="DEVOLUCION",tblPedidos[[#This Row],[costo_devolucion_estimado]]),0)</f>
        <v>0</v>
      </c>
      <c r="V81">
        <v>0</v>
      </c>
      <c r="W81">
        <v>74900</v>
      </c>
      <c r="X81">
        <v>15888.5</v>
      </c>
      <c r="Y81">
        <v>28800</v>
      </c>
      <c r="Z81" s="11">
        <v>46043</v>
      </c>
      <c r="AA81">
        <v>1</v>
      </c>
      <c r="AB81" s="12">
        <v>0.69722222222222219</v>
      </c>
      <c r="AC81" t="s">
        <v>392</v>
      </c>
      <c r="AD81" t="s">
        <v>392</v>
      </c>
      <c r="AE81" t="s">
        <v>386</v>
      </c>
    </row>
    <row r="82" spans="1:31">
      <c r="A82" t="s">
        <v>33</v>
      </c>
      <c r="C82">
        <v>952</v>
      </c>
      <c r="D82" t="s">
        <v>499</v>
      </c>
      <c r="E82" s="11">
        <v>46042</v>
      </c>
      <c r="F82" t="s">
        <v>500</v>
      </c>
      <c r="G82" t="s">
        <v>45</v>
      </c>
      <c r="J82" t="s">
        <v>386</v>
      </c>
      <c r="K82" t="s">
        <v>501</v>
      </c>
      <c r="L82" t="s">
        <v>159</v>
      </c>
      <c r="M82" t="s">
        <v>502</v>
      </c>
      <c r="N82" t="s">
        <v>503</v>
      </c>
      <c r="O82" t="s">
        <v>504</v>
      </c>
      <c r="P82" s="46" t="str" cm="1">
        <f t="array" aca="1" ref="P82" ca="1">IFERROR(_xlfn.XLOOKUP(tblPedidos[[#This Row],[id_dropi]],tblNotas[[#This Row],[id__dropi]],tblNotas[[#This Row],[Notas Manuales]], “”, 0),"")</f>
        <v/>
      </c>
      <c r="Q82" t="s">
        <v>50</v>
      </c>
      <c r="R82" t="s">
        <v>505</v>
      </c>
      <c r="S82">
        <v>21779.5</v>
      </c>
      <c r="T82">
        <v>-18120.5</v>
      </c>
      <c r="U82" cm="1">
        <f t="array" ref="U82">IFERROR(_xlfn.IFS(tblPedidos[[#This Row],[estado_operativo]]="ENTREGADO",tblPedidos[[#This Row],[ganancia_calc]],tblPedidos[[#This Row],[estado_operativo]]="DEVOLUCION",tblPedidos[[#This Row],[costo_devolucion_estimado]]),0)</f>
        <v>0</v>
      </c>
      <c r="V82">
        <v>0</v>
      </c>
      <c r="W82">
        <v>64900</v>
      </c>
      <c r="X82">
        <v>18120.5</v>
      </c>
      <c r="Y82">
        <v>25000</v>
      </c>
      <c r="Z82" s="11">
        <v>46043</v>
      </c>
      <c r="AA82">
        <v>1</v>
      </c>
      <c r="AB82" s="12">
        <v>0.83958333333333335</v>
      </c>
      <c r="AC82" t="s">
        <v>417</v>
      </c>
      <c r="AD82" t="s">
        <v>417</v>
      </c>
      <c r="AE82" t="s">
        <v>386</v>
      </c>
    </row>
    <row r="83" spans="1:31">
      <c r="A83" t="s">
        <v>33</v>
      </c>
      <c r="C83">
        <v>956</v>
      </c>
      <c r="D83" t="s">
        <v>506</v>
      </c>
      <c r="E83" s="11">
        <v>46042</v>
      </c>
      <c r="F83" t="s">
        <v>507</v>
      </c>
      <c r="G83" t="s">
        <v>45</v>
      </c>
      <c r="J83" t="s">
        <v>386</v>
      </c>
      <c r="K83" t="s">
        <v>508</v>
      </c>
      <c r="L83" t="s">
        <v>46</v>
      </c>
      <c r="M83" t="s">
        <v>509</v>
      </c>
      <c r="N83" t="s">
        <v>510</v>
      </c>
      <c r="O83" t="s">
        <v>511</v>
      </c>
      <c r="P83" s="46" t="str" cm="1">
        <f t="array" aca="1" ref="P83" ca="1">IFERROR(_xlfn.XLOOKUP(tblPedidos[[#This Row],[id_dropi]],tblNotas[[#This Row],[id__dropi]],tblNotas[[#This Row],[Notas Manuales]], “”, 0),"")</f>
        <v/>
      </c>
      <c r="Q83" t="s">
        <v>512</v>
      </c>
      <c r="R83" t="s">
        <v>513</v>
      </c>
      <c r="S83">
        <v>26504.5</v>
      </c>
      <c r="T83">
        <v>-12395.5</v>
      </c>
      <c r="U83" cm="1">
        <f t="array" ref="U83">IFERROR(_xlfn.IFS(tblPedidos[[#This Row],[estado_operativo]]="ENTREGADO",tblPedidos[[#This Row],[ganancia_calc]],tblPedidos[[#This Row],[estado_operativo]]="DEVOLUCION",tblPedidos[[#This Row],[costo_devolucion_estimado]]),0)</f>
        <v>0</v>
      </c>
      <c r="V83">
        <v>0</v>
      </c>
      <c r="W83">
        <v>69900</v>
      </c>
      <c r="X83">
        <v>12395.5</v>
      </c>
      <c r="Y83">
        <v>31000</v>
      </c>
      <c r="Z83" s="11">
        <v>46043</v>
      </c>
      <c r="AA83">
        <v>1</v>
      </c>
      <c r="AB83" s="12">
        <v>0.75486111111111109</v>
      </c>
      <c r="AC83" t="s">
        <v>417</v>
      </c>
      <c r="AD83" t="s">
        <v>417</v>
      </c>
      <c r="AE83" t="s">
        <v>386</v>
      </c>
    </row>
    <row r="84" spans="1:31">
      <c r="A84" t="s">
        <v>33</v>
      </c>
      <c r="C84">
        <v>960</v>
      </c>
      <c r="D84" t="s">
        <v>514</v>
      </c>
      <c r="E84" s="11">
        <v>46042</v>
      </c>
      <c r="F84" t="s">
        <v>515</v>
      </c>
      <c r="G84" t="s">
        <v>45</v>
      </c>
      <c r="J84" t="s">
        <v>386</v>
      </c>
      <c r="K84" t="s">
        <v>516</v>
      </c>
      <c r="L84" t="s">
        <v>46</v>
      </c>
      <c r="M84" t="s">
        <v>517</v>
      </c>
      <c r="N84" t="s">
        <v>518</v>
      </c>
      <c r="O84" t="s">
        <v>519</v>
      </c>
      <c r="P84" s="46" t="str" cm="1">
        <f t="array" aca="1" ref="P84" ca="1">IFERROR(_xlfn.XLOOKUP(tblPedidos[[#This Row],[id_dropi]],tblNotas[[#This Row],[id__dropi]],tblNotas[[#This Row],[Notas Manuales]], “”, 0),"")</f>
        <v/>
      </c>
      <c r="Q84" t="s">
        <v>50</v>
      </c>
      <c r="R84" t="s">
        <v>391</v>
      </c>
      <c r="S84">
        <v>31329.5</v>
      </c>
      <c r="T84">
        <v>-13570.5</v>
      </c>
      <c r="U84" cm="1">
        <f t="array" ref="U84">IFERROR(_xlfn.IFS(tblPedidos[[#This Row],[estado_operativo]]="ENTREGADO",tblPedidos[[#This Row],[ganancia_calc]],tblPedidos[[#This Row],[estado_operativo]]="DEVOLUCION",tblPedidos[[#This Row],[costo_devolucion_estimado]]),0)</f>
        <v>0</v>
      </c>
      <c r="V84">
        <v>0</v>
      </c>
      <c r="W84">
        <v>64900</v>
      </c>
      <c r="X84">
        <v>13570.5</v>
      </c>
      <c r="Y84">
        <v>20000</v>
      </c>
      <c r="Z84" s="11">
        <v>46043</v>
      </c>
      <c r="AA84">
        <v>1</v>
      </c>
      <c r="AB84" s="12">
        <v>0.34305555555555556</v>
      </c>
      <c r="AC84" t="s">
        <v>392</v>
      </c>
      <c r="AD84" t="s">
        <v>392</v>
      </c>
      <c r="AE84" t="s">
        <v>386</v>
      </c>
    </row>
    <row r="85" spans="1:31">
      <c r="A85" t="s">
        <v>33</v>
      </c>
      <c r="C85">
        <v>961</v>
      </c>
      <c r="D85" t="s">
        <v>520</v>
      </c>
      <c r="E85" s="11">
        <v>46042</v>
      </c>
      <c r="F85" t="s">
        <v>521</v>
      </c>
      <c r="G85" t="s">
        <v>36</v>
      </c>
      <c r="J85" t="s">
        <v>522</v>
      </c>
      <c r="K85" t="s">
        <v>523</v>
      </c>
      <c r="L85" t="s">
        <v>81</v>
      </c>
      <c r="M85" t="s">
        <v>524</v>
      </c>
      <c r="N85" t="s">
        <v>525</v>
      </c>
      <c r="O85" t="s">
        <v>526</v>
      </c>
      <c r="P85" s="46" t="str" cm="1">
        <f t="array" aca="1" ref="P85" ca="1">IFERROR(_xlfn.XLOOKUP(tblPedidos[[#This Row],[id_dropi]],tblNotas[[#This Row],[id__dropi]],tblNotas[[#This Row],[Notas Manuales]], “”, 0),"")</f>
        <v/>
      </c>
      <c r="R85" t="s">
        <v>483</v>
      </c>
      <c r="S85">
        <v>30786.5</v>
      </c>
      <c r="T85">
        <v>-12530.800000000001</v>
      </c>
      <c r="U85" cm="1">
        <f t="array" ref="U85">IFERROR(_xlfn.IFS(tblPedidos[[#This Row],[estado_operativo]]="ENTREGADO",tblPedidos[[#This Row],[ganancia_calc]],tblPedidos[[#This Row],[estado_operativo]]="DEVOLUCION",tblPedidos[[#This Row],[costo_devolucion_estimado]]),0)</f>
        <v>0</v>
      </c>
      <c r="V85">
        <v>0</v>
      </c>
      <c r="W85">
        <v>69900</v>
      </c>
      <c r="X85">
        <v>15663.5</v>
      </c>
      <c r="Y85">
        <v>23450</v>
      </c>
      <c r="Z85" s="11">
        <v>46043</v>
      </c>
      <c r="AA85">
        <v>1</v>
      </c>
      <c r="AB85" s="12">
        <v>0.84930555555555554</v>
      </c>
      <c r="AC85" t="s">
        <v>399</v>
      </c>
      <c r="AD85" t="s">
        <v>527</v>
      </c>
      <c r="AE85" t="s">
        <v>522</v>
      </c>
    </row>
    <row r="86" spans="1:31">
      <c r="A86" t="s">
        <v>33</v>
      </c>
      <c r="C86">
        <v>962</v>
      </c>
      <c r="D86" t="s">
        <v>528</v>
      </c>
      <c r="E86" s="11">
        <v>46042</v>
      </c>
      <c r="F86" t="s">
        <v>529</v>
      </c>
      <c r="G86" t="s">
        <v>45</v>
      </c>
      <c r="J86" t="s">
        <v>386</v>
      </c>
      <c r="K86" t="s">
        <v>530</v>
      </c>
      <c r="L86" t="s">
        <v>54</v>
      </c>
      <c r="M86" t="s">
        <v>531</v>
      </c>
      <c r="N86" t="s">
        <v>532</v>
      </c>
      <c r="O86" t="s">
        <v>533</v>
      </c>
      <c r="P86" s="46" t="str" cm="1">
        <f t="array" aca="1" ref="P86" ca="1">IFERROR(_xlfn.XLOOKUP(tblPedidos[[#This Row],[id_dropi]],tblNotas[[#This Row],[id__dropi]],tblNotas[[#This Row],[Notas Manuales]], “”, 0),"")</f>
        <v/>
      </c>
      <c r="R86" t="s">
        <v>534</v>
      </c>
      <c r="S86">
        <v>26779.5</v>
      </c>
      <c r="T86">
        <v>-13120.5</v>
      </c>
      <c r="U86" cm="1">
        <f t="array" ref="U86">IFERROR(_xlfn.IFS(tblPedidos[[#This Row],[estado_operativo]]="ENTREGADO",tblPedidos[[#This Row],[ganancia_calc]],tblPedidos[[#This Row],[estado_operativo]]="DEVOLUCION",tblPedidos[[#This Row],[costo_devolucion_estimado]]),0)</f>
        <v>0</v>
      </c>
      <c r="V86">
        <v>0</v>
      </c>
      <c r="W86">
        <v>54900</v>
      </c>
      <c r="X86">
        <v>13120.5</v>
      </c>
      <c r="Y86">
        <v>15000</v>
      </c>
      <c r="Z86" s="11">
        <v>46043</v>
      </c>
      <c r="AA86">
        <v>1</v>
      </c>
      <c r="AB86" s="12">
        <v>0.83958333333333335</v>
      </c>
      <c r="AC86" t="s">
        <v>417</v>
      </c>
      <c r="AD86" t="s">
        <v>417</v>
      </c>
      <c r="AE86" t="s">
        <v>386</v>
      </c>
    </row>
    <row r="87" spans="1:31">
      <c r="A87" t="s">
        <v>33</v>
      </c>
      <c r="C87">
        <v>957</v>
      </c>
      <c r="D87" t="s">
        <v>535</v>
      </c>
      <c r="E87" s="11">
        <v>46042</v>
      </c>
      <c r="F87" t="s">
        <v>536</v>
      </c>
      <c r="G87" t="s">
        <v>45</v>
      </c>
      <c r="J87" t="s">
        <v>386</v>
      </c>
      <c r="K87" t="s">
        <v>537</v>
      </c>
      <c r="L87" t="s">
        <v>54</v>
      </c>
      <c r="M87" t="s">
        <v>538</v>
      </c>
      <c r="N87" t="s">
        <v>539</v>
      </c>
      <c r="O87" t="s">
        <v>540</v>
      </c>
      <c r="P87" s="46" t="str" cm="1">
        <f t="array" aca="1" ref="P87" ca="1">IFERROR(_xlfn.XLOOKUP(tblPedidos[[#This Row],[id_dropi]],tblNotas[[#This Row],[id__dropi]],tblNotas[[#This Row],[Notas Manuales]], “”, 0),"")</f>
        <v/>
      </c>
      <c r="Q87" t="s">
        <v>541</v>
      </c>
      <c r="R87" t="s">
        <v>423</v>
      </c>
      <c r="S87">
        <v>16801</v>
      </c>
      <c r="T87">
        <v>-18699</v>
      </c>
      <c r="U87" cm="1">
        <f t="array" ref="U87">IFERROR(_xlfn.IFS(tblPedidos[[#This Row],[estado_operativo]]="ENTREGADO",tblPedidos[[#This Row],[ganancia_calc]],tblPedidos[[#This Row],[estado_operativo]]="DEVOLUCION",tblPedidos[[#This Row],[costo_devolucion_estimado]]),0)</f>
        <v>0</v>
      </c>
      <c r="V87">
        <v>0</v>
      </c>
      <c r="W87">
        <v>49900</v>
      </c>
      <c r="X87">
        <v>18699</v>
      </c>
      <c r="Y87">
        <v>14400</v>
      </c>
      <c r="Z87" s="11">
        <v>46043</v>
      </c>
      <c r="AA87">
        <v>1</v>
      </c>
      <c r="AB87" s="12">
        <v>0.70347222222222228</v>
      </c>
      <c r="AC87" t="s">
        <v>392</v>
      </c>
      <c r="AD87" t="s">
        <v>392</v>
      </c>
      <c r="AE87" t="s">
        <v>386</v>
      </c>
    </row>
    <row r="88" spans="1:31">
      <c r="A88" t="s">
        <v>33</v>
      </c>
      <c r="C88">
        <v>958</v>
      </c>
      <c r="D88" t="s">
        <v>542</v>
      </c>
      <c r="E88" s="11">
        <v>46042</v>
      </c>
      <c r="F88" t="s">
        <v>543</v>
      </c>
      <c r="G88" t="s">
        <v>45</v>
      </c>
      <c r="J88" t="s">
        <v>386</v>
      </c>
      <c r="K88" t="s">
        <v>544</v>
      </c>
      <c r="L88" t="s">
        <v>545</v>
      </c>
      <c r="M88" t="s">
        <v>546</v>
      </c>
      <c r="N88" t="s">
        <v>547</v>
      </c>
      <c r="O88" t="s">
        <v>548</v>
      </c>
      <c r="P88" s="46" t="str" cm="1">
        <f t="array" aca="1" ref="P88" ca="1">IFERROR(_xlfn.XLOOKUP(tblPedidos[[#This Row],[id_dropi]],tblNotas[[#This Row],[id__dropi]],tblNotas[[#This Row],[Notas Manuales]], “”, 0),"")</f>
        <v/>
      </c>
      <c r="R88" t="s">
        <v>491</v>
      </c>
      <c r="S88">
        <v>22054.5</v>
      </c>
      <c r="T88">
        <v>-17895.5</v>
      </c>
      <c r="U88" cm="1">
        <f t="array" ref="U88">IFERROR(_xlfn.IFS(tblPedidos[[#This Row],[estado_operativo]]="ENTREGADO",tblPedidos[[#This Row],[ganancia_calc]],tblPedidos[[#This Row],[estado_operativo]]="DEVOLUCION",tblPedidos[[#This Row],[costo_devolucion_estimado]]),0)</f>
        <v>0</v>
      </c>
      <c r="V88">
        <v>0</v>
      </c>
      <c r="W88">
        <v>59900</v>
      </c>
      <c r="X88">
        <v>17895.5</v>
      </c>
      <c r="Y88">
        <v>19950</v>
      </c>
      <c r="Z88" s="11">
        <v>46043</v>
      </c>
      <c r="AA88">
        <v>1</v>
      </c>
      <c r="AB88" s="12">
        <v>0.60277777777777775</v>
      </c>
      <c r="AC88" t="s">
        <v>484</v>
      </c>
      <c r="AD88" t="s">
        <v>484</v>
      </c>
      <c r="AE88" t="s">
        <v>386</v>
      </c>
    </row>
    <row r="89" spans="1:31">
      <c r="A89" t="s">
        <v>33</v>
      </c>
      <c r="C89">
        <v>959</v>
      </c>
      <c r="D89" t="s">
        <v>549</v>
      </c>
      <c r="E89" s="11">
        <v>46042</v>
      </c>
      <c r="F89" t="s">
        <v>550</v>
      </c>
      <c r="G89" t="s">
        <v>45</v>
      </c>
      <c r="J89" t="s">
        <v>386</v>
      </c>
      <c r="K89" t="s">
        <v>551</v>
      </c>
      <c r="L89" t="s">
        <v>46</v>
      </c>
      <c r="M89" t="s">
        <v>100</v>
      </c>
      <c r="N89" t="s">
        <v>552</v>
      </c>
      <c r="O89" t="s">
        <v>553</v>
      </c>
      <c r="P89" s="46" t="str" cm="1">
        <f t="array" aca="1" ref="P89" ca="1">IFERROR(_xlfn.XLOOKUP(tblPedidos[[#This Row],[id_dropi]],tblNotas[[#This Row],[id__dropi]],tblNotas[[#This Row],[Notas Manuales]], “”, 0),"")</f>
        <v/>
      </c>
      <c r="R89" t="s">
        <v>554</v>
      </c>
      <c r="S89">
        <v>21554.5</v>
      </c>
      <c r="T89">
        <v>-18345.5</v>
      </c>
      <c r="U89" cm="1">
        <f t="array" ref="U89">IFERROR(_xlfn.IFS(tblPedidos[[#This Row],[estado_operativo]]="ENTREGADO",tblPedidos[[#This Row],[ganancia_calc]],tblPedidos[[#This Row],[estado_operativo]]="DEVOLUCION",tblPedidos[[#This Row],[costo_devolucion_estimado]]),0)</f>
        <v>0</v>
      </c>
      <c r="V89">
        <v>0</v>
      </c>
      <c r="W89">
        <v>69900</v>
      </c>
      <c r="X89">
        <v>18345.5</v>
      </c>
      <c r="Y89">
        <v>30000</v>
      </c>
      <c r="Z89" s="11">
        <v>46043</v>
      </c>
      <c r="AA89">
        <v>1</v>
      </c>
      <c r="AB89" s="12">
        <v>0.83958333333333335</v>
      </c>
      <c r="AC89" t="s">
        <v>417</v>
      </c>
      <c r="AD89" t="s">
        <v>417</v>
      </c>
      <c r="AE89" t="s">
        <v>386</v>
      </c>
    </row>
    <row r="90" spans="1:31">
      <c r="A90" t="s">
        <v>33</v>
      </c>
      <c r="C90">
        <v>976</v>
      </c>
      <c r="D90" t="s">
        <v>555</v>
      </c>
      <c r="E90" s="11">
        <v>46042</v>
      </c>
      <c r="F90" t="s">
        <v>556</v>
      </c>
      <c r="G90" t="s">
        <v>45</v>
      </c>
      <c r="J90" t="s">
        <v>386</v>
      </c>
      <c r="K90" t="s">
        <v>557</v>
      </c>
      <c r="L90" t="s">
        <v>46</v>
      </c>
      <c r="M90" t="s">
        <v>558</v>
      </c>
      <c r="N90" t="s">
        <v>559</v>
      </c>
      <c r="O90" t="s">
        <v>560</v>
      </c>
      <c r="P90" s="46" t="str" cm="1">
        <f t="array" aca="1" ref="P90" ca="1">IFERROR(_xlfn.XLOOKUP(tblPedidos[[#This Row],[id_dropi]],tblNotas[[#This Row],[id__dropi]],tblNotas[[#This Row],[Notas Manuales]], “”, 0),"")</f>
        <v/>
      </c>
      <c r="R90" t="s">
        <v>483</v>
      </c>
      <c r="S90">
        <v>28104.5</v>
      </c>
      <c r="T90">
        <v>-18345.5</v>
      </c>
      <c r="U90" cm="1">
        <f t="array" ref="U90">IFERROR(_xlfn.IFS(tblPedidos[[#This Row],[estado_operativo]]="ENTREGADO",tblPedidos[[#This Row],[ganancia_calc]],tblPedidos[[#This Row],[estado_operativo]]="DEVOLUCION",tblPedidos[[#This Row],[costo_devolucion_estimado]]),0)</f>
        <v>0</v>
      </c>
      <c r="V90">
        <v>0</v>
      </c>
      <c r="W90">
        <v>69900</v>
      </c>
      <c r="X90">
        <v>18345.5</v>
      </c>
      <c r="Y90">
        <v>23450</v>
      </c>
      <c r="Z90" s="11">
        <v>46043</v>
      </c>
      <c r="AA90">
        <v>1</v>
      </c>
      <c r="AB90" s="12">
        <v>0.60277777777777775</v>
      </c>
      <c r="AC90" t="s">
        <v>484</v>
      </c>
      <c r="AD90" t="s">
        <v>484</v>
      </c>
      <c r="AE90" t="s">
        <v>386</v>
      </c>
    </row>
    <row r="91" spans="1:31">
      <c r="A91" t="s">
        <v>33</v>
      </c>
      <c r="C91">
        <v>993</v>
      </c>
      <c r="D91" t="s">
        <v>561</v>
      </c>
      <c r="E91" s="11">
        <v>46042</v>
      </c>
      <c r="F91" t="s">
        <v>562</v>
      </c>
      <c r="G91" t="s">
        <v>36</v>
      </c>
      <c r="J91" t="s">
        <v>386</v>
      </c>
      <c r="K91" t="s">
        <v>563</v>
      </c>
      <c r="L91" t="s">
        <v>81</v>
      </c>
      <c r="M91" t="s">
        <v>564</v>
      </c>
      <c r="N91" t="s">
        <v>565</v>
      </c>
      <c r="O91" t="s">
        <v>566</v>
      </c>
      <c r="P91" s="46" t="str" cm="1">
        <f t="array" aca="1" ref="P91" ca="1">IFERROR(_xlfn.XLOOKUP(tblPedidos[[#This Row],[id_dropi]],tblNotas[[#This Row],[id__dropi]],tblNotas[[#This Row],[Notas Manuales]], “”, 0),"")</f>
        <v/>
      </c>
      <c r="R91" t="s">
        <v>534</v>
      </c>
      <c r="S91">
        <v>28367.5</v>
      </c>
      <c r="T91">
        <v>-9226</v>
      </c>
      <c r="U91" cm="1">
        <f t="array" ref="U91">IFERROR(_xlfn.IFS(tblPedidos[[#This Row],[estado_operativo]]="ENTREGADO",tblPedidos[[#This Row],[ganancia_calc]],tblPedidos[[#This Row],[estado_operativo]]="DEVOLUCION",tblPedidos[[#This Row],[costo_devolucion_estimado]]),0)</f>
        <v>0</v>
      </c>
      <c r="V91">
        <v>0</v>
      </c>
      <c r="W91">
        <v>54900</v>
      </c>
      <c r="X91">
        <v>11532.5</v>
      </c>
      <c r="Y91">
        <v>15000</v>
      </c>
      <c r="Z91" s="11">
        <v>46043</v>
      </c>
      <c r="AA91">
        <v>1</v>
      </c>
      <c r="AB91" s="12">
        <v>0.91180555555555554</v>
      </c>
      <c r="AC91" t="s">
        <v>399</v>
      </c>
      <c r="AD91" t="s">
        <v>399</v>
      </c>
      <c r="AE91" t="s">
        <v>386</v>
      </c>
    </row>
    <row r="92" spans="1:31">
      <c r="A92" t="s">
        <v>33</v>
      </c>
      <c r="C92">
        <v>994</v>
      </c>
      <c r="D92" t="s">
        <v>567</v>
      </c>
      <c r="E92" s="11">
        <v>46042</v>
      </c>
      <c r="F92" t="s">
        <v>568</v>
      </c>
      <c r="G92" t="s">
        <v>45</v>
      </c>
      <c r="J92" t="s">
        <v>386</v>
      </c>
      <c r="K92" t="s">
        <v>569</v>
      </c>
      <c r="L92" t="s">
        <v>212</v>
      </c>
      <c r="M92" t="s">
        <v>570</v>
      </c>
      <c r="N92" t="s">
        <v>571</v>
      </c>
      <c r="O92" t="s">
        <v>572</v>
      </c>
      <c r="P92" s="46" t="str" cm="1">
        <f t="array" aca="1" ref="P92" ca="1">IFERROR(_xlfn.XLOOKUP(tblPedidos[[#This Row],[id_dropi]],tblNotas[[#This Row],[id__dropi]],tblNotas[[#This Row],[Notas Manuales]], “”, 0),"")</f>
        <v/>
      </c>
      <c r="Q92" t="s">
        <v>50</v>
      </c>
      <c r="R92" t="s">
        <v>491</v>
      </c>
      <c r="S92">
        <v>22054.5</v>
      </c>
      <c r="T92">
        <v>-17895.5</v>
      </c>
      <c r="U92" cm="1">
        <f t="array" ref="U92">IFERROR(_xlfn.IFS(tblPedidos[[#This Row],[estado_operativo]]="ENTREGADO",tblPedidos[[#This Row],[ganancia_calc]],tblPedidos[[#This Row],[estado_operativo]]="DEVOLUCION",tblPedidos[[#This Row],[costo_devolucion_estimado]]),0)</f>
        <v>0</v>
      </c>
      <c r="V92">
        <v>0</v>
      </c>
      <c r="W92">
        <v>59900</v>
      </c>
      <c r="X92">
        <v>17895.5</v>
      </c>
      <c r="Y92">
        <v>19950</v>
      </c>
      <c r="Z92" s="11">
        <v>46043</v>
      </c>
      <c r="AA92">
        <v>1</v>
      </c>
      <c r="AB92" s="12">
        <v>0.60277777777777775</v>
      </c>
      <c r="AC92" t="s">
        <v>484</v>
      </c>
      <c r="AD92" t="s">
        <v>484</v>
      </c>
      <c r="AE92" t="s">
        <v>386</v>
      </c>
    </row>
    <row r="93" spans="1:31">
      <c r="A93" t="s">
        <v>33</v>
      </c>
      <c r="C93">
        <v>995</v>
      </c>
      <c r="D93" t="s">
        <v>573</v>
      </c>
      <c r="E93" s="11">
        <v>46042</v>
      </c>
      <c r="F93" t="s">
        <v>574</v>
      </c>
      <c r="G93" t="s">
        <v>45</v>
      </c>
      <c r="J93" t="s">
        <v>386</v>
      </c>
      <c r="K93" t="s">
        <v>575</v>
      </c>
      <c r="L93" t="s">
        <v>46</v>
      </c>
      <c r="M93" t="s">
        <v>576</v>
      </c>
      <c r="N93" t="s">
        <v>577</v>
      </c>
      <c r="O93" t="s">
        <v>578</v>
      </c>
      <c r="P93" s="46" t="str" cm="1">
        <f t="array" aca="1" ref="P93" ca="1">IFERROR(_xlfn.XLOOKUP(tblPedidos[[#This Row],[id_dropi]],tblNotas[[#This Row],[id__dropi]],tblNotas[[#This Row],[Notas Manuales]], “”, 0),"")</f>
        <v/>
      </c>
      <c r="Q93" t="s">
        <v>579</v>
      </c>
      <c r="R93" t="s">
        <v>498</v>
      </c>
      <c r="S93">
        <v>28704.5</v>
      </c>
      <c r="T93">
        <v>-12395.5</v>
      </c>
      <c r="U93" cm="1">
        <f t="array" ref="U93">IFERROR(_xlfn.IFS(tblPedidos[[#This Row],[estado_operativo]]="ENTREGADO",tblPedidos[[#This Row],[ganancia_calc]],tblPedidos[[#This Row],[estado_operativo]]="DEVOLUCION",tblPedidos[[#This Row],[costo_devolucion_estimado]]),0)</f>
        <v>0</v>
      </c>
      <c r="V93">
        <v>0</v>
      </c>
      <c r="W93">
        <v>69900</v>
      </c>
      <c r="X93">
        <v>12395.5</v>
      </c>
      <c r="Y93">
        <v>28800</v>
      </c>
      <c r="Z93" s="11">
        <v>46043</v>
      </c>
      <c r="AA93">
        <v>1</v>
      </c>
      <c r="AB93" s="12">
        <v>0.70347222222222228</v>
      </c>
      <c r="AC93" t="s">
        <v>392</v>
      </c>
      <c r="AD93" t="s">
        <v>392</v>
      </c>
      <c r="AE93" t="s">
        <v>386</v>
      </c>
    </row>
    <row r="94" spans="1:31">
      <c r="A94" t="s">
        <v>33</v>
      </c>
      <c r="C94">
        <v>990</v>
      </c>
      <c r="D94" t="s">
        <v>580</v>
      </c>
      <c r="E94" s="11">
        <v>46042</v>
      </c>
      <c r="F94" t="s">
        <v>581</v>
      </c>
      <c r="G94" t="s">
        <v>45</v>
      </c>
      <c r="J94" t="s">
        <v>386</v>
      </c>
      <c r="K94" t="s">
        <v>582</v>
      </c>
      <c r="L94" t="s">
        <v>61</v>
      </c>
      <c r="M94" t="s">
        <v>583</v>
      </c>
      <c r="N94" t="s">
        <v>584</v>
      </c>
      <c r="O94" t="s">
        <v>585</v>
      </c>
      <c r="P94" s="46" t="str" cm="1">
        <f t="array" aca="1" ref="P94" ca="1">IFERROR(_xlfn.XLOOKUP(tblPedidos[[#This Row],[id_dropi]],tblNotas[[#This Row],[id__dropi]],tblNotas[[#This Row],[Notas Manuales]], “”, 0),"")</f>
        <v/>
      </c>
      <c r="Q94" t="s">
        <v>586</v>
      </c>
      <c r="R94" t="s">
        <v>423</v>
      </c>
      <c r="S94">
        <v>22829.5</v>
      </c>
      <c r="T94">
        <v>-17670.5</v>
      </c>
      <c r="U94" cm="1">
        <f t="array" ref="U94">IFERROR(_xlfn.IFS(tblPedidos[[#This Row],[estado_operativo]]="ENTREGADO",tblPedidos[[#This Row],[ganancia_calc]],tblPedidos[[#This Row],[estado_operativo]]="DEVOLUCION",tblPedidos[[#This Row],[costo_devolucion_estimado]]),0)</f>
        <v>0</v>
      </c>
      <c r="V94">
        <v>0</v>
      </c>
      <c r="W94">
        <v>54900</v>
      </c>
      <c r="X94">
        <v>17670.5</v>
      </c>
      <c r="Y94">
        <v>14400</v>
      </c>
      <c r="Z94" s="11">
        <v>46043</v>
      </c>
      <c r="AA94">
        <v>1</v>
      </c>
      <c r="AB94" s="12">
        <v>0.70347222222222228</v>
      </c>
      <c r="AC94" t="s">
        <v>392</v>
      </c>
      <c r="AD94" t="s">
        <v>392</v>
      </c>
      <c r="AE94" t="s">
        <v>386</v>
      </c>
    </row>
    <row r="95" spans="1:31">
      <c r="A95" t="s">
        <v>33</v>
      </c>
      <c r="C95">
        <v>991</v>
      </c>
      <c r="D95" t="s">
        <v>587</v>
      </c>
      <c r="E95" s="11">
        <v>46042</v>
      </c>
      <c r="F95" t="s">
        <v>588</v>
      </c>
      <c r="G95" t="s">
        <v>45</v>
      </c>
      <c r="J95" t="s">
        <v>386</v>
      </c>
      <c r="K95" t="s">
        <v>589</v>
      </c>
      <c r="L95" t="s">
        <v>590</v>
      </c>
      <c r="M95" t="s">
        <v>591</v>
      </c>
      <c r="N95" t="s">
        <v>592</v>
      </c>
      <c r="O95" t="s">
        <v>593</v>
      </c>
      <c r="P95" s="46" t="str" cm="1">
        <f t="array" aca="1" ref="P95" ca="1">IFERROR(_xlfn.XLOOKUP(tblPedidos[[#This Row],[id_dropi]],tblNotas[[#This Row],[id__dropi]],tblNotas[[#This Row],[Notas Manuales]], “”, 0),"")</f>
        <v/>
      </c>
      <c r="Q95" t="s">
        <v>594</v>
      </c>
      <c r="R95" t="s">
        <v>423</v>
      </c>
      <c r="S95">
        <v>22829.5</v>
      </c>
      <c r="T95">
        <v>-17670.5</v>
      </c>
      <c r="U95" cm="1">
        <f t="array" ref="U95">IFERROR(_xlfn.IFS(tblPedidos[[#This Row],[estado_operativo]]="ENTREGADO",tblPedidos[[#This Row],[ganancia_calc]],tblPedidos[[#This Row],[estado_operativo]]="DEVOLUCION",tblPedidos[[#This Row],[costo_devolucion_estimado]]),0)</f>
        <v>0</v>
      </c>
      <c r="V95">
        <v>0</v>
      </c>
      <c r="W95">
        <v>54900</v>
      </c>
      <c r="X95">
        <v>17670.5</v>
      </c>
      <c r="Y95">
        <v>14400</v>
      </c>
      <c r="Z95" s="11">
        <v>46043</v>
      </c>
      <c r="AA95">
        <v>1</v>
      </c>
      <c r="AB95" s="12">
        <v>0.70347222222222228</v>
      </c>
      <c r="AC95" t="s">
        <v>392</v>
      </c>
      <c r="AD95" t="s">
        <v>392</v>
      </c>
      <c r="AE95" t="s">
        <v>386</v>
      </c>
    </row>
    <row r="96" spans="1:31">
      <c r="A96" t="s">
        <v>33</v>
      </c>
      <c r="C96">
        <v>992</v>
      </c>
      <c r="D96" t="s">
        <v>595</v>
      </c>
      <c r="E96" s="11">
        <v>46042</v>
      </c>
      <c r="F96" t="s">
        <v>596</v>
      </c>
      <c r="G96" t="s">
        <v>36</v>
      </c>
      <c r="J96" t="s">
        <v>386</v>
      </c>
      <c r="K96" t="s">
        <v>597</v>
      </c>
      <c r="L96" t="s">
        <v>81</v>
      </c>
      <c r="M96" t="s">
        <v>118</v>
      </c>
      <c r="N96" t="s">
        <v>598</v>
      </c>
      <c r="O96" t="s">
        <v>599</v>
      </c>
      <c r="P96" s="46" t="str" cm="1">
        <f t="array" aca="1" ref="P96" ca="1">IFERROR(_xlfn.XLOOKUP(tblPedidos[[#This Row],[id_dropi]],tblNotas[[#This Row],[id__dropi]],tblNotas[[#This Row],[Notas Manuales]], “”, 0),"")</f>
        <v/>
      </c>
      <c r="Q96" t="s">
        <v>598</v>
      </c>
      <c r="R96" t="s">
        <v>423</v>
      </c>
      <c r="S96">
        <v>20736.5</v>
      </c>
      <c r="T96">
        <v>-11810.800000000001</v>
      </c>
      <c r="U96" cm="1">
        <f t="array" ref="U96">IFERROR(_xlfn.IFS(tblPedidos[[#This Row],[estado_operativo]]="ENTREGADO",tblPedidos[[#This Row],[ganancia_calc]],tblPedidos[[#This Row],[estado_operativo]]="DEVOLUCION",tblPedidos[[#This Row],[costo_devolucion_estimado]]),0)</f>
        <v>0</v>
      </c>
      <c r="V96">
        <v>0</v>
      </c>
      <c r="W96">
        <v>49900</v>
      </c>
      <c r="X96">
        <v>14763.5</v>
      </c>
      <c r="Y96">
        <v>14400</v>
      </c>
      <c r="Z96" s="11">
        <v>46043</v>
      </c>
      <c r="AA96">
        <v>1</v>
      </c>
      <c r="AB96" s="12">
        <v>0.69722222222222219</v>
      </c>
      <c r="AC96" t="s">
        <v>392</v>
      </c>
      <c r="AD96" t="s">
        <v>392</v>
      </c>
      <c r="AE96" t="s">
        <v>386</v>
      </c>
    </row>
    <row r="97" spans="1:31">
      <c r="A97" t="s">
        <v>33</v>
      </c>
      <c r="C97">
        <v>996</v>
      </c>
      <c r="D97" t="s">
        <v>600</v>
      </c>
      <c r="E97" s="11">
        <v>46042</v>
      </c>
      <c r="F97" t="s">
        <v>601</v>
      </c>
      <c r="G97" t="s">
        <v>45</v>
      </c>
      <c r="J97" t="s">
        <v>386</v>
      </c>
      <c r="K97" t="s">
        <v>602</v>
      </c>
      <c r="L97" t="s">
        <v>46</v>
      </c>
      <c r="M97" t="s">
        <v>603</v>
      </c>
      <c r="N97" t="s">
        <v>604</v>
      </c>
      <c r="O97" t="s">
        <v>605</v>
      </c>
      <c r="P97" s="46" t="str" cm="1">
        <f t="array" aca="1" ref="P97" ca="1">IFERROR(_xlfn.XLOOKUP(tblPedidos[[#This Row],[id_dropi]],tblNotas[[#This Row],[id__dropi]],tblNotas[[#This Row],[Notas Manuales]], “”, 0),"")</f>
        <v/>
      </c>
      <c r="Q97" t="s">
        <v>606</v>
      </c>
      <c r="R97" t="s">
        <v>423</v>
      </c>
      <c r="S97">
        <v>27379.5</v>
      </c>
      <c r="T97">
        <v>-13120.5</v>
      </c>
      <c r="U97" cm="1">
        <f t="array" ref="U97">IFERROR(_xlfn.IFS(tblPedidos[[#This Row],[estado_operativo]]="ENTREGADO",tblPedidos[[#This Row],[ganancia_calc]],tblPedidos[[#This Row],[estado_operativo]]="DEVOLUCION",tblPedidos[[#This Row],[costo_devolucion_estimado]]),0)</f>
        <v>0</v>
      </c>
      <c r="V97">
        <v>0</v>
      </c>
      <c r="W97">
        <v>54900</v>
      </c>
      <c r="X97">
        <v>13120.5</v>
      </c>
      <c r="Y97">
        <v>14400</v>
      </c>
      <c r="Z97" s="11">
        <v>46043</v>
      </c>
      <c r="AA97">
        <v>1</v>
      </c>
      <c r="AB97" s="12">
        <v>0.70347222222222228</v>
      </c>
      <c r="AC97" t="s">
        <v>392</v>
      </c>
      <c r="AD97" t="s">
        <v>392</v>
      </c>
      <c r="AE97" t="s">
        <v>386</v>
      </c>
    </row>
    <row r="98" spans="1:31">
      <c r="A98" t="s">
        <v>33</v>
      </c>
      <c r="C98">
        <v>1000</v>
      </c>
      <c r="D98" t="s">
        <v>607</v>
      </c>
      <c r="E98" s="11">
        <v>46042</v>
      </c>
      <c r="F98" t="s">
        <v>608</v>
      </c>
      <c r="G98" t="s">
        <v>45</v>
      </c>
      <c r="J98" t="s">
        <v>386</v>
      </c>
      <c r="K98" t="s">
        <v>609</v>
      </c>
      <c r="L98" t="s">
        <v>54</v>
      </c>
      <c r="M98" t="s">
        <v>610</v>
      </c>
      <c r="N98" t="s">
        <v>611</v>
      </c>
      <c r="O98" t="s">
        <v>612</v>
      </c>
      <c r="P98" s="46" t="str" cm="1">
        <f t="array" aca="1" ref="P98" ca="1">IFERROR(_xlfn.XLOOKUP(tblPedidos[[#This Row],[id_dropi]],tblNotas[[#This Row],[id__dropi]],tblNotas[[#This Row],[Notas Manuales]], “”, 0),"")</f>
        <v/>
      </c>
      <c r="Q98" t="s">
        <v>613</v>
      </c>
      <c r="R98" t="s">
        <v>498</v>
      </c>
      <c r="S98">
        <v>27529.5</v>
      </c>
      <c r="T98">
        <v>-18570.5</v>
      </c>
      <c r="U98" cm="1">
        <f t="array" ref="U98">IFERROR(_xlfn.IFS(tblPedidos[[#This Row],[estado_operativo]]="ENTREGADO",tblPedidos[[#This Row],[ganancia_calc]],tblPedidos[[#This Row],[estado_operativo]]="DEVOLUCION",tblPedidos[[#This Row],[costo_devolucion_estimado]]),0)</f>
        <v>0</v>
      </c>
      <c r="V98">
        <v>0</v>
      </c>
      <c r="W98">
        <v>74900</v>
      </c>
      <c r="X98">
        <v>18570.5</v>
      </c>
      <c r="Y98">
        <v>28800</v>
      </c>
      <c r="Z98" s="11">
        <v>46043</v>
      </c>
      <c r="AA98">
        <v>1</v>
      </c>
      <c r="AB98" s="12">
        <v>0.70347222222222228</v>
      </c>
      <c r="AC98" t="s">
        <v>392</v>
      </c>
      <c r="AD98" t="s">
        <v>392</v>
      </c>
      <c r="AE98" t="s">
        <v>386</v>
      </c>
    </row>
    <row r="99" spans="1:31">
      <c r="A99" t="s">
        <v>33</v>
      </c>
      <c r="C99">
        <v>1001</v>
      </c>
      <c r="D99" t="s">
        <v>614</v>
      </c>
      <c r="E99" s="11">
        <v>46042</v>
      </c>
      <c r="F99" t="s">
        <v>615</v>
      </c>
      <c r="G99" t="s">
        <v>36</v>
      </c>
      <c r="J99" t="s">
        <v>386</v>
      </c>
      <c r="K99" t="s">
        <v>616</v>
      </c>
      <c r="L99" t="s">
        <v>81</v>
      </c>
      <c r="M99" t="s">
        <v>118</v>
      </c>
      <c r="N99" t="s">
        <v>617</v>
      </c>
      <c r="O99" t="s">
        <v>618</v>
      </c>
      <c r="P99" s="46" t="str" cm="1">
        <f t="array" aca="1" ref="P99" ca="1">IFERROR(_xlfn.XLOOKUP(tblPedidos[[#This Row],[id_dropi]],tblNotas[[#This Row],[id__dropi]],tblNotas[[#This Row],[Notas Manuales]], “”, 0),"")</f>
        <v/>
      </c>
      <c r="Q99" t="s">
        <v>619</v>
      </c>
      <c r="R99" t="s">
        <v>423</v>
      </c>
      <c r="S99">
        <v>25511.5</v>
      </c>
      <c r="T99">
        <v>-11990.800000000001</v>
      </c>
      <c r="U99" cm="1">
        <f t="array" ref="U99">IFERROR(_xlfn.IFS(tblPedidos[[#This Row],[estado_operativo]]="ENTREGADO",tblPedidos[[#This Row],[ganancia_calc]],tblPedidos[[#This Row],[estado_operativo]]="DEVOLUCION",tblPedidos[[#This Row],[costo_devolucion_estimado]]),0)</f>
        <v>0</v>
      </c>
      <c r="V99">
        <v>0</v>
      </c>
      <c r="W99">
        <v>54900</v>
      </c>
      <c r="X99">
        <v>14988.5</v>
      </c>
      <c r="Y99">
        <v>14400</v>
      </c>
      <c r="Z99" s="11">
        <v>46043</v>
      </c>
      <c r="AA99">
        <v>1</v>
      </c>
      <c r="AB99" s="12">
        <v>0.69722222222222219</v>
      </c>
      <c r="AC99" t="s">
        <v>392</v>
      </c>
      <c r="AD99" t="s">
        <v>392</v>
      </c>
      <c r="AE99" t="s">
        <v>386</v>
      </c>
    </row>
    <row r="100" spans="1:31">
      <c r="A100" t="s">
        <v>33</v>
      </c>
      <c r="C100">
        <v>1002</v>
      </c>
      <c r="D100" t="s">
        <v>620</v>
      </c>
      <c r="E100" s="11">
        <v>46042</v>
      </c>
      <c r="F100" t="s">
        <v>621</v>
      </c>
      <c r="G100" t="s">
        <v>36</v>
      </c>
      <c r="J100" t="s">
        <v>386</v>
      </c>
      <c r="K100" t="s">
        <v>622</v>
      </c>
      <c r="L100" t="s">
        <v>54</v>
      </c>
      <c r="M100" t="s">
        <v>373</v>
      </c>
      <c r="N100" t="s">
        <v>623</v>
      </c>
      <c r="O100" t="s">
        <v>624</v>
      </c>
      <c r="P100" s="46" t="str" cm="1">
        <f t="array" aca="1" ref="P100" ca="1">IFERROR(_xlfn.XLOOKUP(tblPedidos[[#This Row],[id_dropi]],tblNotas[[#This Row],[id__dropi]],tblNotas[[#This Row],[Notas Manuales]], “”, 0),"")</f>
        <v/>
      </c>
      <c r="R100" t="s">
        <v>398</v>
      </c>
      <c r="S100">
        <v>23336.5</v>
      </c>
      <c r="T100">
        <v>-13250.800000000001</v>
      </c>
      <c r="U100" cm="1">
        <f t="array" ref="U100">IFERROR(_xlfn.IFS(tblPedidos[[#This Row],[estado_operativo]]="ENTREGADO",tblPedidos[[#This Row],[ganancia_calc]],tblPedidos[[#This Row],[estado_operativo]]="DEVOLUCION",tblPedidos[[#This Row],[costo_devolucion_estimado]]),0)</f>
        <v>0</v>
      </c>
      <c r="V100">
        <v>0</v>
      </c>
      <c r="W100">
        <v>89900</v>
      </c>
      <c r="X100">
        <v>16563.5</v>
      </c>
      <c r="Y100">
        <v>50000</v>
      </c>
      <c r="Z100" s="11">
        <v>46043</v>
      </c>
      <c r="AA100">
        <v>1</v>
      </c>
      <c r="AB100" s="12">
        <v>0.91180555555555554</v>
      </c>
      <c r="AC100" t="s">
        <v>399</v>
      </c>
      <c r="AD100" t="s">
        <v>399</v>
      </c>
      <c r="AE100" t="s">
        <v>386</v>
      </c>
    </row>
    <row r="101" spans="1:31">
      <c r="A101" t="s">
        <v>33</v>
      </c>
      <c r="C101">
        <v>997</v>
      </c>
      <c r="D101" t="s">
        <v>625</v>
      </c>
      <c r="E101" s="11">
        <v>46042</v>
      </c>
      <c r="F101" t="s">
        <v>626</v>
      </c>
      <c r="G101" t="s">
        <v>45</v>
      </c>
      <c r="J101" t="s">
        <v>386</v>
      </c>
      <c r="K101" t="s">
        <v>627</v>
      </c>
      <c r="L101" t="s">
        <v>427</v>
      </c>
      <c r="M101" t="s">
        <v>628</v>
      </c>
      <c r="N101" t="s">
        <v>629</v>
      </c>
      <c r="O101" t="s">
        <v>630</v>
      </c>
      <c r="P101" s="46" t="str" cm="1">
        <f t="array" aca="1" ref="P101" ca="1">IFERROR(_xlfn.XLOOKUP(tblPedidos[[#This Row],[id_dropi]],tblNotas[[#This Row],[id__dropi]],tblNotas[[#This Row],[Notas Manuales]], “”, 0),"")</f>
        <v/>
      </c>
      <c r="R101" t="s">
        <v>405</v>
      </c>
      <c r="S101">
        <v>17004.5</v>
      </c>
      <c r="T101">
        <v>-17895.5</v>
      </c>
      <c r="U101" cm="1">
        <f t="array" ref="U101">IFERROR(_xlfn.IFS(tblPedidos[[#This Row],[estado_operativo]]="ENTREGADO",tblPedidos[[#This Row],[ganancia_calc]],tblPedidos[[#This Row],[estado_operativo]]="DEVOLUCION",tblPedidos[[#This Row],[costo_devolucion_estimado]]),0)</f>
        <v>0</v>
      </c>
      <c r="V101">
        <v>0</v>
      </c>
      <c r="W101">
        <v>59900</v>
      </c>
      <c r="X101">
        <v>17895.5</v>
      </c>
      <c r="Y101">
        <v>25000</v>
      </c>
      <c r="Z101" s="11">
        <v>46043</v>
      </c>
      <c r="AA101">
        <v>1</v>
      </c>
      <c r="AB101" s="12">
        <v>0.83958333333333335</v>
      </c>
      <c r="AC101" t="s">
        <v>417</v>
      </c>
      <c r="AD101" t="s">
        <v>417</v>
      </c>
      <c r="AE101" t="s">
        <v>386</v>
      </c>
    </row>
    <row r="102" spans="1:31">
      <c r="A102" t="s">
        <v>33</v>
      </c>
      <c r="C102">
        <v>998</v>
      </c>
      <c r="D102" t="s">
        <v>631</v>
      </c>
      <c r="E102" s="11">
        <v>46042</v>
      </c>
      <c r="F102" t="s">
        <v>632</v>
      </c>
      <c r="G102" t="s">
        <v>45</v>
      </c>
      <c r="J102" t="s">
        <v>386</v>
      </c>
      <c r="K102" t="s">
        <v>633</v>
      </c>
      <c r="L102" t="s">
        <v>427</v>
      </c>
      <c r="M102" t="s">
        <v>634</v>
      </c>
      <c r="N102" t="s">
        <v>635</v>
      </c>
      <c r="O102" t="s">
        <v>636</v>
      </c>
      <c r="P102" s="46" t="str" cm="1">
        <f t="array" aca="1" ref="P102" ca="1">IFERROR(_xlfn.XLOOKUP(tblPedidos[[#This Row],[id_dropi]],tblNotas[[#This Row],[id__dropi]],tblNotas[[#This Row],[Notas Manuales]], “”, 0),"")</f>
        <v/>
      </c>
      <c r="R102" t="s">
        <v>398</v>
      </c>
      <c r="S102">
        <v>20654.5</v>
      </c>
      <c r="T102">
        <v>-19245.5</v>
      </c>
      <c r="U102" cm="1">
        <f t="array" ref="U102">IFERROR(_xlfn.IFS(tblPedidos[[#This Row],[estado_operativo]]="ENTREGADO",tblPedidos[[#This Row],[ganancia_calc]],tblPedidos[[#This Row],[estado_operativo]]="DEVOLUCION",tblPedidos[[#This Row],[costo_devolucion_estimado]]),0)</f>
        <v>0</v>
      </c>
      <c r="V102">
        <v>0</v>
      </c>
      <c r="W102">
        <v>89900</v>
      </c>
      <c r="X102">
        <v>19245.5</v>
      </c>
      <c r="Y102">
        <v>50000</v>
      </c>
      <c r="Z102" s="11">
        <v>46043</v>
      </c>
      <c r="AA102">
        <v>1</v>
      </c>
      <c r="AB102" s="12">
        <v>0.83958333333333335</v>
      </c>
      <c r="AC102" t="s">
        <v>417</v>
      </c>
      <c r="AD102" t="s">
        <v>417</v>
      </c>
      <c r="AE102" t="s">
        <v>386</v>
      </c>
    </row>
    <row r="103" spans="1:31">
      <c r="A103" t="s">
        <v>33</v>
      </c>
      <c r="C103">
        <v>999</v>
      </c>
      <c r="D103" t="s">
        <v>637</v>
      </c>
      <c r="E103" s="11">
        <v>46042</v>
      </c>
      <c r="F103" t="s">
        <v>638</v>
      </c>
      <c r="G103" t="s">
        <v>45</v>
      </c>
      <c r="J103" t="s">
        <v>386</v>
      </c>
      <c r="K103" t="s">
        <v>639</v>
      </c>
      <c r="L103" t="s">
        <v>46</v>
      </c>
      <c r="M103" t="s">
        <v>100</v>
      </c>
      <c r="N103" t="s">
        <v>640</v>
      </c>
      <c r="O103" t="s">
        <v>641</v>
      </c>
      <c r="P103" s="46" t="str" cm="1">
        <f t="array" aca="1" ref="P103" ca="1">IFERROR(_xlfn.XLOOKUP(tblPedidos[[#This Row],[id_dropi]],tblNotas[[#This Row],[id__dropi]],tblNotas[[#This Row],[Notas Manuales]], “”, 0),"")</f>
        <v/>
      </c>
      <c r="R103" t="s">
        <v>398</v>
      </c>
      <c r="S103">
        <v>20654.5</v>
      </c>
      <c r="T103">
        <v>-19245.5</v>
      </c>
      <c r="U103" cm="1">
        <f t="array" ref="U103">IFERROR(_xlfn.IFS(tblPedidos[[#This Row],[estado_operativo]]="ENTREGADO",tblPedidos[[#This Row],[ganancia_calc]],tblPedidos[[#This Row],[estado_operativo]]="DEVOLUCION",tblPedidos[[#This Row],[costo_devolucion_estimado]]),0)</f>
        <v>0</v>
      </c>
      <c r="V103">
        <v>0</v>
      </c>
      <c r="W103">
        <v>89900</v>
      </c>
      <c r="X103">
        <v>19245.5</v>
      </c>
      <c r="Y103">
        <v>50000</v>
      </c>
      <c r="Z103" s="11">
        <v>46043</v>
      </c>
      <c r="AA103">
        <v>1</v>
      </c>
      <c r="AB103" s="12">
        <v>0.83958333333333335</v>
      </c>
      <c r="AC103" t="s">
        <v>417</v>
      </c>
      <c r="AD103" t="s">
        <v>417</v>
      </c>
      <c r="AE103" t="s">
        <v>386</v>
      </c>
    </row>
    <row r="104" spans="1:31">
      <c r="A104" t="s">
        <v>33</v>
      </c>
      <c r="C104">
        <v>980</v>
      </c>
      <c r="D104" t="s">
        <v>642</v>
      </c>
      <c r="E104" s="11">
        <v>46042</v>
      </c>
      <c r="F104" t="s">
        <v>643</v>
      </c>
      <c r="G104" t="s">
        <v>45</v>
      </c>
      <c r="J104" t="s">
        <v>386</v>
      </c>
      <c r="K104" t="s">
        <v>644</v>
      </c>
      <c r="L104" t="s">
        <v>427</v>
      </c>
      <c r="M104" t="s">
        <v>634</v>
      </c>
      <c r="N104" t="s">
        <v>645</v>
      </c>
      <c r="O104" t="s">
        <v>646</v>
      </c>
      <c r="P104" s="46" t="str" cm="1">
        <f t="array" aca="1" ref="P104" ca="1">IFERROR(_xlfn.XLOOKUP(tblPedidos[[#This Row],[id_dropi]],tblNotas[[#This Row],[id__dropi]],tblNotas[[#This Row],[Notas Manuales]], “”, 0),"")</f>
        <v/>
      </c>
      <c r="R104" t="s">
        <v>398</v>
      </c>
      <c r="S104">
        <v>20654.5</v>
      </c>
      <c r="T104">
        <v>-19245.5</v>
      </c>
      <c r="U104" cm="1">
        <f t="array" ref="U104">IFERROR(_xlfn.IFS(tblPedidos[[#This Row],[estado_operativo]]="ENTREGADO",tblPedidos[[#This Row],[ganancia_calc]],tblPedidos[[#This Row],[estado_operativo]]="DEVOLUCION",tblPedidos[[#This Row],[costo_devolucion_estimado]]),0)</f>
        <v>0</v>
      </c>
      <c r="V104">
        <v>0</v>
      </c>
      <c r="W104">
        <v>89900</v>
      </c>
      <c r="X104">
        <v>19245.5</v>
      </c>
      <c r="Y104">
        <v>50000</v>
      </c>
      <c r="Z104" s="11">
        <v>46043</v>
      </c>
      <c r="AA104">
        <v>1</v>
      </c>
      <c r="AB104" s="12">
        <v>0.83958333333333335</v>
      </c>
      <c r="AC104" t="s">
        <v>417</v>
      </c>
      <c r="AD104" t="s">
        <v>417</v>
      </c>
      <c r="AE104" t="s">
        <v>386</v>
      </c>
    </row>
    <row r="105" spans="1:31">
      <c r="A105" t="s">
        <v>33</v>
      </c>
      <c r="C105">
        <v>981</v>
      </c>
      <c r="D105" t="s">
        <v>647</v>
      </c>
      <c r="E105" s="11">
        <v>46042</v>
      </c>
      <c r="F105" t="s">
        <v>648</v>
      </c>
      <c r="G105" t="s">
        <v>45</v>
      </c>
      <c r="J105" t="s">
        <v>386</v>
      </c>
      <c r="K105" t="s">
        <v>649</v>
      </c>
      <c r="L105" t="s">
        <v>54</v>
      </c>
      <c r="M105" t="s">
        <v>650</v>
      </c>
      <c r="N105" t="s">
        <v>651</v>
      </c>
      <c r="O105" t="s">
        <v>652</v>
      </c>
      <c r="P105" s="46" t="str" cm="1">
        <f t="array" aca="1" ref="P105" ca="1">IFERROR(_xlfn.XLOOKUP(tblPedidos[[#This Row],[id_dropi]],tblNotas[[#This Row],[id__dropi]],tblNotas[[#This Row],[Notas Manuales]], “”, 0),"")</f>
        <v/>
      </c>
      <c r="Q105" t="s">
        <v>148</v>
      </c>
      <c r="R105" t="s">
        <v>398</v>
      </c>
      <c r="S105">
        <v>15879.5</v>
      </c>
      <c r="T105">
        <v>-19020.5</v>
      </c>
      <c r="U105" cm="1">
        <f t="array" ref="U105">IFERROR(_xlfn.IFS(tblPedidos[[#This Row],[estado_operativo]]="ENTREGADO",tblPedidos[[#This Row],[ganancia_calc]],tblPedidos[[#This Row],[estado_operativo]]="DEVOLUCION",tblPedidos[[#This Row],[costo_devolucion_estimado]]),0)</f>
        <v>0</v>
      </c>
      <c r="V105">
        <v>0</v>
      </c>
      <c r="W105">
        <v>84900</v>
      </c>
      <c r="X105">
        <v>19020.5</v>
      </c>
      <c r="Y105">
        <v>50000</v>
      </c>
      <c r="Z105" s="11">
        <v>46043</v>
      </c>
      <c r="AA105">
        <v>1</v>
      </c>
      <c r="AB105" s="12">
        <v>0.83958333333333335</v>
      </c>
      <c r="AC105" t="s">
        <v>417</v>
      </c>
      <c r="AD105" t="s">
        <v>417</v>
      </c>
      <c r="AE105" t="s">
        <v>386</v>
      </c>
    </row>
    <row r="106" spans="1:31">
      <c r="A106" t="s">
        <v>33</v>
      </c>
      <c r="C106">
        <v>982</v>
      </c>
      <c r="D106" t="s">
        <v>653</v>
      </c>
      <c r="E106" s="11">
        <v>46042</v>
      </c>
      <c r="F106" t="s">
        <v>654</v>
      </c>
      <c r="G106" t="s">
        <v>36</v>
      </c>
      <c r="J106" t="s">
        <v>386</v>
      </c>
      <c r="K106" t="s">
        <v>655</v>
      </c>
      <c r="L106" t="s">
        <v>54</v>
      </c>
      <c r="M106" t="s">
        <v>373</v>
      </c>
      <c r="N106" t="s">
        <v>656</v>
      </c>
      <c r="O106" t="s">
        <v>657</v>
      </c>
      <c r="P106" s="46" t="str" cm="1">
        <f t="array" aca="1" ref="P106" ca="1">IFERROR(_xlfn.XLOOKUP(tblPedidos[[#This Row],[id_dropi]],tblNotas[[#This Row],[id__dropi]],tblNotas[[#This Row],[Notas Manuales]], “”, 0),"")</f>
        <v/>
      </c>
      <c r="R106" t="s">
        <v>658</v>
      </c>
      <c r="S106">
        <v>59191</v>
      </c>
      <c r="T106">
        <v>-16487.2</v>
      </c>
      <c r="U106" cm="1">
        <f t="array" ref="U106">IFERROR(_xlfn.IFS(tblPedidos[[#This Row],[estado_operativo]]="ENTREGADO",tblPedidos[[#This Row],[ganancia_calc]],tblPedidos[[#This Row],[estado_operativo]]="DEVOLUCION",tblPedidos[[#This Row],[costo_devolucion_estimado]]),0)</f>
        <v>0</v>
      </c>
      <c r="V106">
        <v>0</v>
      </c>
      <c r="W106">
        <v>179800</v>
      </c>
      <c r="X106">
        <v>20609</v>
      </c>
      <c r="Y106">
        <v>100000</v>
      </c>
      <c r="Z106" s="11">
        <v>46043</v>
      </c>
      <c r="AA106">
        <v>1</v>
      </c>
      <c r="AB106" s="12">
        <v>0.91180555555555554</v>
      </c>
      <c r="AC106" t="s">
        <v>399</v>
      </c>
      <c r="AD106" t="s">
        <v>399</v>
      </c>
      <c r="AE106" t="s">
        <v>386</v>
      </c>
    </row>
    <row r="107" spans="1:31">
      <c r="A107" t="s">
        <v>33</v>
      </c>
      <c r="C107">
        <v>977</v>
      </c>
      <c r="D107" t="s">
        <v>659</v>
      </c>
      <c r="E107" s="11">
        <v>46042</v>
      </c>
      <c r="F107" t="s">
        <v>660</v>
      </c>
      <c r="G107" t="s">
        <v>36</v>
      </c>
      <c r="J107" t="s">
        <v>386</v>
      </c>
      <c r="K107" t="s">
        <v>661</v>
      </c>
      <c r="L107" t="s">
        <v>662</v>
      </c>
      <c r="M107" t="s">
        <v>663</v>
      </c>
      <c r="N107" t="s">
        <v>664</v>
      </c>
      <c r="O107" t="s">
        <v>665</v>
      </c>
      <c r="P107" s="46" t="str" cm="1">
        <f t="array" aca="1" ref="P107" ca="1">IFERROR(_xlfn.XLOOKUP(tblPedidos[[#This Row],[id_dropi]],tblNotas[[#This Row],[id__dropi]],tblNotas[[#This Row],[Notas Manuales]], “”, 0),"")</f>
        <v/>
      </c>
      <c r="R107" t="s">
        <v>398</v>
      </c>
      <c r="S107">
        <v>23336.5</v>
      </c>
      <c r="T107">
        <v>-13250.800000000001</v>
      </c>
      <c r="U107" cm="1">
        <f t="array" ref="U107">IFERROR(_xlfn.IFS(tblPedidos[[#This Row],[estado_operativo]]="ENTREGADO",tblPedidos[[#This Row],[ganancia_calc]],tblPedidos[[#This Row],[estado_operativo]]="DEVOLUCION",tblPedidos[[#This Row],[costo_devolucion_estimado]]),0)</f>
        <v>0</v>
      </c>
      <c r="V107">
        <v>0</v>
      </c>
      <c r="W107">
        <v>89900</v>
      </c>
      <c r="X107">
        <v>16563.5</v>
      </c>
      <c r="Y107">
        <v>50000</v>
      </c>
      <c r="Z107" s="11">
        <v>46043</v>
      </c>
      <c r="AA107">
        <v>1</v>
      </c>
      <c r="AB107" s="12">
        <v>0.91180555555555554</v>
      </c>
      <c r="AC107" t="s">
        <v>399</v>
      </c>
      <c r="AD107" t="s">
        <v>399</v>
      </c>
      <c r="AE107" t="s">
        <v>386</v>
      </c>
    </row>
    <row r="108" spans="1:31">
      <c r="A108" t="s">
        <v>33</v>
      </c>
      <c r="C108">
        <v>978</v>
      </c>
      <c r="D108" t="s">
        <v>666</v>
      </c>
      <c r="E108" s="11">
        <v>46042</v>
      </c>
      <c r="F108" t="s">
        <v>667</v>
      </c>
      <c r="G108" t="s">
        <v>45</v>
      </c>
      <c r="J108" t="s">
        <v>386</v>
      </c>
      <c r="K108" t="s">
        <v>668</v>
      </c>
      <c r="L108" t="s">
        <v>234</v>
      </c>
      <c r="M108" t="s">
        <v>235</v>
      </c>
      <c r="N108" t="s">
        <v>669</v>
      </c>
      <c r="O108" t="s">
        <v>670</v>
      </c>
      <c r="P108" s="46" t="str" cm="1">
        <f t="array" aca="1" ref="P108" ca="1">IFERROR(_xlfn.XLOOKUP(tblPedidos[[#This Row],[id_dropi]],tblNotas[[#This Row],[id__dropi]],tblNotas[[#This Row],[Notas Manuales]], “”, 0),"")</f>
        <v/>
      </c>
      <c r="R108" t="s">
        <v>398</v>
      </c>
      <c r="S108">
        <v>20654.5</v>
      </c>
      <c r="T108">
        <v>-19245.5</v>
      </c>
      <c r="U108" cm="1">
        <f t="array" ref="U108">IFERROR(_xlfn.IFS(tblPedidos[[#This Row],[estado_operativo]]="ENTREGADO",tblPedidos[[#This Row],[ganancia_calc]],tblPedidos[[#This Row],[estado_operativo]]="DEVOLUCION",tblPedidos[[#This Row],[costo_devolucion_estimado]]),0)</f>
        <v>0</v>
      </c>
      <c r="V108">
        <v>0</v>
      </c>
      <c r="W108">
        <v>89900</v>
      </c>
      <c r="X108">
        <v>19245.5</v>
      </c>
      <c r="Y108">
        <v>50000</v>
      </c>
      <c r="Z108" s="11">
        <v>46043</v>
      </c>
      <c r="AA108">
        <v>1</v>
      </c>
      <c r="AB108" s="12">
        <v>0.83958333333333335</v>
      </c>
      <c r="AC108" t="s">
        <v>417</v>
      </c>
      <c r="AD108" t="s">
        <v>417</v>
      </c>
      <c r="AE108" t="s">
        <v>386</v>
      </c>
    </row>
    <row r="109" spans="1:31">
      <c r="A109" t="s">
        <v>33</v>
      </c>
      <c r="C109">
        <v>979</v>
      </c>
      <c r="D109" t="s">
        <v>671</v>
      </c>
      <c r="E109" s="11">
        <v>46042</v>
      </c>
      <c r="F109" t="s">
        <v>672</v>
      </c>
      <c r="G109" t="s">
        <v>45</v>
      </c>
      <c r="J109" t="s">
        <v>386</v>
      </c>
      <c r="K109" t="s">
        <v>673</v>
      </c>
      <c r="L109" t="s">
        <v>46</v>
      </c>
      <c r="M109" t="s">
        <v>100</v>
      </c>
      <c r="N109" t="s">
        <v>674</v>
      </c>
      <c r="O109" t="s">
        <v>675</v>
      </c>
      <c r="P109" s="46" t="str" cm="1">
        <f t="array" aca="1" ref="P109" ca="1">IFERROR(_xlfn.XLOOKUP(tblPedidos[[#This Row],[id_dropi]],tblNotas[[#This Row],[id__dropi]],tblNotas[[#This Row],[Notas Manuales]], “”, 0),"")</f>
        <v/>
      </c>
      <c r="R109" t="s">
        <v>398</v>
      </c>
      <c r="S109">
        <v>20654.5</v>
      </c>
      <c r="T109">
        <v>-19245.5</v>
      </c>
      <c r="U109" cm="1">
        <f t="array" ref="U109">IFERROR(_xlfn.IFS(tblPedidos[[#This Row],[estado_operativo]]="ENTREGADO",tblPedidos[[#This Row],[ganancia_calc]],tblPedidos[[#This Row],[estado_operativo]]="DEVOLUCION",tblPedidos[[#This Row],[costo_devolucion_estimado]]),0)</f>
        <v>0</v>
      </c>
      <c r="V109">
        <v>0</v>
      </c>
      <c r="W109">
        <v>89900</v>
      </c>
      <c r="X109">
        <v>19245.5</v>
      </c>
      <c r="Y109">
        <v>50000</v>
      </c>
      <c r="Z109" s="11">
        <v>46043</v>
      </c>
      <c r="AA109">
        <v>1</v>
      </c>
      <c r="AB109" s="12">
        <v>0.83958333333333335</v>
      </c>
      <c r="AC109" t="s">
        <v>417</v>
      </c>
      <c r="AD109" t="s">
        <v>417</v>
      </c>
      <c r="AE109" t="s">
        <v>386</v>
      </c>
    </row>
    <row r="110" spans="1:31">
      <c r="A110" t="s">
        <v>33</v>
      </c>
      <c r="C110">
        <v>983</v>
      </c>
      <c r="D110" t="s">
        <v>676</v>
      </c>
      <c r="E110" s="11">
        <v>46042</v>
      </c>
      <c r="F110" t="s">
        <v>677</v>
      </c>
      <c r="G110" t="s">
        <v>45</v>
      </c>
      <c r="J110" t="s">
        <v>386</v>
      </c>
      <c r="K110" t="s">
        <v>678</v>
      </c>
      <c r="L110" t="s">
        <v>125</v>
      </c>
      <c r="M110" t="s">
        <v>679</v>
      </c>
      <c r="N110" t="s">
        <v>680</v>
      </c>
      <c r="O110" t="s">
        <v>681</v>
      </c>
      <c r="P110" s="46" t="str" cm="1">
        <f t="array" aca="1" ref="P110" ca="1">IFERROR(_xlfn.XLOOKUP(tblPedidos[[#This Row],[id_dropi]],tblNotas[[#This Row],[id__dropi]],tblNotas[[#This Row],[Notas Manuales]], “”, 0),"")</f>
        <v/>
      </c>
      <c r="R110" t="s">
        <v>398</v>
      </c>
      <c r="S110">
        <v>20654.5</v>
      </c>
      <c r="T110">
        <v>-19245.5</v>
      </c>
      <c r="U110" cm="1">
        <f t="array" ref="U110">IFERROR(_xlfn.IFS(tblPedidos[[#This Row],[estado_operativo]]="ENTREGADO",tblPedidos[[#This Row],[ganancia_calc]],tblPedidos[[#This Row],[estado_operativo]]="DEVOLUCION",tblPedidos[[#This Row],[costo_devolucion_estimado]]),0)</f>
        <v>0</v>
      </c>
      <c r="V110">
        <v>0</v>
      </c>
      <c r="W110">
        <v>89900</v>
      </c>
      <c r="X110">
        <v>19245.5</v>
      </c>
      <c r="Y110">
        <v>50000</v>
      </c>
      <c r="Z110" s="11">
        <v>46043</v>
      </c>
      <c r="AA110">
        <v>1</v>
      </c>
      <c r="AB110" s="12">
        <v>0.83958333333333335</v>
      </c>
      <c r="AC110" t="s">
        <v>417</v>
      </c>
      <c r="AD110" t="s">
        <v>417</v>
      </c>
      <c r="AE110" t="s">
        <v>386</v>
      </c>
    </row>
    <row r="111" spans="1:31">
      <c r="A111" t="s">
        <v>33</v>
      </c>
      <c r="C111">
        <v>987</v>
      </c>
      <c r="D111" t="s">
        <v>682</v>
      </c>
      <c r="E111" s="11">
        <v>46042</v>
      </c>
      <c r="F111" t="s">
        <v>683</v>
      </c>
      <c r="G111" t="s">
        <v>45</v>
      </c>
      <c r="J111" t="s">
        <v>386</v>
      </c>
      <c r="K111" t="s">
        <v>684</v>
      </c>
      <c r="L111" t="s">
        <v>152</v>
      </c>
      <c r="M111" t="s">
        <v>153</v>
      </c>
      <c r="N111" t="s">
        <v>685</v>
      </c>
      <c r="O111" t="s">
        <v>686</v>
      </c>
      <c r="P111" s="46" t="str" cm="1">
        <f t="array" aca="1" ref="P111" ca="1">IFERROR(_xlfn.XLOOKUP(tblPedidos[[#This Row],[id_dropi]],tblNotas[[#This Row],[id__dropi]],tblNotas[[#This Row],[Notas Manuales]], “”, 0),"")</f>
        <v/>
      </c>
      <c r="R111" t="s">
        <v>398</v>
      </c>
      <c r="S111">
        <v>15879.5</v>
      </c>
      <c r="T111">
        <v>-19020.5</v>
      </c>
      <c r="U111" cm="1">
        <f t="array" ref="U111">IFERROR(_xlfn.IFS(tblPedidos[[#This Row],[estado_operativo]]="ENTREGADO",tblPedidos[[#This Row],[ganancia_calc]],tblPedidos[[#This Row],[estado_operativo]]="DEVOLUCION",tblPedidos[[#This Row],[costo_devolucion_estimado]]),0)</f>
        <v>0</v>
      </c>
      <c r="V111">
        <v>0</v>
      </c>
      <c r="W111">
        <v>84900</v>
      </c>
      <c r="X111">
        <v>19020.5</v>
      </c>
      <c r="Y111">
        <v>50000</v>
      </c>
      <c r="Z111" s="11">
        <v>46043</v>
      </c>
      <c r="AA111">
        <v>1</v>
      </c>
      <c r="AB111" s="12">
        <v>0.83958333333333335</v>
      </c>
      <c r="AC111" t="s">
        <v>417</v>
      </c>
      <c r="AD111" t="s">
        <v>417</v>
      </c>
      <c r="AE111" t="s">
        <v>386</v>
      </c>
    </row>
    <row r="112" spans="1:31">
      <c r="A112" t="s">
        <v>33</v>
      </c>
      <c r="C112">
        <v>988</v>
      </c>
      <c r="D112" t="s">
        <v>687</v>
      </c>
      <c r="E112" s="11">
        <v>46042</v>
      </c>
      <c r="F112" t="s">
        <v>688</v>
      </c>
      <c r="G112" t="s">
        <v>36</v>
      </c>
      <c r="J112" t="s">
        <v>386</v>
      </c>
      <c r="K112" t="s">
        <v>689</v>
      </c>
      <c r="L112" t="s">
        <v>54</v>
      </c>
      <c r="M112" t="s">
        <v>224</v>
      </c>
      <c r="N112" t="s">
        <v>690</v>
      </c>
      <c r="O112" t="s">
        <v>691</v>
      </c>
      <c r="P112" s="46" t="str" cm="1">
        <f t="array" aca="1" ref="P112" ca="1">IFERROR(_xlfn.XLOOKUP(tblPedidos[[#This Row],[id_dropi]],tblNotas[[#This Row],[id__dropi]],tblNotas[[#This Row],[Notas Manuales]], “”, 0),"")</f>
        <v/>
      </c>
      <c r="R112" t="s">
        <v>405</v>
      </c>
      <c r="S112">
        <v>19686.5</v>
      </c>
      <c r="T112">
        <v>-12170.800000000001</v>
      </c>
      <c r="U112" cm="1">
        <f t="array" ref="U112">IFERROR(_xlfn.IFS(tblPedidos[[#This Row],[estado_operativo]]="ENTREGADO",tblPedidos[[#This Row],[ganancia_calc]],tblPedidos[[#This Row],[estado_operativo]]="DEVOLUCION",tblPedidos[[#This Row],[costo_devolucion_estimado]]),0)</f>
        <v>0</v>
      </c>
      <c r="V112">
        <v>0</v>
      </c>
      <c r="W112">
        <v>59900</v>
      </c>
      <c r="X112">
        <v>15213.5</v>
      </c>
      <c r="Y112">
        <v>25000</v>
      </c>
      <c r="Z112" s="11">
        <v>46043</v>
      </c>
      <c r="AA112">
        <v>1</v>
      </c>
      <c r="AB112" s="12">
        <v>0.91180555555555554</v>
      </c>
      <c r="AC112" t="s">
        <v>399</v>
      </c>
      <c r="AD112" t="s">
        <v>399</v>
      </c>
      <c r="AE112" t="s">
        <v>386</v>
      </c>
    </row>
    <row r="113" spans="1:31">
      <c r="A113" t="s">
        <v>33</v>
      </c>
      <c r="C113">
        <v>989</v>
      </c>
      <c r="D113" t="s">
        <v>692</v>
      </c>
      <c r="E113" s="11">
        <v>46042</v>
      </c>
      <c r="F113" t="s">
        <v>693</v>
      </c>
      <c r="G113" t="s">
        <v>45</v>
      </c>
      <c r="J113" t="s">
        <v>386</v>
      </c>
      <c r="K113" t="s">
        <v>694</v>
      </c>
      <c r="L113" t="s">
        <v>111</v>
      </c>
      <c r="M113" t="s">
        <v>695</v>
      </c>
      <c r="N113" t="s">
        <v>696</v>
      </c>
      <c r="O113" t="s">
        <v>697</v>
      </c>
      <c r="P113" s="46" t="str" cm="1">
        <f t="array" aca="1" ref="P113" ca="1">IFERROR(_xlfn.XLOOKUP(tblPedidos[[#This Row],[id_dropi]],tblNotas[[#This Row],[id__dropi]],tblNotas[[#This Row],[Notas Manuales]], “”, 0),"")</f>
        <v/>
      </c>
      <c r="Q113" t="s">
        <v>148</v>
      </c>
      <c r="R113" t="s">
        <v>398</v>
      </c>
      <c r="S113">
        <v>25204.5</v>
      </c>
      <c r="T113">
        <v>-14695.5</v>
      </c>
      <c r="U113" cm="1">
        <f t="array" ref="U113">IFERROR(_xlfn.IFS(tblPedidos[[#This Row],[estado_operativo]]="ENTREGADO",tblPedidos[[#This Row],[ganancia_calc]],tblPedidos[[#This Row],[estado_operativo]]="DEVOLUCION",tblPedidos[[#This Row],[costo_devolucion_estimado]]),0)</f>
        <v>0</v>
      </c>
      <c r="V113">
        <v>0</v>
      </c>
      <c r="W113">
        <v>89900</v>
      </c>
      <c r="X113">
        <v>14695.5</v>
      </c>
      <c r="Y113">
        <v>50000</v>
      </c>
      <c r="Z113" s="11">
        <v>46043</v>
      </c>
      <c r="AA113">
        <v>1</v>
      </c>
      <c r="AB113" s="12">
        <v>0.83958333333333335</v>
      </c>
      <c r="AC113" t="s">
        <v>417</v>
      </c>
      <c r="AD113" t="s">
        <v>417</v>
      </c>
      <c r="AE113" t="s">
        <v>386</v>
      </c>
    </row>
    <row r="114" spans="1:31">
      <c r="A114" t="s">
        <v>33</v>
      </c>
      <c r="C114">
        <v>984</v>
      </c>
      <c r="D114" t="s">
        <v>698</v>
      </c>
      <c r="E114" s="11">
        <v>46042</v>
      </c>
      <c r="F114" t="s">
        <v>699</v>
      </c>
      <c r="G114" t="s">
        <v>45</v>
      </c>
      <c r="J114" t="s">
        <v>386</v>
      </c>
      <c r="K114" t="s">
        <v>700</v>
      </c>
      <c r="L114" t="s">
        <v>54</v>
      </c>
      <c r="M114" t="s">
        <v>650</v>
      </c>
      <c r="N114" t="s">
        <v>651</v>
      </c>
      <c r="O114" t="s">
        <v>701</v>
      </c>
      <c r="P114" s="46" t="str" cm="1">
        <f t="array" aca="1" ref="P114" ca="1">IFERROR(_xlfn.XLOOKUP(tblPedidos[[#This Row],[id_dropi]],tblNotas[[#This Row],[id__dropi]],tblNotas[[#This Row],[Notas Manuales]], “”, 0),"")</f>
        <v/>
      </c>
      <c r="Q114" t="s">
        <v>50</v>
      </c>
      <c r="R114" t="s">
        <v>398</v>
      </c>
      <c r="S114">
        <v>20654.5</v>
      </c>
      <c r="T114">
        <v>-19245.5</v>
      </c>
      <c r="U114" cm="1">
        <f t="array" ref="U114">IFERROR(_xlfn.IFS(tblPedidos[[#This Row],[estado_operativo]]="ENTREGADO",tblPedidos[[#This Row],[ganancia_calc]],tblPedidos[[#This Row],[estado_operativo]]="DEVOLUCION",tblPedidos[[#This Row],[costo_devolucion_estimado]]),0)</f>
        <v>0</v>
      </c>
      <c r="V114">
        <v>0</v>
      </c>
      <c r="W114">
        <v>89900</v>
      </c>
      <c r="X114">
        <v>19245.5</v>
      </c>
      <c r="Y114">
        <v>50000</v>
      </c>
      <c r="Z114" s="11">
        <v>46043</v>
      </c>
      <c r="AA114">
        <v>1</v>
      </c>
      <c r="AB114" s="12">
        <v>0.83958333333333335</v>
      </c>
      <c r="AC114" t="s">
        <v>417</v>
      </c>
      <c r="AD114" t="s">
        <v>417</v>
      </c>
      <c r="AE114" t="s">
        <v>386</v>
      </c>
    </row>
    <row r="115" spans="1:31">
      <c r="A115" t="s">
        <v>33</v>
      </c>
      <c r="C115">
        <v>985</v>
      </c>
      <c r="D115" t="s">
        <v>702</v>
      </c>
      <c r="E115" s="11">
        <v>46042</v>
      </c>
      <c r="F115" t="s">
        <v>703</v>
      </c>
      <c r="G115" t="s">
        <v>45</v>
      </c>
      <c r="J115" t="s">
        <v>386</v>
      </c>
      <c r="K115" t="s">
        <v>704</v>
      </c>
      <c r="L115" t="s">
        <v>61</v>
      </c>
      <c r="M115" t="s">
        <v>705</v>
      </c>
      <c r="N115" t="s">
        <v>706</v>
      </c>
      <c r="O115" t="s">
        <v>707</v>
      </c>
      <c r="P115" s="46" t="str" cm="1">
        <f t="array" aca="1" ref="P115" ca="1">IFERROR(_xlfn.XLOOKUP(tblPedidos[[#This Row],[id_dropi]],tblNotas[[#This Row],[id__dropi]],tblNotas[[#This Row],[Notas Manuales]], “”, 0),"")</f>
        <v/>
      </c>
      <c r="Q115" t="s">
        <v>50</v>
      </c>
      <c r="R115" t="s">
        <v>398</v>
      </c>
      <c r="S115">
        <v>20654.5</v>
      </c>
      <c r="T115">
        <v>-19245.5</v>
      </c>
      <c r="U115" cm="1">
        <f t="array" ref="U115">IFERROR(_xlfn.IFS(tblPedidos[[#This Row],[estado_operativo]]="ENTREGADO",tblPedidos[[#This Row],[ganancia_calc]],tblPedidos[[#This Row],[estado_operativo]]="DEVOLUCION",tblPedidos[[#This Row],[costo_devolucion_estimado]]),0)</f>
        <v>0</v>
      </c>
      <c r="V115">
        <v>0</v>
      </c>
      <c r="W115">
        <v>89900</v>
      </c>
      <c r="X115">
        <v>19245.5</v>
      </c>
      <c r="Y115">
        <v>50000</v>
      </c>
      <c r="Z115" s="11">
        <v>46043</v>
      </c>
      <c r="AA115">
        <v>1</v>
      </c>
      <c r="AB115" s="12">
        <v>0.75694444444444442</v>
      </c>
      <c r="AC115" t="s">
        <v>708</v>
      </c>
      <c r="AD115" t="s">
        <v>709</v>
      </c>
      <c r="AE115" t="s">
        <v>386</v>
      </c>
    </row>
    <row r="116" spans="1:31">
      <c r="A116" t="s">
        <v>33</v>
      </c>
      <c r="C116">
        <v>986</v>
      </c>
      <c r="D116" t="s">
        <v>710</v>
      </c>
      <c r="E116" s="11">
        <v>46042</v>
      </c>
      <c r="F116" t="s">
        <v>711</v>
      </c>
      <c r="G116" t="s">
        <v>45</v>
      </c>
      <c r="J116" t="s">
        <v>522</v>
      </c>
      <c r="K116" t="s">
        <v>712</v>
      </c>
      <c r="L116" t="s">
        <v>46</v>
      </c>
      <c r="M116" t="s">
        <v>713</v>
      </c>
      <c r="N116" t="s">
        <v>714</v>
      </c>
      <c r="O116" t="s">
        <v>715</v>
      </c>
      <c r="P116" s="46" t="str" cm="1">
        <f t="array" aca="1" ref="P116" ca="1">IFERROR(_xlfn.XLOOKUP(tblPedidos[[#This Row],[id_dropi]],tblNotas[[#This Row],[id__dropi]],tblNotas[[#This Row],[Notas Manuales]], “”, 0),"")</f>
        <v/>
      </c>
      <c r="R116" t="s">
        <v>505</v>
      </c>
      <c r="S116">
        <v>21779.5</v>
      </c>
      <c r="T116">
        <v>-18120.5</v>
      </c>
      <c r="U116" cm="1">
        <f t="array" ref="U116">IFERROR(_xlfn.IFS(tblPedidos[[#This Row],[estado_operativo]]="ENTREGADO",tblPedidos[[#This Row],[ganancia_calc]],tblPedidos[[#This Row],[estado_operativo]]="DEVOLUCION",tblPedidos[[#This Row],[costo_devolucion_estimado]]),0)</f>
        <v>0</v>
      </c>
      <c r="V116">
        <v>0</v>
      </c>
      <c r="W116">
        <v>64900</v>
      </c>
      <c r="X116">
        <v>18120.5</v>
      </c>
      <c r="Y116">
        <v>25000</v>
      </c>
      <c r="Z116" s="11">
        <v>46043</v>
      </c>
      <c r="AA116">
        <v>1</v>
      </c>
      <c r="AB116" s="12">
        <v>0.75694444444444442</v>
      </c>
      <c r="AC116" t="s">
        <v>716</v>
      </c>
      <c r="AD116" t="s">
        <v>717</v>
      </c>
      <c r="AE116" t="s">
        <v>522</v>
      </c>
    </row>
    <row r="117" spans="1:31">
      <c r="A117" t="s">
        <v>33</v>
      </c>
      <c r="C117">
        <v>892</v>
      </c>
      <c r="D117" t="s">
        <v>718</v>
      </c>
      <c r="E117" s="11">
        <v>46041</v>
      </c>
      <c r="F117" t="s">
        <v>719</v>
      </c>
      <c r="G117" t="s">
        <v>45</v>
      </c>
      <c r="J117" t="s">
        <v>720</v>
      </c>
      <c r="K117" t="s">
        <v>721</v>
      </c>
      <c r="L117" t="s">
        <v>46</v>
      </c>
      <c r="M117" t="s">
        <v>94</v>
      </c>
      <c r="N117" t="s">
        <v>722</v>
      </c>
      <c r="O117" t="s">
        <v>723</v>
      </c>
      <c r="P117" s="46" t="str" cm="1">
        <f t="array" aca="1" ref="P117" ca="1">IFERROR(_xlfn.XLOOKUP(tblPedidos[[#This Row],[id_dropi]],tblNotas[[#This Row],[id__dropi]],tblNotas[[#This Row],[Notas Manuales]], “”, 0),"")</f>
        <v/>
      </c>
      <c r="R117" t="s">
        <v>724</v>
      </c>
      <c r="S117">
        <v>22954.5</v>
      </c>
      <c r="T117">
        <v>-11945.5</v>
      </c>
      <c r="U117" cm="1">
        <f t="array" ref="U117">IFERROR(_xlfn.IFS(tblPedidos[[#This Row],[estado_operativo]]="ENTREGADO",tblPedidos[[#This Row],[ganancia_calc]],tblPedidos[[#This Row],[estado_operativo]]="DEVOLUCION",tblPedidos[[#This Row],[costo_devolucion_estimado]]),0)</f>
        <v>22954.5</v>
      </c>
      <c r="V117">
        <v>0</v>
      </c>
      <c r="W117">
        <v>59900</v>
      </c>
      <c r="X117">
        <v>11945.5</v>
      </c>
      <c r="Y117">
        <v>25000</v>
      </c>
      <c r="Z117" s="11">
        <v>46043</v>
      </c>
      <c r="AA117">
        <v>1</v>
      </c>
      <c r="AB117" s="12">
        <v>0.67500000000000004</v>
      </c>
      <c r="AC117" t="s">
        <v>725</v>
      </c>
      <c r="AD117" t="s">
        <v>720</v>
      </c>
      <c r="AE117" t="s">
        <v>720</v>
      </c>
    </row>
    <row r="118" spans="1:31">
      <c r="A118" t="s">
        <v>33</v>
      </c>
      <c r="C118">
        <v>891</v>
      </c>
      <c r="D118" t="s">
        <v>726</v>
      </c>
      <c r="E118" s="11">
        <v>46041</v>
      </c>
      <c r="F118" t="s">
        <v>727</v>
      </c>
      <c r="G118" t="s">
        <v>45</v>
      </c>
      <c r="J118" t="s">
        <v>386</v>
      </c>
      <c r="K118" t="s">
        <v>728</v>
      </c>
      <c r="L118" t="s">
        <v>68</v>
      </c>
      <c r="M118" t="s">
        <v>729</v>
      </c>
      <c r="N118" t="s">
        <v>730</v>
      </c>
      <c r="O118" t="s">
        <v>731</v>
      </c>
      <c r="P118" s="46" t="str" cm="1">
        <f t="array" aca="1" ref="P118" ca="1">IFERROR(_xlfn.XLOOKUP(tblPedidos[[#This Row],[id_dropi]],tblNotas[[#This Row],[id__dropi]],tblNotas[[#This Row],[Notas Manuales]], “”, 0),"")</f>
        <v/>
      </c>
      <c r="R118" t="s">
        <v>732</v>
      </c>
      <c r="S118">
        <v>22754.5</v>
      </c>
      <c r="T118">
        <v>-18345.5</v>
      </c>
      <c r="U118" cm="1">
        <f t="array" ref="U118">IFERROR(_xlfn.IFS(tblPedidos[[#This Row],[estado_operativo]]="ENTREGADO",tblPedidos[[#This Row],[ganancia_calc]],tblPedidos[[#This Row],[estado_operativo]]="DEVOLUCION",tblPedidos[[#This Row],[costo_devolucion_estimado]]),0)</f>
        <v>0</v>
      </c>
      <c r="V118">
        <v>0</v>
      </c>
      <c r="W118">
        <v>69900</v>
      </c>
      <c r="X118">
        <v>18345.5</v>
      </c>
      <c r="Y118">
        <v>28800</v>
      </c>
      <c r="Z118" s="11">
        <v>46043</v>
      </c>
      <c r="AA118">
        <v>1</v>
      </c>
      <c r="AB118" s="12">
        <v>0.67986111111111114</v>
      </c>
      <c r="AC118" t="s">
        <v>417</v>
      </c>
      <c r="AD118" t="s">
        <v>417</v>
      </c>
      <c r="AE118" t="s">
        <v>386</v>
      </c>
    </row>
    <row r="119" spans="1:31">
      <c r="A119" t="s">
        <v>33</v>
      </c>
      <c r="C119">
        <v>893</v>
      </c>
      <c r="D119" t="s">
        <v>733</v>
      </c>
      <c r="E119" s="11">
        <v>46041</v>
      </c>
      <c r="F119" t="s">
        <v>734</v>
      </c>
      <c r="G119" t="s">
        <v>45</v>
      </c>
      <c r="J119" t="s">
        <v>522</v>
      </c>
      <c r="K119" t="s">
        <v>735</v>
      </c>
      <c r="L119" t="s">
        <v>54</v>
      </c>
      <c r="M119" t="s">
        <v>736</v>
      </c>
      <c r="N119" t="s">
        <v>737</v>
      </c>
      <c r="O119" t="s">
        <v>738</v>
      </c>
      <c r="P119" s="46" t="str" cm="1">
        <f t="array" aca="1" ref="P119" ca="1">IFERROR(_xlfn.XLOOKUP(tblPedidos[[#This Row],[id_dropi]],tblNotas[[#This Row],[id__dropi]],tblNotas[[#This Row],[Notas Manuales]], “”, 0),"")</f>
        <v/>
      </c>
      <c r="R119" t="s">
        <v>739</v>
      </c>
      <c r="S119">
        <v>20654.5</v>
      </c>
      <c r="T119">
        <v>-19245.5</v>
      </c>
      <c r="U119" cm="1">
        <f t="array" ref="U119">IFERROR(_xlfn.IFS(tblPedidos[[#This Row],[estado_operativo]]="ENTREGADO",tblPedidos[[#This Row],[ganancia_calc]],tblPedidos[[#This Row],[estado_operativo]]="DEVOLUCION",tblPedidos[[#This Row],[costo_devolucion_estimado]]),0)</f>
        <v>0</v>
      </c>
      <c r="V119">
        <v>0</v>
      </c>
      <c r="W119">
        <v>89900</v>
      </c>
      <c r="X119">
        <v>19245.5</v>
      </c>
      <c r="Y119">
        <v>50000</v>
      </c>
      <c r="Z119" s="11">
        <v>46043</v>
      </c>
      <c r="AA119">
        <v>1</v>
      </c>
      <c r="AB119" s="12">
        <v>0.67500000000000004</v>
      </c>
      <c r="AC119" t="s">
        <v>716</v>
      </c>
      <c r="AD119" t="s">
        <v>717</v>
      </c>
      <c r="AE119" t="s">
        <v>522</v>
      </c>
    </row>
    <row r="120" spans="1:31">
      <c r="A120" t="s">
        <v>33</v>
      </c>
      <c r="C120">
        <v>895</v>
      </c>
      <c r="D120" t="s">
        <v>740</v>
      </c>
      <c r="E120" s="11">
        <v>46041</v>
      </c>
      <c r="F120" t="s">
        <v>741</v>
      </c>
      <c r="G120" t="s">
        <v>36</v>
      </c>
      <c r="J120" t="s">
        <v>386</v>
      </c>
      <c r="K120" t="s">
        <v>742</v>
      </c>
      <c r="L120" t="s">
        <v>87</v>
      </c>
      <c r="M120" t="s">
        <v>743</v>
      </c>
      <c r="N120" t="s">
        <v>744</v>
      </c>
      <c r="O120" t="s">
        <v>745</v>
      </c>
      <c r="P120" s="46" t="str" cm="1">
        <f t="array" aca="1" ref="P120" ca="1">IFERROR(_xlfn.XLOOKUP(tblPedidos[[#This Row],[id_dropi]],tblNotas[[#This Row],[id__dropi]],tblNotas[[#This Row],[Notas Manuales]], “”, 0),"")</f>
        <v/>
      </c>
      <c r="Q120" t="s">
        <v>746</v>
      </c>
      <c r="R120" t="s">
        <v>739</v>
      </c>
      <c r="S120">
        <v>23336.5</v>
      </c>
      <c r="T120">
        <v>-13250.800000000001</v>
      </c>
      <c r="U120" cm="1">
        <f t="array" ref="U120">IFERROR(_xlfn.IFS(tblPedidos[[#This Row],[estado_operativo]]="ENTREGADO",tblPedidos[[#This Row],[ganancia_calc]],tblPedidos[[#This Row],[estado_operativo]]="DEVOLUCION",tblPedidos[[#This Row],[costo_devolucion_estimado]]),0)</f>
        <v>0</v>
      </c>
      <c r="V120">
        <v>0</v>
      </c>
      <c r="W120">
        <v>89900</v>
      </c>
      <c r="X120">
        <v>16563.5</v>
      </c>
      <c r="Y120">
        <v>50000</v>
      </c>
      <c r="Z120" s="11">
        <v>46042</v>
      </c>
      <c r="AA120">
        <v>2</v>
      </c>
      <c r="AB120" s="12">
        <v>0.38611111111111113</v>
      </c>
      <c r="AC120" t="s">
        <v>747</v>
      </c>
      <c r="AD120" t="s">
        <v>399</v>
      </c>
      <c r="AE120" t="s">
        <v>386</v>
      </c>
    </row>
    <row r="121" spans="1:31">
      <c r="A121" t="s">
        <v>33</v>
      </c>
      <c r="C121">
        <v>894</v>
      </c>
      <c r="D121" t="s">
        <v>748</v>
      </c>
      <c r="E121" s="11">
        <v>46041</v>
      </c>
      <c r="F121" t="s">
        <v>749</v>
      </c>
      <c r="G121" t="s">
        <v>45</v>
      </c>
      <c r="J121" t="s">
        <v>750</v>
      </c>
      <c r="K121" t="s">
        <v>751</v>
      </c>
      <c r="L121" t="s">
        <v>46</v>
      </c>
      <c r="M121" t="s">
        <v>100</v>
      </c>
      <c r="N121" t="s">
        <v>752</v>
      </c>
      <c r="O121" t="s">
        <v>753</v>
      </c>
      <c r="P121" s="46" t="str" cm="1">
        <f t="array" aca="1" ref="P121" ca="1">IFERROR(_xlfn.XLOOKUP(tblPedidos[[#This Row],[id_dropi]],tblNotas[[#This Row],[id__dropi]],tblNotas[[#This Row],[Notas Manuales]], “”, 0),"")</f>
        <v/>
      </c>
      <c r="Q121" t="s">
        <v>754</v>
      </c>
      <c r="R121" t="s">
        <v>755</v>
      </c>
      <c r="S121">
        <v>16779.5</v>
      </c>
      <c r="T121">
        <v>-18120.5</v>
      </c>
      <c r="U121" cm="1">
        <f t="array" ref="U121">IFERROR(_xlfn.IFS(tblPedidos[[#This Row],[estado_operativo]]="ENTREGADO",tblPedidos[[#This Row],[ganancia_calc]],tblPedidos[[#This Row],[estado_operativo]]="DEVOLUCION",tblPedidos[[#This Row],[costo_devolucion_estimado]]),0)</f>
        <v>0</v>
      </c>
      <c r="V121">
        <v>0</v>
      </c>
      <c r="W121">
        <v>64900</v>
      </c>
      <c r="X121">
        <v>18120.5</v>
      </c>
      <c r="Y121">
        <v>30000</v>
      </c>
      <c r="Z121" s="11">
        <v>46043</v>
      </c>
      <c r="AA121">
        <v>1</v>
      </c>
      <c r="AB121" s="12">
        <v>0.67500000000000004</v>
      </c>
      <c r="AC121" t="s">
        <v>756</v>
      </c>
      <c r="AD121" t="s">
        <v>757</v>
      </c>
      <c r="AE121" t="s">
        <v>750</v>
      </c>
    </row>
    <row r="122" spans="1:31">
      <c r="A122" t="s">
        <v>33</v>
      </c>
      <c r="C122">
        <v>887</v>
      </c>
      <c r="D122" t="s">
        <v>758</v>
      </c>
      <c r="E122" s="11">
        <v>46041</v>
      </c>
      <c r="F122" t="s">
        <v>759</v>
      </c>
      <c r="G122" t="s">
        <v>36</v>
      </c>
      <c r="J122" t="s">
        <v>386</v>
      </c>
      <c r="K122" t="s">
        <v>760</v>
      </c>
      <c r="L122" t="s">
        <v>590</v>
      </c>
      <c r="M122" t="s">
        <v>761</v>
      </c>
      <c r="N122" t="s">
        <v>762</v>
      </c>
      <c r="O122" t="s">
        <v>763</v>
      </c>
      <c r="P122" s="46" t="str" cm="1">
        <f t="array" aca="1" ref="P122" ca="1">IFERROR(_xlfn.XLOOKUP(tblPedidos[[#This Row],[id_dropi]],tblNotas[[#This Row],[id__dropi]],tblNotas[[#This Row],[Notas Manuales]], “”, 0),"")</f>
        <v/>
      </c>
      <c r="Q122" t="s">
        <v>764</v>
      </c>
      <c r="R122" t="s">
        <v>739</v>
      </c>
      <c r="S122">
        <v>23336.5</v>
      </c>
      <c r="T122">
        <v>-13250.800000000001</v>
      </c>
      <c r="U122" cm="1">
        <f t="array" ref="U122">IFERROR(_xlfn.IFS(tblPedidos[[#This Row],[estado_operativo]]="ENTREGADO",tblPedidos[[#This Row],[ganancia_calc]],tblPedidos[[#This Row],[estado_operativo]]="DEVOLUCION",tblPedidos[[#This Row],[costo_devolucion_estimado]]),0)</f>
        <v>0</v>
      </c>
      <c r="V122">
        <v>0</v>
      </c>
      <c r="W122">
        <v>89900</v>
      </c>
      <c r="X122">
        <v>16563.5</v>
      </c>
      <c r="Y122">
        <v>50000</v>
      </c>
      <c r="Z122" s="11">
        <v>46042</v>
      </c>
      <c r="AA122">
        <v>2</v>
      </c>
      <c r="AB122" s="12">
        <v>0.38680555555555557</v>
      </c>
      <c r="AC122" t="s">
        <v>747</v>
      </c>
      <c r="AD122" t="s">
        <v>399</v>
      </c>
      <c r="AE122" t="s">
        <v>386</v>
      </c>
    </row>
    <row r="123" spans="1:31">
      <c r="A123" t="s">
        <v>33</v>
      </c>
      <c r="C123">
        <v>886</v>
      </c>
      <c r="D123" t="s">
        <v>765</v>
      </c>
      <c r="E123" s="11">
        <v>46041</v>
      </c>
      <c r="F123" t="s">
        <v>766</v>
      </c>
      <c r="G123" t="s">
        <v>45</v>
      </c>
      <c r="J123" t="s">
        <v>386</v>
      </c>
      <c r="K123" t="s">
        <v>767</v>
      </c>
      <c r="L123" t="s">
        <v>178</v>
      </c>
      <c r="M123" t="s">
        <v>768</v>
      </c>
      <c r="N123" t="s">
        <v>769</v>
      </c>
      <c r="O123" t="s">
        <v>770</v>
      </c>
      <c r="P123" s="46" t="str" cm="1">
        <f t="array" aca="1" ref="P123" ca="1">IFERROR(_xlfn.XLOOKUP(tblPedidos[[#This Row],[id_dropi]],tblNotas[[#This Row],[id__dropi]],tblNotas[[#This Row],[Notas Manuales]], “”, 0),"")</f>
        <v/>
      </c>
      <c r="Q123" t="s">
        <v>771</v>
      </c>
      <c r="R123" t="s">
        <v>772</v>
      </c>
      <c r="S123">
        <v>12229.5</v>
      </c>
      <c r="T123">
        <v>-17670.5</v>
      </c>
      <c r="U123" cm="1">
        <f t="array" ref="U123">IFERROR(_xlfn.IFS(tblPedidos[[#This Row],[estado_operativo]]="ENTREGADO",tblPedidos[[#This Row],[ganancia_calc]],tblPedidos[[#This Row],[estado_operativo]]="DEVOLUCION",tblPedidos[[#This Row],[costo_devolucion_estimado]]),0)</f>
        <v>0</v>
      </c>
      <c r="V123">
        <v>0</v>
      </c>
      <c r="W123">
        <v>54900</v>
      </c>
      <c r="X123">
        <v>17670.5</v>
      </c>
      <c r="Y123">
        <v>25000</v>
      </c>
      <c r="Z123" s="11">
        <v>46043</v>
      </c>
      <c r="AA123">
        <v>1</v>
      </c>
      <c r="AB123" s="12">
        <v>0.67500000000000004</v>
      </c>
      <c r="AC123" t="s">
        <v>708</v>
      </c>
      <c r="AD123" t="s">
        <v>709</v>
      </c>
      <c r="AE123" t="s">
        <v>386</v>
      </c>
    </row>
    <row r="124" spans="1:31">
      <c r="A124" t="s">
        <v>33</v>
      </c>
      <c r="C124">
        <v>888</v>
      </c>
      <c r="D124" t="s">
        <v>773</v>
      </c>
      <c r="E124" s="11">
        <v>46041</v>
      </c>
      <c r="F124" t="s">
        <v>774</v>
      </c>
      <c r="G124" t="s">
        <v>45</v>
      </c>
      <c r="J124" t="s">
        <v>386</v>
      </c>
      <c r="K124" t="s">
        <v>775</v>
      </c>
      <c r="L124" t="s">
        <v>166</v>
      </c>
      <c r="M124" t="s">
        <v>468</v>
      </c>
      <c r="N124" t="s">
        <v>776</v>
      </c>
      <c r="O124" t="s">
        <v>777</v>
      </c>
      <c r="P124" s="46" t="str" cm="1">
        <f t="array" aca="1" ref="P124" ca="1">IFERROR(_xlfn.XLOOKUP(tblPedidos[[#This Row],[id_dropi]],tblNotas[[#This Row],[id__dropi]],tblNotas[[#This Row],[Notas Manuales]], “”, 0),"")</f>
        <v/>
      </c>
      <c r="Q124" t="s">
        <v>778</v>
      </c>
      <c r="R124" t="s">
        <v>732</v>
      </c>
      <c r="S124">
        <v>27529.5</v>
      </c>
      <c r="T124">
        <v>-18570.5</v>
      </c>
      <c r="U124" cm="1">
        <f t="array" ref="U124">IFERROR(_xlfn.IFS(tblPedidos[[#This Row],[estado_operativo]]="ENTREGADO",tblPedidos[[#This Row],[ganancia_calc]],tblPedidos[[#This Row],[estado_operativo]]="DEVOLUCION",tblPedidos[[#This Row],[costo_devolucion_estimado]]),0)</f>
        <v>0</v>
      </c>
      <c r="V124">
        <v>0</v>
      </c>
      <c r="W124">
        <v>74900</v>
      </c>
      <c r="X124">
        <v>18570.5</v>
      </c>
      <c r="Y124">
        <v>28800</v>
      </c>
      <c r="Z124" s="11">
        <v>46043</v>
      </c>
      <c r="AA124">
        <v>1</v>
      </c>
      <c r="AB124" s="12">
        <v>0.6166666666666667</v>
      </c>
      <c r="AC124" t="s">
        <v>779</v>
      </c>
      <c r="AD124" t="s">
        <v>709</v>
      </c>
      <c r="AE124" t="s">
        <v>386</v>
      </c>
    </row>
    <row r="125" spans="1:31">
      <c r="A125" t="s">
        <v>33</v>
      </c>
      <c r="C125">
        <v>890</v>
      </c>
      <c r="D125" t="s">
        <v>780</v>
      </c>
      <c r="E125" s="11">
        <v>46041</v>
      </c>
      <c r="F125" t="s">
        <v>781</v>
      </c>
      <c r="G125" t="s">
        <v>36</v>
      </c>
      <c r="J125" t="s">
        <v>386</v>
      </c>
      <c r="K125" t="s">
        <v>782</v>
      </c>
      <c r="L125" t="s">
        <v>590</v>
      </c>
      <c r="M125" t="s">
        <v>783</v>
      </c>
      <c r="N125" t="s">
        <v>784</v>
      </c>
      <c r="O125" t="s">
        <v>785</v>
      </c>
      <c r="P125" s="46" t="str" cm="1">
        <f t="array" aca="1" ref="P125" ca="1">IFERROR(_xlfn.XLOOKUP(tblPedidos[[#This Row],[id_dropi]],tblNotas[[#This Row],[id__dropi]],tblNotas[[#This Row],[Notas Manuales]], “”, 0),"")</f>
        <v/>
      </c>
      <c r="Q125" t="s">
        <v>786</v>
      </c>
      <c r="R125" t="s">
        <v>787</v>
      </c>
      <c r="S125">
        <v>25511.5</v>
      </c>
      <c r="T125">
        <v>-11990.800000000001</v>
      </c>
      <c r="U125" cm="1">
        <f t="array" ref="U125">IFERROR(_xlfn.IFS(tblPedidos[[#This Row],[estado_operativo]]="ENTREGADO",tblPedidos[[#This Row],[ganancia_calc]],tblPedidos[[#This Row],[estado_operativo]]="DEVOLUCION",tblPedidos[[#This Row],[costo_devolucion_estimado]]),0)</f>
        <v>0</v>
      </c>
      <c r="V125">
        <v>0</v>
      </c>
      <c r="W125">
        <v>54900</v>
      </c>
      <c r="X125">
        <v>14988.5</v>
      </c>
      <c r="Y125">
        <v>14400</v>
      </c>
      <c r="Z125" s="11">
        <v>46043</v>
      </c>
      <c r="AA125">
        <v>1</v>
      </c>
      <c r="AB125" s="12">
        <v>0.56736111111111109</v>
      </c>
      <c r="AC125" t="s">
        <v>788</v>
      </c>
      <c r="AD125" t="s">
        <v>399</v>
      </c>
      <c r="AE125" t="s">
        <v>386</v>
      </c>
    </row>
    <row r="126" spans="1:31">
      <c r="A126" t="s">
        <v>33</v>
      </c>
      <c r="C126">
        <v>889</v>
      </c>
      <c r="D126" t="s">
        <v>789</v>
      </c>
      <c r="E126" s="11">
        <v>46041</v>
      </c>
      <c r="F126" t="s">
        <v>790</v>
      </c>
      <c r="G126" t="s">
        <v>36</v>
      </c>
      <c r="J126" t="s">
        <v>386</v>
      </c>
      <c r="K126" t="s">
        <v>791</v>
      </c>
      <c r="L126" t="s">
        <v>81</v>
      </c>
      <c r="M126" t="s">
        <v>272</v>
      </c>
      <c r="N126" t="s">
        <v>792</v>
      </c>
      <c r="O126" t="s">
        <v>793</v>
      </c>
      <c r="P126" s="46" t="str" cm="1">
        <f t="array" aca="1" ref="P126" ca="1">IFERROR(_xlfn.XLOOKUP(tblPedidos[[#This Row],[id_dropi]],tblNotas[[#This Row],[id__dropi]],tblNotas[[#This Row],[Notas Manuales]], “”, 0),"")</f>
        <v/>
      </c>
      <c r="Q126" t="s">
        <v>794</v>
      </c>
      <c r="R126" t="s">
        <v>787</v>
      </c>
      <c r="S126">
        <v>20736.5</v>
      </c>
      <c r="T126">
        <v>-11810.800000000001</v>
      </c>
      <c r="U126" cm="1">
        <f t="array" ref="U126">IFERROR(_xlfn.IFS(tblPedidos[[#This Row],[estado_operativo]]="ENTREGADO",tblPedidos[[#This Row],[ganancia_calc]],tblPedidos[[#This Row],[estado_operativo]]="DEVOLUCION",tblPedidos[[#This Row],[costo_devolucion_estimado]]),0)</f>
        <v>0</v>
      </c>
      <c r="V126">
        <v>0</v>
      </c>
      <c r="W126">
        <v>49900</v>
      </c>
      <c r="X126">
        <v>14763.5</v>
      </c>
      <c r="Y126">
        <v>14400</v>
      </c>
      <c r="Z126" s="11">
        <v>46043</v>
      </c>
      <c r="AA126">
        <v>1</v>
      </c>
      <c r="AB126" s="12">
        <v>0.56736111111111109</v>
      </c>
      <c r="AC126" t="s">
        <v>788</v>
      </c>
      <c r="AD126" t="s">
        <v>399</v>
      </c>
      <c r="AE126" t="s">
        <v>386</v>
      </c>
    </row>
    <row r="127" spans="1:31">
      <c r="A127" t="s">
        <v>33</v>
      </c>
      <c r="C127">
        <v>896</v>
      </c>
      <c r="D127" t="s">
        <v>795</v>
      </c>
      <c r="E127" s="11">
        <v>46041</v>
      </c>
      <c r="F127" t="s">
        <v>796</v>
      </c>
      <c r="G127" t="s">
        <v>45</v>
      </c>
      <c r="J127" t="s">
        <v>386</v>
      </c>
      <c r="K127" t="s">
        <v>797</v>
      </c>
      <c r="L127" t="s">
        <v>111</v>
      </c>
      <c r="M127" t="s">
        <v>798</v>
      </c>
      <c r="N127" t="s">
        <v>799</v>
      </c>
      <c r="O127" t="s">
        <v>800</v>
      </c>
      <c r="P127" s="46" t="str" cm="1">
        <f t="array" aca="1" ref="P127" ca="1">IFERROR(_xlfn.XLOOKUP(tblPedidos[[#This Row],[id_dropi]],tblNotas[[#This Row],[id__dropi]],tblNotas[[#This Row],[Notas Manuales]], “”, 0),"")</f>
        <v/>
      </c>
      <c r="Q127" t="s">
        <v>801</v>
      </c>
      <c r="R127" t="s">
        <v>732</v>
      </c>
      <c r="S127">
        <v>27529.5</v>
      </c>
      <c r="T127">
        <v>-18570.5</v>
      </c>
      <c r="U127" cm="1">
        <f t="array" ref="U127">IFERROR(_xlfn.IFS(tblPedidos[[#This Row],[estado_operativo]]="ENTREGADO",tblPedidos[[#This Row],[ganancia_calc]],tblPedidos[[#This Row],[estado_operativo]]="DEVOLUCION",tblPedidos[[#This Row],[costo_devolucion_estimado]]),0)</f>
        <v>0</v>
      </c>
      <c r="V127">
        <v>0</v>
      </c>
      <c r="W127">
        <v>74900</v>
      </c>
      <c r="X127">
        <v>18570.5</v>
      </c>
      <c r="Y127">
        <v>28800</v>
      </c>
      <c r="Z127" s="11">
        <v>46043</v>
      </c>
      <c r="AA127">
        <v>1</v>
      </c>
      <c r="AB127" s="12">
        <v>0.6166666666666667</v>
      </c>
      <c r="AC127" t="s">
        <v>779</v>
      </c>
      <c r="AD127" t="s">
        <v>709</v>
      </c>
      <c r="AE127" t="s">
        <v>386</v>
      </c>
    </row>
    <row r="128" spans="1:31">
      <c r="A128" t="s">
        <v>33</v>
      </c>
      <c r="C128">
        <v>903</v>
      </c>
      <c r="D128" t="s">
        <v>802</v>
      </c>
      <c r="E128" s="11">
        <v>46041</v>
      </c>
      <c r="F128" t="s">
        <v>803</v>
      </c>
      <c r="G128" t="s">
        <v>45</v>
      </c>
      <c r="J128" t="s">
        <v>386</v>
      </c>
      <c r="K128" t="s">
        <v>804</v>
      </c>
      <c r="L128" t="s">
        <v>322</v>
      </c>
      <c r="M128" t="s">
        <v>805</v>
      </c>
      <c r="N128" t="s">
        <v>806</v>
      </c>
      <c r="O128" t="s">
        <v>807</v>
      </c>
      <c r="P128" s="46" t="str" cm="1">
        <f t="array" aca="1" ref="P128" ca="1">IFERROR(_xlfn.XLOOKUP(tblPedidos[[#This Row],[id_dropi]],tblNotas[[#This Row],[id__dropi]],tblNotas[[#This Row],[Notas Manuales]], “”, 0),"")</f>
        <v/>
      </c>
      <c r="Q128" t="s">
        <v>808</v>
      </c>
      <c r="R128" t="s">
        <v>732</v>
      </c>
      <c r="S128">
        <v>27529.5</v>
      </c>
      <c r="T128">
        <v>-18570.5</v>
      </c>
      <c r="U128" cm="1">
        <f t="array" ref="U128">IFERROR(_xlfn.IFS(tblPedidos[[#This Row],[estado_operativo]]="ENTREGADO",tblPedidos[[#This Row],[ganancia_calc]],tblPedidos[[#This Row],[estado_operativo]]="DEVOLUCION",tblPedidos[[#This Row],[costo_devolucion_estimado]]),0)</f>
        <v>0</v>
      </c>
      <c r="V128">
        <v>0</v>
      </c>
      <c r="W128">
        <v>74900</v>
      </c>
      <c r="X128">
        <v>18570.5</v>
      </c>
      <c r="Y128">
        <v>28800</v>
      </c>
      <c r="Z128" s="11">
        <v>46043</v>
      </c>
      <c r="AA128">
        <v>1</v>
      </c>
      <c r="AB128" s="12">
        <v>0.6166666666666667</v>
      </c>
      <c r="AC128" t="s">
        <v>779</v>
      </c>
      <c r="AD128" t="s">
        <v>709</v>
      </c>
      <c r="AE128" t="s">
        <v>386</v>
      </c>
    </row>
    <row r="129" spans="1:31">
      <c r="A129" t="s">
        <v>33</v>
      </c>
      <c r="C129">
        <v>902</v>
      </c>
      <c r="D129" t="s">
        <v>809</v>
      </c>
      <c r="E129" s="11">
        <v>46041</v>
      </c>
      <c r="F129" t="s">
        <v>810</v>
      </c>
      <c r="G129" t="s">
        <v>45</v>
      </c>
      <c r="J129" t="s">
        <v>386</v>
      </c>
      <c r="K129" t="s">
        <v>811</v>
      </c>
      <c r="L129" t="s">
        <v>38</v>
      </c>
      <c r="M129" t="s">
        <v>812</v>
      </c>
      <c r="N129" t="s">
        <v>813</v>
      </c>
      <c r="O129" t="s">
        <v>814</v>
      </c>
      <c r="P129" s="46" t="str" cm="1">
        <f t="array" aca="1" ref="P129" ca="1">IFERROR(_xlfn.XLOOKUP(tblPedidos[[#This Row],[id_dropi]],tblNotas[[#This Row],[id__dropi]],tblNotas[[#This Row],[Notas Manuales]], “”, 0),"")</f>
        <v/>
      </c>
      <c r="Q129" t="s">
        <v>815</v>
      </c>
      <c r="R129" t="s">
        <v>732</v>
      </c>
      <c r="S129">
        <v>27529.5</v>
      </c>
      <c r="T129">
        <v>-18570.5</v>
      </c>
      <c r="U129" cm="1">
        <f t="array" ref="U129">IFERROR(_xlfn.IFS(tblPedidos[[#This Row],[estado_operativo]]="ENTREGADO",tblPedidos[[#This Row],[ganancia_calc]],tblPedidos[[#This Row],[estado_operativo]]="DEVOLUCION",tblPedidos[[#This Row],[costo_devolucion_estimado]]),0)</f>
        <v>0</v>
      </c>
      <c r="V129">
        <v>0</v>
      </c>
      <c r="W129">
        <v>74900</v>
      </c>
      <c r="X129">
        <v>18570.5</v>
      </c>
      <c r="Y129">
        <v>28800</v>
      </c>
      <c r="Z129" s="11">
        <v>46043</v>
      </c>
      <c r="AA129">
        <v>1</v>
      </c>
      <c r="AB129" s="12">
        <v>0.6166666666666667</v>
      </c>
      <c r="AC129" t="s">
        <v>779</v>
      </c>
      <c r="AD129" t="s">
        <v>709</v>
      </c>
      <c r="AE129" t="s">
        <v>386</v>
      </c>
    </row>
    <row r="130" spans="1:31">
      <c r="A130" t="s">
        <v>33</v>
      </c>
      <c r="C130">
        <v>904</v>
      </c>
      <c r="D130" t="s">
        <v>816</v>
      </c>
      <c r="E130" s="11">
        <v>46041</v>
      </c>
      <c r="F130" t="s">
        <v>817</v>
      </c>
      <c r="G130" t="s">
        <v>45</v>
      </c>
      <c r="J130" t="s">
        <v>720</v>
      </c>
      <c r="K130" t="s">
        <v>818</v>
      </c>
      <c r="L130" t="s">
        <v>111</v>
      </c>
      <c r="M130" t="s">
        <v>695</v>
      </c>
      <c r="N130" t="s">
        <v>819</v>
      </c>
      <c r="O130" t="s">
        <v>820</v>
      </c>
      <c r="P130" s="46" t="str" cm="1">
        <f t="array" aca="1" ref="P130" ca="1">IFERROR(_xlfn.XLOOKUP(tblPedidos[[#This Row],[id_dropi]],tblNotas[[#This Row],[id__dropi]],tblNotas[[#This Row],[Notas Manuales]], “”, 0),"")</f>
        <v/>
      </c>
      <c r="Q130" t="s">
        <v>821</v>
      </c>
      <c r="R130" t="s">
        <v>822</v>
      </c>
      <c r="S130">
        <v>17004.5</v>
      </c>
      <c r="T130">
        <v>-17895.5</v>
      </c>
      <c r="U130" cm="1">
        <f t="array" ref="U130">IFERROR(_xlfn.IFS(tblPedidos[[#This Row],[estado_operativo]]="ENTREGADO",tblPedidos[[#This Row],[ganancia_calc]],tblPedidos[[#This Row],[estado_operativo]]="DEVOLUCION",tblPedidos[[#This Row],[costo_devolucion_estimado]]),0)</f>
        <v>17004.5</v>
      </c>
      <c r="V130">
        <v>0</v>
      </c>
      <c r="W130">
        <v>59900</v>
      </c>
      <c r="X130">
        <v>17895.5</v>
      </c>
      <c r="Y130">
        <v>25000</v>
      </c>
      <c r="Z130" s="11">
        <v>46043</v>
      </c>
      <c r="AA130">
        <v>1</v>
      </c>
      <c r="AB130" s="12">
        <v>0.67291666666666672</v>
      </c>
      <c r="AC130" t="s">
        <v>725</v>
      </c>
      <c r="AD130" t="s">
        <v>720</v>
      </c>
      <c r="AE130" t="s">
        <v>720</v>
      </c>
    </row>
    <row r="131" spans="1:31">
      <c r="A131" t="s">
        <v>33</v>
      </c>
      <c r="C131">
        <v>906</v>
      </c>
      <c r="D131" t="s">
        <v>823</v>
      </c>
      <c r="E131" s="11">
        <v>46041</v>
      </c>
      <c r="F131" t="s">
        <v>824</v>
      </c>
      <c r="G131" t="s">
        <v>45</v>
      </c>
      <c r="J131" t="s">
        <v>522</v>
      </c>
      <c r="K131" t="s">
        <v>825</v>
      </c>
      <c r="L131" t="s">
        <v>125</v>
      </c>
      <c r="M131" t="s">
        <v>826</v>
      </c>
      <c r="N131" t="s">
        <v>827</v>
      </c>
      <c r="O131" t="s">
        <v>828</v>
      </c>
      <c r="P131" s="46" t="str" cm="1">
        <f t="array" aca="1" ref="P131" ca="1">IFERROR(_xlfn.XLOOKUP(tblPedidos[[#This Row],[id_dropi]],tblNotas[[#This Row],[id__dropi]],tblNotas[[#This Row],[Notas Manuales]], “”, 0),"")</f>
        <v/>
      </c>
      <c r="Q131" t="s">
        <v>50</v>
      </c>
      <c r="R131" t="s">
        <v>829</v>
      </c>
      <c r="S131">
        <v>15002.589999999997</v>
      </c>
      <c r="T131">
        <v>-17895.41</v>
      </c>
      <c r="U131" cm="1">
        <f t="array" ref="U131">IFERROR(_xlfn.IFS(tblPedidos[[#This Row],[estado_operativo]]="ENTREGADO",tblPedidos[[#This Row],[ganancia_calc]],tblPedidos[[#This Row],[estado_operativo]]="DEVOLUCION",tblPedidos[[#This Row],[costo_devolucion_estimado]]),0)</f>
        <v>0</v>
      </c>
      <c r="V131">
        <v>0</v>
      </c>
      <c r="W131">
        <v>59898</v>
      </c>
      <c r="X131">
        <v>17895.41</v>
      </c>
      <c r="Y131">
        <v>27000</v>
      </c>
      <c r="Z131" s="11">
        <v>46043</v>
      </c>
      <c r="AA131">
        <v>1</v>
      </c>
      <c r="AB131" s="12">
        <v>0.67291666666666672</v>
      </c>
      <c r="AC131" t="s">
        <v>716</v>
      </c>
      <c r="AD131" t="s">
        <v>717</v>
      </c>
      <c r="AE131" t="s">
        <v>522</v>
      </c>
    </row>
    <row r="132" spans="1:31">
      <c r="A132" t="s">
        <v>33</v>
      </c>
      <c r="C132">
        <v>905</v>
      </c>
      <c r="D132" t="s">
        <v>830</v>
      </c>
      <c r="E132" s="11">
        <v>46041</v>
      </c>
      <c r="F132" t="s">
        <v>831</v>
      </c>
      <c r="G132" t="s">
        <v>45</v>
      </c>
      <c r="J132" t="s">
        <v>386</v>
      </c>
      <c r="K132" t="s">
        <v>832</v>
      </c>
      <c r="L132" t="s">
        <v>166</v>
      </c>
      <c r="M132" t="s">
        <v>468</v>
      </c>
      <c r="N132" t="s">
        <v>833</v>
      </c>
      <c r="O132" t="s">
        <v>834</v>
      </c>
      <c r="P132" s="46" t="str" cm="1">
        <f t="array" aca="1" ref="P132" ca="1">IFERROR(_xlfn.XLOOKUP(tblPedidos[[#This Row],[id_dropi]],tblNotas[[#This Row],[id__dropi]],tblNotas[[#This Row],[Notas Manuales]], “”, 0),"")</f>
        <v/>
      </c>
      <c r="Q132" t="s">
        <v>835</v>
      </c>
      <c r="R132" t="s">
        <v>787</v>
      </c>
      <c r="S132">
        <v>22829.5</v>
      </c>
      <c r="T132">
        <v>-17670.5</v>
      </c>
      <c r="U132" cm="1">
        <f t="array" ref="U132">IFERROR(_xlfn.IFS(tblPedidos[[#This Row],[estado_operativo]]="ENTREGADO",tblPedidos[[#This Row],[ganancia_calc]],tblPedidos[[#This Row],[estado_operativo]]="DEVOLUCION",tblPedidos[[#This Row],[costo_devolucion_estimado]]),0)</f>
        <v>0</v>
      </c>
      <c r="V132">
        <v>0</v>
      </c>
      <c r="W132">
        <v>54900</v>
      </c>
      <c r="X132">
        <v>17670.5</v>
      </c>
      <c r="Y132">
        <v>14400</v>
      </c>
      <c r="Z132" s="11">
        <v>46043</v>
      </c>
      <c r="AA132">
        <v>1</v>
      </c>
      <c r="AB132" s="12">
        <v>0.6166666666666667</v>
      </c>
      <c r="AC132" t="s">
        <v>779</v>
      </c>
      <c r="AD132" t="s">
        <v>709</v>
      </c>
      <c r="AE132" t="s">
        <v>386</v>
      </c>
    </row>
    <row r="133" spans="1:31">
      <c r="A133" t="s">
        <v>33</v>
      </c>
      <c r="C133">
        <v>898</v>
      </c>
      <c r="D133" t="s">
        <v>836</v>
      </c>
      <c r="E133" s="11">
        <v>46041</v>
      </c>
      <c r="F133" t="s">
        <v>837</v>
      </c>
      <c r="G133" t="s">
        <v>36</v>
      </c>
      <c r="J133" t="s">
        <v>386</v>
      </c>
      <c r="K133" t="s">
        <v>838</v>
      </c>
      <c r="L133" t="s">
        <v>81</v>
      </c>
      <c r="M133" t="s">
        <v>118</v>
      </c>
      <c r="N133" t="s">
        <v>839</v>
      </c>
      <c r="O133" t="s">
        <v>840</v>
      </c>
      <c r="P133" s="46" t="str" cm="1">
        <f t="array" aca="1" ref="P133" ca="1">IFERROR(_xlfn.XLOOKUP(tblPedidos[[#This Row],[id_dropi]],tblNotas[[#This Row],[id__dropi]],tblNotas[[#This Row],[Notas Manuales]], “”, 0),"")</f>
        <v/>
      </c>
      <c r="R133" t="s">
        <v>822</v>
      </c>
      <c r="S133">
        <v>19686.5</v>
      </c>
      <c r="T133">
        <v>-12170.800000000001</v>
      </c>
      <c r="U133" cm="1">
        <f t="array" ref="U133">IFERROR(_xlfn.IFS(tblPedidos[[#This Row],[estado_operativo]]="ENTREGADO",tblPedidos[[#This Row],[ganancia_calc]],tblPedidos[[#This Row],[estado_operativo]]="DEVOLUCION",tblPedidos[[#This Row],[costo_devolucion_estimado]]),0)</f>
        <v>0</v>
      </c>
      <c r="V133">
        <v>0</v>
      </c>
      <c r="W133">
        <v>59900</v>
      </c>
      <c r="X133">
        <v>15213.5</v>
      </c>
      <c r="Y133">
        <v>25000</v>
      </c>
      <c r="Z133" s="11">
        <v>46042</v>
      </c>
      <c r="AA133">
        <v>2</v>
      </c>
      <c r="AB133" s="12">
        <v>0.38819444444444445</v>
      </c>
      <c r="AC133" t="s">
        <v>788</v>
      </c>
      <c r="AD133" t="s">
        <v>399</v>
      </c>
      <c r="AE133" t="s">
        <v>386</v>
      </c>
    </row>
    <row r="134" spans="1:31">
      <c r="A134" t="s">
        <v>33</v>
      </c>
      <c r="C134">
        <v>897</v>
      </c>
      <c r="D134" t="s">
        <v>841</v>
      </c>
      <c r="E134" s="11">
        <v>46041</v>
      </c>
      <c r="F134" t="s">
        <v>842</v>
      </c>
      <c r="G134" t="s">
        <v>36</v>
      </c>
      <c r="J134" t="s">
        <v>386</v>
      </c>
      <c r="K134" t="s">
        <v>843</v>
      </c>
      <c r="L134" t="s">
        <v>54</v>
      </c>
      <c r="M134" t="s">
        <v>844</v>
      </c>
      <c r="N134" t="s">
        <v>845</v>
      </c>
      <c r="O134" t="s">
        <v>846</v>
      </c>
      <c r="P134" s="46" t="str" cm="1">
        <f t="array" aca="1" ref="P134" ca="1">IFERROR(_xlfn.XLOOKUP(tblPedidos[[#This Row],[id_dropi]],tblNotas[[#This Row],[id__dropi]],tblNotas[[#This Row],[Notas Manuales]], “”, 0),"")</f>
        <v/>
      </c>
      <c r="R134" t="s">
        <v>847</v>
      </c>
      <c r="S134">
        <v>28336.5</v>
      </c>
      <c r="T134">
        <v>-13250.800000000001</v>
      </c>
      <c r="U134" cm="1">
        <f t="array" ref="U134">IFERROR(_xlfn.IFS(tblPedidos[[#This Row],[estado_operativo]]="ENTREGADO",tblPedidos[[#This Row],[ganancia_calc]],tblPedidos[[#This Row],[estado_operativo]]="DEVOLUCION",tblPedidos[[#This Row],[costo_devolucion_estimado]]),0)</f>
        <v>0</v>
      </c>
      <c r="V134">
        <v>0</v>
      </c>
      <c r="W134">
        <v>89900</v>
      </c>
      <c r="X134">
        <v>16563.5</v>
      </c>
      <c r="Y134">
        <v>45000</v>
      </c>
      <c r="Z134" s="11">
        <v>46042</v>
      </c>
      <c r="AA134">
        <v>2</v>
      </c>
      <c r="AB134" s="12">
        <v>0.38819444444444445</v>
      </c>
      <c r="AC134" t="s">
        <v>788</v>
      </c>
      <c r="AD134" t="s">
        <v>399</v>
      </c>
      <c r="AE134" t="s">
        <v>386</v>
      </c>
    </row>
    <row r="135" spans="1:31">
      <c r="A135" t="s">
        <v>33</v>
      </c>
      <c r="C135">
        <v>899</v>
      </c>
      <c r="D135" t="s">
        <v>848</v>
      </c>
      <c r="E135" s="11">
        <v>46041</v>
      </c>
      <c r="F135" t="s">
        <v>849</v>
      </c>
      <c r="G135" t="s">
        <v>36</v>
      </c>
      <c r="J135" t="s">
        <v>386</v>
      </c>
      <c r="K135" t="s">
        <v>850</v>
      </c>
      <c r="L135" t="s">
        <v>166</v>
      </c>
      <c r="M135" t="s">
        <v>851</v>
      </c>
      <c r="N135" t="s">
        <v>852</v>
      </c>
      <c r="O135" t="s">
        <v>853</v>
      </c>
      <c r="P135" s="46" t="str" cm="1">
        <f t="array" aca="1" ref="P135" ca="1">IFERROR(_xlfn.XLOOKUP(tblPedidos[[#This Row],[id_dropi]],tblNotas[[#This Row],[id__dropi]],tblNotas[[#This Row],[Notas Manuales]], “”, 0),"")</f>
        <v/>
      </c>
      <c r="Q135" t="s">
        <v>854</v>
      </c>
      <c r="R135" t="s">
        <v>855</v>
      </c>
      <c r="S135">
        <v>32886.5</v>
      </c>
      <c r="T135">
        <v>-13610.800000000001</v>
      </c>
      <c r="U135" cm="1">
        <f t="array" ref="U135">IFERROR(_xlfn.IFS(tblPedidos[[#This Row],[estado_operativo]]="ENTREGADO",tblPedidos[[#This Row],[ganancia_calc]],tblPedidos[[#This Row],[estado_operativo]]="DEVOLUCION",tblPedidos[[#This Row],[costo_devolucion_estimado]]),0)</f>
        <v>0</v>
      </c>
      <c r="V135">
        <v>0</v>
      </c>
      <c r="W135">
        <v>99900</v>
      </c>
      <c r="X135">
        <v>17013.5</v>
      </c>
      <c r="Y135">
        <v>50000</v>
      </c>
      <c r="Z135" s="11">
        <v>46042</v>
      </c>
      <c r="AA135">
        <v>2</v>
      </c>
      <c r="AB135" s="12">
        <v>0.38680555555555557</v>
      </c>
      <c r="AC135" t="s">
        <v>788</v>
      </c>
      <c r="AD135" t="s">
        <v>399</v>
      </c>
      <c r="AE135" t="s">
        <v>386</v>
      </c>
    </row>
    <row r="136" spans="1:31">
      <c r="A136" t="s">
        <v>33</v>
      </c>
      <c r="C136">
        <v>901</v>
      </c>
      <c r="D136" t="s">
        <v>856</v>
      </c>
      <c r="E136" s="11">
        <v>46041</v>
      </c>
      <c r="F136" t="s">
        <v>857</v>
      </c>
      <c r="G136" t="s">
        <v>45</v>
      </c>
      <c r="J136" t="s">
        <v>386</v>
      </c>
      <c r="K136" t="s">
        <v>858</v>
      </c>
      <c r="L136" t="s">
        <v>152</v>
      </c>
      <c r="M136" t="s">
        <v>153</v>
      </c>
      <c r="N136" t="s">
        <v>859</v>
      </c>
      <c r="O136" t="s">
        <v>860</v>
      </c>
      <c r="P136" s="46" t="str" cm="1">
        <f t="array" aca="1" ref="P136" ca="1">IFERROR(_xlfn.XLOOKUP(tblPedidos[[#This Row],[id_dropi]],tblNotas[[#This Row],[id__dropi]],tblNotas[[#This Row],[Notas Manuales]], “”, 0),"")</f>
        <v/>
      </c>
      <c r="Q136" t="s">
        <v>861</v>
      </c>
      <c r="R136" t="s">
        <v>787</v>
      </c>
      <c r="S136">
        <v>22829.5</v>
      </c>
      <c r="T136">
        <v>-17670.5</v>
      </c>
      <c r="U136" cm="1">
        <f t="array" ref="U136">IFERROR(_xlfn.IFS(tblPedidos[[#This Row],[estado_operativo]]="ENTREGADO",tblPedidos[[#This Row],[ganancia_calc]],tblPedidos[[#This Row],[estado_operativo]]="DEVOLUCION",tblPedidos[[#This Row],[costo_devolucion_estimado]]),0)</f>
        <v>0</v>
      </c>
      <c r="V136">
        <v>0</v>
      </c>
      <c r="W136">
        <v>54900</v>
      </c>
      <c r="X136">
        <v>17670.5</v>
      </c>
      <c r="Y136">
        <v>14400</v>
      </c>
      <c r="Z136" s="11">
        <v>46043</v>
      </c>
      <c r="AA136">
        <v>1</v>
      </c>
      <c r="AB136" s="12">
        <v>0.6166666666666667</v>
      </c>
      <c r="AC136" t="s">
        <v>779</v>
      </c>
      <c r="AD136" t="s">
        <v>709</v>
      </c>
      <c r="AE136" t="s">
        <v>386</v>
      </c>
    </row>
    <row r="137" spans="1:31">
      <c r="A137" t="s">
        <v>33</v>
      </c>
      <c r="C137">
        <v>900</v>
      </c>
      <c r="D137" t="s">
        <v>862</v>
      </c>
      <c r="E137" s="11">
        <v>46041</v>
      </c>
      <c r="F137" t="s">
        <v>863</v>
      </c>
      <c r="G137" t="s">
        <v>45</v>
      </c>
      <c r="J137" t="s">
        <v>386</v>
      </c>
      <c r="K137" t="s">
        <v>864</v>
      </c>
      <c r="L137" t="s">
        <v>46</v>
      </c>
      <c r="M137" t="s">
        <v>100</v>
      </c>
      <c r="N137" t="s">
        <v>865</v>
      </c>
      <c r="O137" t="s">
        <v>866</v>
      </c>
      <c r="P137" s="46" t="str" cm="1">
        <f t="array" aca="1" ref="P137" ca="1">IFERROR(_xlfn.XLOOKUP(tblPedidos[[#This Row],[id_dropi]],tblNotas[[#This Row],[id__dropi]],tblNotas[[#This Row],[Notas Manuales]], “”, 0),"")</f>
        <v/>
      </c>
      <c r="Q137" t="s">
        <v>867</v>
      </c>
      <c r="R137" t="s">
        <v>787</v>
      </c>
      <c r="S137">
        <v>28779.5</v>
      </c>
      <c r="T137">
        <v>-11720.5</v>
      </c>
      <c r="U137" cm="1">
        <f t="array" ref="U137">IFERROR(_xlfn.IFS(tblPedidos[[#This Row],[estado_operativo]]="ENTREGADO",tblPedidos[[#This Row],[ganancia_calc]],tblPedidos[[#This Row],[estado_operativo]]="DEVOLUCION",tblPedidos[[#This Row],[costo_devolucion_estimado]]),0)</f>
        <v>0</v>
      </c>
      <c r="V137">
        <v>0</v>
      </c>
      <c r="W137">
        <v>54900</v>
      </c>
      <c r="X137">
        <v>11720.5</v>
      </c>
      <c r="Y137">
        <v>14400</v>
      </c>
      <c r="Z137" s="11">
        <v>46043</v>
      </c>
      <c r="AA137">
        <v>1</v>
      </c>
      <c r="AB137" s="12">
        <v>0.6166666666666667</v>
      </c>
      <c r="AC137" t="s">
        <v>779</v>
      </c>
      <c r="AD137" t="s">
        <v>709</v>
      </c>
      <c r="AE137" t="s">
        <v>386</v>
      </c>
    </row>
    <row r="138" spans="1:31">
      <c r="A138" t="s">
        <v>33</v>
      </c>
      <c r="C138">
        <v>885</v>
      </c>
      <c r="D138" t="s">
        <v>868</v>
      </c>
      <c r="E138" s="11">
        <v>46041</v>
      </c>
      <c r="F138" t="s">
        <v>869</v>
      </c>
      <c r="G138" t="s">
        <v>45</v>
      </c>
      <c r="J138" t="s">
        <v>522</v>
      </c>
      <c r="K138" t="s">
        <v>870</v>
      </c>
      <c r="L138" t="s">
        <v>74</v>
      </c>
      <c r="M138" t="s">
        <v>871</v>
      </c>
      <c r="N138" t="s">
        <v>872</v>
      </c>
      <c r="O138" t="s">
        <v>873</v>
      </c>
      <c r="P138" s="46" t="str" cm="1">
        <f t="array" aca="1" ref="P138" ca="1">IFERROR(_xlfn.XLOOKUP(tblPedidos[[#This Row],[id_dropi]],tblNotas[[#This Row],[id__dropi]],tblNotas[[#This Row],[Notas Manuales]], “”, 0),"")</f>
        <v/>
      </c>
      <c r="R138" t="s">
        <v>822</v>
      </c>
      <c r="S138">
        <v>17004.5</v>
      </c>
      <c r="T138">
        <v>-17895.5</v>
      </c>
      <c r="U138" cm="1">
        <f t="array" ref="U138">IFERROR(_xlfn.IFS(tblPedidos[[#This Row],[estado_operativo]]="ENTREGADO",tblPedidos[[#This Row],[ganancia_calc]],tblPedidos[[#This Row],[estado_operativo]]="DEVOLUCION",tblPedidos[[#This Row],[costo_devolucion_estimado]]),0)</f>
        <v>0</v>
      </c>
      <c r="V138">
        <v>0</v>
      </c>
      <c r="W138">
        <v>59900</v>
      </c>
      <c r="X138">
        <v>17895.5</v>
      </c>
      <c r="Y138">
        <v>25000</v>
      </c>
      <c r="Z138" s="11">
        <v>46043</v>
      </c>
      <c r="AA138">
        <v>1</v>
      </c>
      <c r="AB138" s="12">
        <v>0.67291666666666672</v>
      </c>
      <c r="AC138" t="s">
        <v>716</v>
      </c>
      <c r="AD138" t="s">
        <v>717</v>
      </c>
      <c r="AE138" t="s">
        <v>522</v>
      </c>
    </row>
    <row r="139" spans="1:31">
      <c r="A139" t="s">
        <v>33</v>
      </c>
      <c r="C139">
        <v>870</v>
      </c>
      <c r="D139" t="s">
        <v>874</v>
      </c>
      <c r="E139" s="11">
        <v>46041</v>
      </c>
      <c r="F139" t="s">
        <v>875</v>
      </c>
      <c r="G139" t="s">
        <v>45</v>
      </c>
      <c r="J139" t="s">
        <v>522</v>
      </c>
      <c r="K139" t="s">
        <v>876</v>
      </c>
      <c r="L139" t="s">
        <v>136</v>
      </c>
      <c r="M139" t="s">
        <v>877</v>
      </c>
      <c r="N139" t="s">
        <v>878</v>
      </c>
      <c r="O139" t="s">
        <v>879</v>
      </c>
      <c r="P139" s="46" t="str" cm="1">
        <f t="array" aca="1" ref="P139" ca="1">IFERROR(_xlfn.XLOOKUP(tblPedidos[[#This Row],[id_dropi]],tblNotas[[#This Row],[id__dropi]],tblNotas[[#This Row],[Notas Manuales]], “”, 0),"")</f>
        <v/>
      </c>
      <c r="Q139" t="s">
        <v>50</v>
      </c>
      <c r="R139" t="s">
        <v>822</v>
      </c>
      <c r="S139">
        <v>17004.5</v>
      </c>
      <c r="T139">
        <v>-17895.5</v>
      </c>
      <c r="U139" cm="1">
        <f t="array" ref="U139">IFERROR(_xlfn.IFS(tblPedidos[[#This Row],[estado_operativo]]="ENTREGADO",tblPedidos[[#This Row],[ganancia_calc]],tblPedidos[[#This Row],[estado_operativo]]="DEVOLUCION",tblPedidos[[#This Row],[costo_devolucion_estimado]]),0)</f>
        <v>0</v>
      </c>
      <c r="V139">
        <v>0</v>
      </c>
      <c r="W139">
        <v>59900</v>
      </c>
      <c r="X139">
        <v>17895.5</v>
      </c>
      <c r="Y139">
        <v>25000</v>
      </c>
      <c r="Z139" s="11">
        <v>46043</v>
      </c>
      <c r="AA139">
        <v>1</v>
      </c>
      <c r="AB139" s="12">
        <v>0.67291666666666672</v>
      </c>
      <c r="AC139" t="s">
        <v>716</v>
      </c>
      <c r="AD139" t="s">
        <v>717</v>
      </c>
      <c r="AE139" t="s">
        <v>522</v>
      </c>
    </row>
    <row r="140" spans="1:31">
      <c r="A140" t="s">
        <v>33</v>
      </c>
      <c r="C140">
        <v>869</v>
      </c>
      <c r="D140" t="s">
        <v>880</v>
      </c>
      <c r="E140" s="11">
        <v>46041</v>
      </c>
      <c r="F140" t="s">
        <v>881</v>
      </c>
      <c r="G140" t="s">
        <v>45</v>
      </c>
      <c r="J140" t="s">
        <v>386</v>
      </c>
      <c r="K140" t="s">
        <v>882</v>
      </c>
      <c r="L140" t="s">
        <v>545</v>
      </c>
      <c r="M140" t="s">
        <v>883</v>
      </c>
      <c r="N140" t="s">
        <v>884</v>
      </c>
      <c r="O140" t="s">
        <v>885</v>
      </c>
      <c r="P140" s="46" t="str" cm="1">
        <f t="array" aca="1" ref="P140" ca="1">IFERROR(_xlfn.XLOOKUP(tblPedidos[[#This Row],[id_dropi]],tblNotas[[#This Row],[id__dropi]],tblNotas[[#This Row],[Notas Manuales]], “”, 0),"")</f>
        <v/>
      </c>
      <c r="Q140" t="s">
        <v>886</v>
      </c>
      <c r="R140" t="s">
        <v>732</v>
      </c>
      <c r="S140">
        <v>27529.5</v>
      </c>
      <c r="T140">
        <v>-18570.5</v>
      </c>
      <c r="U140" cm="1">
        <f t="array" ref="U140">IFERROR(_xlfn.IFS(tblPedidos[[#This Row],[estado_operativo]]="ENTREGADO",tblPedidos[[#This Row],[ganancia_calc]],tblPedidos[[#This Row],[estado_operativo]]="DEVOLUCION",tblPedidos[[#This Row],[costo_devolucion_estimado]]),0)</f>
        <v>0</v>
      </c>
      <c r="V140">
        <v>0</v>
      </c>
      <c r="W140">
        <v>74900</v>
      </c>
      <c r="X140">
        <v>18570.5</v>
      </c>
      <c r="Y140">
        <v>28800</v>
      </c>
      <c r="Z140" s="11">
        <v>46043</v>
      </c>
      <c r="AA140">
        <v>1</v>
      </c>
      <c r="AB140" s="12">
        <v>0.6166666666666667</v>
      </c>
      <c r="AC140" t="s">
        <v>779</v>
      </c>
      <c r="AD140" t="s">
        <v>709</v>
      </c>
      <c r="AE140" t="s">
        <v>386</v>
      </c>
    </row>
    <row r="141" spans="1:31">
      <c r="A141" t="s">
        <v>33</v>
      </c>
      <c r="C141">
        <v>871</v>
      </c>
      <c r="D141" t="s">
        <v>887</v>
      </c>
      <c r="E141" s="11">
        <v>46041</v>
      </c>
      <c r="F141" t="s">
        <v>888</v>
      </c>
      <c r="G141" t="s">
        <v>45</v>
      </c>
      <c r="J141" t="s">
        <v>386</v>
      </c>
      <c r="K141" t="s">
        <v>889</v>
      </c>
      <c r="L141" t="s">
        <v>328</v>
      </c>
      <c r="M141" t="s">
        <v>890</v>
      </c>
      <c r="N141" t="s">
        <v>891</v>
      </c>
      <c r="O141" t="s">
        <v>892</v>
      </c>
      <c r="P141" s="46" t="str" cm="1">
        <f t="array" aca="1" ref="P141" ca="1">IFERROR(_xlfn.XLOOKUP(tblPedidos[[#This Row],[id_dropi]],tblNotas[[#This Row],[id__dropi]],tblNotas[[#This Row],[Notas Manuales]], “”, 0),"")</f>
        <v/>
      </c>
      <c r="Q141" t="s">
        <v>893</v>
      </c>
      <c r="R141" t="s">
        <v>732</v>
      </c>
      <c r="S141">
        <v>27529.5</v>
      </c>
      <c r="T141">
        <v>-18570.5</v>
      </c>
      <c r="U141" cm="1">
        <f t="array" ref="U141">IFERROR(_xlfn.IFS(tblPedidos[[#This Row],[estado_operativo]]="ENTREGADO",tblPedidos[[#This Row],[ganancia_calc]],tblPedidos[[#This Row],[estado_operativo]]="DEVOLUCION",tblPedidos[[#This Row],[costo_devolucion_estimado]]),0)</f>
        <v>0</v>
      </c>
      <c r="V141">
        <v>0</v>
      </c>
      <c r="W141">
        <v>74900</v>
      </c>
      <c r="X141">
        <v>18570.5</v>
      </c>
      <c r="Y141">
        <v>28800</v>
      </c>
      <c r="Z141" s="11">
        <v>46043</v>
      </c>
      <c r="AA141">
        <v>1</v>
      </c>
      <c r="AB141" s="12">
        <v>0.6166666666666667</v>
      </c>
      <c r="AC141" t="s">
        <v>779</v>
      </c>
      <c r="AD141" t="s">
        <v>709</v>
      </c>
      <c r="AE141" t="s">
        <v>386</v>
      </c>
    </row>
    <row r="142" spans="1:31">
      <c r="A142" t="s">
        <v>33</v>
      </c>
      <c r="C142">
        <v>873</v>
      </c>
      <c r="D142" t="s">
        <v>894</v>
      </c>
      <c r="E142" s="11">
        <v>46041</v>
      </c>
      <c r="F142" t="s">
        <v>895</v>
      </c>
      <c r="G142" t="s">
        <v>45</v>
      </c>
      <c r="J142" t="s">
        <v>522</v>
      </c>
      <c r="K142" t="s">
        <v>896</v>
      </c>
      <c r="L142" t="s">
        <v>166</v>
      </c>
      <c r="M142" t="s">
        <v>468</v>
      </c>
      <c r="N142" t="s">
        <v>897</v>
      </c>
      <c r="O142" t="s">
        <v>898</v>
      </c>
      <c r="P142" s="46" t="str" cm="1">
        <f t="array" aca="1" ref="P142" ca="1">IFERROR(_xlfn.XLOOKUP(tblPedidos[[#This Row],[id_dropi]],tblNotas[[#This Row],[id__dropi]],tblNotas[[#This Row],[Notas Manuales]], “”, 0),"")</f>
        <v/>
      </c>
      <c r="R142" t="s">
        <v>739</v>
      </c>
      <c r="S142">
        <v>20654.5</v>
      </c>
      <c r="T142">
        <v>-19245.5</v>
      </c>
      <c r="U142" cm="1">
        <f t="array" ref="U142">IFERROR(_xlfn.IFS(tblPedidos[[#This Row],[estado_operativo]]="ENTREGADO",tblPedidos[[#This Row],[ganancia_calc]],tblPedidos[[#This Row],[estado_operativo]]="DEVOLUCION",tblPedidos[[#This Row],[costo_devolucion_estimado]]),0)</f>
        <v>0</v>
      </c>
      <c r="V142">
        <v>0</v>
      </c>
      <c r="W142">
        <v>89900</v>
      </c>
      <c r="X142">
        <v>19245.5</v>
      </c>
      <c r="Y142">
        <v>50000</v>
      </c>
      <c r="Z142" s="11">
        <v>46043</v>
      </c>
      <c r="AA142">
        <v>1</v>
      </c>
      <c r="AB142" s="12">
        <v>0.67500000000000004</v>
      </c>
      <c r="AC142" t="s">
        <v>716</v>
      </c>
      <c r="AD142" t="s">
        <v>717</v>
      </c>
      <c r="AE142" t="s">
        <v>522</v>
      </c>
    </row>
    <row r="143" spans="1:31">
      <c r="A143" t="s">
        <v>33</v>
      </c>
      <c r="C143">
        <v>872</v>
      </c>
      <c r="D143" t="s">
        <v>899</v>
      </c>
      <c r="E143" s="11">
        <v>46041</v>
      </c>
      <c r="F143" t="s">
        <v>900</v>
      </c>
      <c r="G143" t="s">
        <v>45</v>
      </c>
      <c r="J143" t="s">
        <v>720</v>
      </c>
      <c r="K143" t="s">
        <v>901</v>
      </c>
      <c r="L143" t="s">
        <v>46</v>
      </c>
      <c r="M143" t="s">
        <v>100</v>
      </c>
      <c r="N143" t="s">
        <v>902</v>
      </c>
      <c r="O143" t="s">
        <v>903</v>
      </c>
      <c r="P143" s="46" t="str" cm="1">
        <f t="array" aca="1" ref="P143" ca="1">IFERROR(_xlfn.XLOOKUP(tblPedidos[[#This Row],[id_dropi]],tblNotas[[#This Row],[id__dropi]],tblNotas[[#This Row],[Notas Manuales]], “”, 0),"")</f>
        <v/>
      </c>
      <c r="R143" t="s">
        <v>822</v>
      </c>
      <c r="S143">
        <v>22954.5</v>
      </c>
      <c r="T143">
        <v>-11945.5</v>
      </c>
      <c r="U143" cm="1">
        <f t="array" ref="U143">IFERROR(_xlfn.IFS(tblPedidos[[#This Row],[estado_operativo]]="ENTREGADO",tblPedidos[[#This Row],[ganancia_calc]],tblPedidos[[#This Row],[estado_operativo]]="DEVOLUCION",tblPedidos[[#This Row],[costo_devolucion_estimado]]),0)</f>
        <v>22954.5</v>
      </c>
      <c r="V143">
        <v>0</v>
      </c>
      <c r="W143">
        <v>59900</v>
      </c>
      <c r="X143">
        <v>11945.5</v>
      </c>
      <c r="Y143">
        <v>25000</v>
      </c>
      <c r="Z143" s="11">
        <v>46043</v>
      </c>
      <c r="AA143">
        <v>1</v>
      </c>
      <c r="AB143" s="12">
        <v>0.67291666666666672</v>
      </c>
      <c r="AC143" t="s">
        <v>725</v>
      </c>
      <c r="AD143" t="s">
        <v>720</v>
      </c>
      <c r="AE143" t="s">
        <v>720</v>
      </c>
    </row>
    <row r="144" spans="1:31">
      <c r="A144" t="s">
        <v>33</v>
      </c>
      <c r="C144">
        <v>865</v>
      </c>
      <c r="D144" t="s">
        <v>904</v>
      </c>
      <c r="E144" s="11">
        <v>46041</v>
      </c>
      <c r="F144" t="s">
        <v>905</v>
      </c>
      <c r="G144" t="s">
        <v>45</v>
      </c>
      <c r="J144" t="s">
        <v>386</v>
      </c>
      <c r="K144" t="s">
        <v>906</v>
      </c>
      <c r="L144" t="s">
        <v>159</v>
      </c>
      <c r="M144" t="s">
        <v>907</v>
      </c>
      <c r="N144" t="s">
        <v>908</v>
      </c>
      <c r="O144" t="s">
        <v>909</v>
      </c>
      <c r="P144" s="46" t="str" cm="1">
        <f t="array" aca="1" ref="P144" ca="1">IFERROR(_xlfn.XLOOKUP(tblPedidos[[#This Row],[id_dropi]],tblNotas[[#This Row],[id__dropi]],tblNotas[[#This Row],[Notas Manuales]], “”, 0),"")</f>
        <v/>
      </c>
      <c r="Q144" t="s">
        <v>910</v>
      </c>
      <c r="R144" t="s">
        <v>787</v>
      </c>
      <c r="S144">
        <v>22829.5</v>
      </c>
      <c r="T144">
        <v>-17670.5</v>
      </c>
      <c r="U144" cm="1">
        <f t="array" ref="U144">IFERROR(_xlfn.IFS(tblPedidos[[#This Row],[estado_operativo]]="ENTREGADO",tblPedidos[[#This Row],[ganancia_calc]],tblPedidos[[#This Row],[estado_operativo]]="DEVOLUCION",tblPedidos[[#This Row],[costo_devolucion_estimado]]),0)</f>
        <v>0</v>
      </c>
      <c r="V144">
        <v>0</v>
      </c>
      <c r="W144">
        <v>54900</v>
      </c>
      <c r="X144">
        <v>17670.5</v>
      </c>
      <c r="Y144">
        <v>14400</v>
      </c>
      <c r="Z144" s="11">
        <v>46043</v>
      </c>
      <c r="AA144">
        <v>1</v>
      </c>
      <c r="AB144" s="12">
        <v>0.6166666666666667</v>
      </c>
      <c r="AC144" t="s">
        <v>779</v>
      </c>
      <c r="AD144" t="s">
        <v>709</v>
      </c>
      <c r="AE144" t="s">
        <v>386</v>
      </c>
    </row>
    <row r="145" spans="1:31">
      <c r="A145" t="s">
        <v>33</v>
      </c>
      <c r="C145">
        <v>864</v>
      </c>
      <c r="D145" t="s">
        <v>911</v>
      </c>
      <c r="E145" s="11">
        <v>46041</v>
      </c>
      <c r="F145" t="s">
        <v>912</v>
      </c>
      <c r="G145" t="s">
        <v>36</v>
      </c>
      <c r="J145" t="s">
        <v>720</v>
      </c>
      <c r="K145" t="s">
        <v>913</v>
      </c>
      <c r="L145" t="s">
        <v>81</v>
      </c>
      <c r="M145" t="s">
        <v>914</v>
      </c>
      <c r="N145" t="s">
        <v>915</v>
      </c>
      <c r="O145" t="s">
        <v>916</v>
      </c>
      <c r="P145" s="46" t="str" cm="1">
        <f t="array" aca="1" ref="P145" ca="1">IFERROR(_xlfn.XLOOKUP(tblPedidos[[#This Row],[id_dropi]],tblNotas[[#This Row],[id__dropi]],tblNotas[[#This Row],[Notas Manuales]], “”, 0),"")</f>
        <v/>
      </c>
      <c r="R145" t="s">
        <v>917</v>
      </c>
      <c r="S145">
        <v>34242.5</v>
      </c>
      <c r="T145">
        <v>-9766</v>
      </c>
      <c r="U145" cm="1">
        <f t="array" ref="U145">IFERROR(_xlfn.IFS(tblPedidos[[#This Row],[estado_operativo]]="ENTREGADO",tblPedidos[[#This Row],[ganancia_calc]],tblPedidos[[#This Row],[estado_operativo]]="DEVOLUCION",tblPedidos[[#This Row],[costo_devolucion_estimado]]),0)</f>
        <v>34242.5</v>
      </c>
      <c r="V145">
        <v>0</v>
      </c>
      <c r="W145">
        <v>69900</v>
      </c>
      <c r="X145">
        <v>12207.5</v>
      </c>
      <c r="Y145">
        <v>23450</v>
      </c>
      <c r="Z145" s="11">
        <v>46042</v>
      </c>
      <c r="AA145">
        <v>2</v>
      </c>
      <c r="AB145" s="12">
        <v>0.88194444444444442</v>
      </c>
      <c r="AC145" t="s">
        <v>399</v>
      </c>
      <c r="AD145" t="s">
        <v>720</v>
      </c>
      <c r="AE145" t="s">
        <v>720</v>
      </c>
    </row>
    <row r="146" spans="1:31">
      <c r="A146" t="s">
        <v>33</v>
      </c>
      <c r="C146">
        <v>866</v>
      </c>
      <c r="D146" t="s">
        <v>918</v>
      </c>
      <c r="E146" s="11">
        <v>46041</v>
      </c>
      <c r="F146" t="s">
        <v>919</v>
      </c>
      <c r="G146" t="s">
        <v>36</v>
      </c>
      <c r="J146" t="s">
        <v>386</v>
      </c>
      <c r="K146" t="s">
        <v>920</v>
      </c>
      <c r="L146" t="s">
        <v>322</v>
      </c>
      <c r="M146" t="s">
        <v>323</v>
      </c>
      <c r="N146" t="s">
        <v>921</v>
      </c>
      <c r="O146" t="s">
        <v>922</v>
      </c>
      <c r="P146" s="46" t="str" cm="1">
        <f t="array" aca="1" ref="P146" ca="1">IFERROR(_xlfn.XLOOKUP(tblPedidos[[#This Row],[id_dropi]],tblNotas[[#This Row],[id__dropi]],tblNotas[[#This Row],[Notas Manuales]], “”, 0),"")</f>
        <v/>
      </c>
      <c r="R146" t="s">
        <v>822</v>
      </c>
      <c r="S146">
        <v>19686.5</v>
      </c>
      <c r="T146">
        <v>-12170.800000000001</v>
      </c>
      <c r="U146" cm="1">
        <f t="array" ref="U146">IFERROR(_xlfn.IFS(tblPedidos[[#This Row],[estado_operativo]]="ENTREGADO",tblPedidos[[#This Row],[ganancia_calc]],tblPedidos[[#This Row],[estado_operativo]]="DEVOLUCION",tblPedidos[[#This Row],[costo_devolucion_estimado]]),0)</f>
        <v>0</v>
      </c>
      <c r="V146">
        <v>0</v>
      </c>
      <c r="W146">
        <v>59900</v>
      </c>
      <c r="X146">
        <v>15213.5</v>
      </c>
      <c r="Y146">
        <v>25000</v>
      </c>
      <c r="Z146" s="11">
        <v>46042</v>
      </c>
      <c r="AA146">
        <v>2</v>
      </c>
      <c r="AB146" s="12">
        <v>0.38819444444444445</v>
      </c>
      <c r="AC146" t="s">
        <v>788</v>
      </c>
      <c r="AD146" t="s">
        <v>399</v>
      </c>
      <c r="AE146" t="s">
        <v>386</v>
      </c>
    </row>
    <row r="147" spans="1:31">
      <c r="A147" t="s">
        <v>33</v>
      </c>
      <c r="C147">
        <v>868</v>
      </c>
      <c r="D147" t="s">
        <v>923</v>
      </c>
      <c r="E147" s="11">
        <v>46041</v>
      </c>
      <c r="F147" t="s">
        <v>924</v>
      </c>
      <c r="G147" t="s">
        <v>45</v>
      </c>
      <c r="J147" t="s">
        <v>386</v>
      </c>
      <c r="K147" t="s">
        <v>925</v>
      </c>
      <c r="L147" t="s">
        <v>46</v>
      </c>
      <c r="M147" t="s">
        <v>100</v>
      </c>
      <c r="N147" t="s">
        <v>926</v>
      </c>
      <c r="O147" t="s">
        <v>927</v>
      </c>
      <c r="P147" s="46" t="str" cm="1">
        <f t="array" aca="1" ref="P147" ca="1">IFERROR(_xlfn.XLOOKUP(tblPedidos[[#This Row],[id_dropi]],tblNotas[[#This Row],[id__dropi]],tblNotas[[#This Row],[Notas Manuales]], “”, 0),"")</f>
        <v/>
      </c>
      <c r="Q147" t="s">
        <v>928</v>
      </c>
      <c r="R147" t="s">
        <v>787</v>
      </c>
      <c r="S147">
        <v>28779.5</v>
      </c>
      <c r="T147">
        <v>-11720.5</v>
      </c>
      <c r="U147" cm="1">
        <f t="array" ref="U147">IFERROR(_xlfn.IFS(tblPedidos[[#This Row],[estado_operativo]]="ENTREGADO",tblPedidos[[#This Row],[ganancia_calc]],tblPedidos[[#This Row],[estado_operativo]]="DEVOLUCION",tblPedidos[[#This Row],[costo_devolucion_estimado]]),0)</f>
        <v>0</v>
      </c>
      <c r="V147">
        <v>0</v>
      </c>
      <c r="W147">
        <v>54900</v>
      </c>
      <c r="X147">
        <v>11720.5</v>
      </c>
      <c r="Y147">
        <v>14400</v>
      </c>
      <c r="Z147" s="11">
        <v>46043</v>
      </c>
      <c r="AA147">
        <v>1</v>
      </c>
      <c r="AB147" s="12">
        <v>0.6166666666666667</v>
      </c>
      <c r="AC147" t="s">
        <v>779</v>
      </c>
      <c r="AD147" t="s">
        <v>709</v>
      </c>
      <c r="AE147" t="s">
        <v>386</v>
      </c>
    </row>
    <row r="148" spans="1:31">
      <c r="A148" t="s">
        <v>33</v>
      </c>
      <c r="C148">
        <v>867</v>
      </c>
      <c r="D148" t="s">
        <v>929</v>
      </c>
      <c r="E148" s="11">
        <v>46041</v>
      </c>
      <c r="F148" t="s">
        <v>930</v>
      </c>
      <c r="G148" t="s">
        <v>45</v>
      </c>
      <c r="J148" t="s">
        <v>386</v>
      </c>
      <c r="K148" t="s">
        <v>931</v>
      </c>
      <c r="L148" t="s">
        <v>322</v>
      </c>
      <c r="M148" t="s">
        <v>932</v>
      </c>
      <c r="N148" t="s">
        <v>933</v>
      </c>
      <c r="O148" t="s">
        <v>934</v>
      </c>
      <c r="P148" s="46" t="str" cm="1">
        <f t="array" aca="1" ref="P148" ca="1">IFERROR(_xlfn.XLOOKUP(tblPedidos[[#This Row],[id_dropi]],tblNotas[[#This Row],[id__dropi]],tblNotas[[#This Row],[Notas Manuales]], “”, 0),"")</f>
        <v/>
      </c>
      <c r="Q148" t="s">
        <v>935</v>
      </c>
      <c r="R148" t="s">
        <v>732</v>
      </c>
      <c r="S148">
        <v>27529.5</v>
      </c>
      <c r="T148">
        <v>-18570.5</v>
      </c>
      <c r="U148" cm="1">
        <f t="array" ref="U148">IFERROR(_xlfn.IFS(tblPedidos[[#This Row],[estado_operativo]]="ENTREGADO",tblPedidos[[#This Row],[ganancia_calc]],tblPedidos[[#This Row],[estado_operativo]]="DEVOLUCION",tblPedidos[[#This Row],[costo_devolucion_estimado]]),0)</f>
        <v>0</v>
      </c>
      <c r="V148">
        <v>0</v>
      </c>
      <c r="W148">
        <v>74900</v>
      </c>
      <c r="X148">
        <v>18570.5</v>
      </c>
      <c r="Y148">
        <v>28800</v>
      </c>
      <c r="Z148" s="11">
        <v>46043</v>
      </c>
      <c r="AA148">
        <v>1</v>
      </c>
      <c r="AB148" s="12">
        <v>0.68958333333333333</v>
      </c>
      <c r="AC148" t="s">
        <v>936</v>
      </c>
      <c r="AD148" t="s">
        <v>936</v>
      </c>
      <c r="AE148" t="s">
        <v>386</v>
      </c>
    </row>
    <row r="149" spans="1:31">
      <c r="A149" t="s">
        <v>33</v>
      </c>
      <c r="C149">
        <v>874</v>
      </c>
      <c r="D149" t="s">
        <v>937</v>
      </c>
      <c r="E149" s="11">
        <v>46041</v>
      </c>
      <c r="F149" t="s">
        <v>938</v>
      </c>
      <c r="G149" t="s">
        <v>45</v>
      </c>
      <c r="J149" t="s">
        <v>939</v>
      </c>
      <c r="K149" t="s">
        <v>940</v>
      </c>
      <c r="L149" t="s">
        <v>46</v>
      </c>
      <c r="M149" t="s">
        <v>100</v>
      </c>
      <c r="N149" t="s">
        <v>941</v>
      </c>
      <c r="O149" t="s">
        <v>942</v>
      </c>
      <c r="P149" s="46" t="str" cm="1">
        <f t="array" aca="1" ref="P149" ca="1">IFERROR(_xlfn.XLOOKUP(tblPedidos[[#This Row],[id_dropi]],tblNotas[[#This Row],[id__dropi]],tblNotas[[#This Row],[Notas Manuales]], “”, 0),"")</f>
        <v/>
      </c>
      <c r="Q149" t="s">
        <v>943</v>
      </c>
      <c r="R149" t="s">
        <v>822</v>
      </c>
      <c r="S149">
        <v>22954.5</v>
      </c>
      <c r="T149">
        <v>-11945.5</v>
      </c>
      <c r="U149" cm="1">
        <f t="array" ref="U149">IFERROR(_xlfn.IFS(tblPedidos[[#This Row],[estado_operativo]]="ENTREGADO",tblPedidos[[#This Row],[ganancia_calc]],tblPedidos[[#This Row],[estado_operativo]]="DEVOLUCION",tblPedidos[[#This Row],[costo_devolucion_estimado]]),0)</f>
        <v>0</v>
      </c>
      <c r="V149">
        <v>0</v>
      </c>
      <c r="W149">
        <v>59900</v>
      </c>
      <c r="X149">
        <v>11945.5</v>
      </c>
      <c r="Y149">
        <v>25000</v>
      </c>
      <c r="Z149" s="11">
        <v>46043</v>
      </c>
      <c r="AA149">
        <v>1</v>
      </c>
      <c r="AB149" s="12">
        <v>0.67291666666666672</v>
      </c>
      <c r="AC149" t="s">
        <v>756</v>
      </c>
      <c r="AD149" t="s">
        <v>944</v>
      </c>
      <c r="AE149" t="s">
        <v>939</v>
      </c>
    </row>
    <row r="150" spans="1:31">
      <c r="A150" t="s">
        <v>33</v>
      </c>
      <c r="C150">
        <v>881</v>
      </c>
      <c r="D150" t="s">
        <v>945</v>
      </c>
      <c r="E150" s="11">
        <v>46041</v>
      </c>
      <c r="F150" t="s">
        <v>946</v>
      </c>
      <c r="G150" t="s">
        <v>36</v>
      </c>
      <c r="J150" t="s">
        <v>386</v>
      </c>
      <c r="K150" t="s">
        <v>947</v>
      </c>
      <c r="L150" t="s">
        <v>87</v>
      </c>
      <c r="M150" t="s">
        <v>743</v>
      </c>
      <c r="N150" t="s">
        <v>948</v>
      </c>
      <c r="O150" t="s">
        <v>949</v>
      </c>
      <c r="P150" s="46" t="str" cm="1">
        <f t="array" aca="1" ref="P150" ca="1">IFERROR(_xlfn.XLOOKUP(tblPedidos[[#This Row],[id_dropi]],tblNotas[[#This Row],[id__dropi]],tblNotas[[#This Row],[Notas Manuales]], “”, 0),"")</f>
        <v/>
      </c>
      <c r="R150" t="s">
        <v>950</v>
      </c>
      <c r="S150">
        <v>30786.5</v>
      </c>
      <c r="T150">
        <v>-12890.800000000001</v>
      </c>
      <c r="U150" cm="1">
        <f t="array" ref="U150">IFERROR(_xlfn.IFS(tblPedidos[[#This Row],[estado_operativo]]="ENTREGADO",tblPedidos[[#This Row],[ganancia_calc]],tblPedidos[[#This Row],[estado_operativo]]="DEVOLUCION",tblPedidos[[#This Row],[costo_devolucion_estimado]]),0)</f>
        <v>0</v>
      </c>
      <c r="V150">
        <v>0</v>
      </c>
      <c r="W150">
        <v>79900</v>
      </c>
      <c r="X150">
        <v>16113.5</v>
      </c>
      <c r="Y150">
        <v>33000</v>
      </c>
      <c r="Z150" s="11">
        <v>46042</v>
      </c>
      <c r="AA150">
        <v>2</v>
      </c>
      <c r="AB150" s="12">
        <v>0.38819444444444445</v>
      </c>
      <c r="AC150" t="s">
        <v>747</v>
      </c>
      <c r="AD150" t="s">
        <v>399</v>
      </c>
      <c r="AE150" t="s">
        <v>386</v>
      </c>
    </row>
    <row r="151" spans="1:31">
      <c r="A151" t="s">
        <v>33</v>
      </c>
      <c r="C151">
        <v>880</v>
      </c>
      <c r="D151" t="s">
        <v>951</v>
      </c>
      <c r="E151" s="11">
        <v>46041</v>
      </c>
      <c r="F151" t="s">
        <v>952</v>
      </c>
      <c r="G151" t="s">
        <v>36</v>
      </c>
      <c r="J151" t="s">
        <v>386</v>
      </c>
      <c r="K151" t="s">
        <v>953</v>
      </c>
      <c r="L151" t="s">
        <v>54</v>
      </c>
      <c r="M151" t="s">
        <v>373</v>
      </c>
      <c r="N151" t="s">
        <v>954</v>
      </c>
      <c r="O151" t="s">
        <v>955</v>
      </c>
      <c r="P151" s="46" t="str" cm="1">
        <f t="array" aca="1" ref="P151" ca="1">IFERROR(_xlfn.XLOOKUP(tblPedidos[[#This Row],[id_dropi]],tblNotas[[#This Row],[id__dropi]],tblNotas[[#This Row],[Notas Manuales]], “”, 0),"")</f>
        <v/>
      </c>
      <c r="R151" t="s">
        <v>822</v>
      </c>
      <c r="S151">
        <v>19686.5</v>
      </c>
      <c r="T151">
        <v>-12170.800000000001</v>
      </c>
      <c r="U151" cm="1">
        <f t="array" ref="U151">IFERROR(_xlfn.IFS(tblPedidos[[#This Row],[estado_operativo]]="ENTREGADO",tblPedidos[[#This Row],[ganancia_calc]],tblPedidos[[#This Row],[estado_operativo]]="DEVOLUCION",tblPedidos[[#This Row],[costo_devolucion_estimado]]),0)</f>
        <v>0</v>
      </c>
      <c r="V151">
        <v>0</v>
      </c>
      <c r="W151">
        <v>59900</v>
      </c>
      <c r="X151">
        <v>15213.5</v>
      </c>
      <c r="Y151">
        <v>25000</v>
      </c>
      <c r="Z151" s="11">
        <v>46042</v>
      </c>
      <c r="AA151">
        <v>2</v>
      </c>
      <c r="AB151" s="12">
        <v>0.38819444444444445</v>
      </c>
      <c r="AC151" t="s">
        <v>788</v>
      </c>
      <c r="AD151" t="s">
        <v>399</v>
      </c>
      <c r="AE151" t="s">
        <v>386</v>
      </c>
    </row>
    <row r="152" spans="1:31">
      <c r="A152" t="s">
        <v>33</v>
      </c>
      <c r="C152">
        <v>882</v>
      </c>
      <c r="D152" t="s">
        <v>956</v>
      </c>
      <c r="E152" s="11">
        <v>46041</v>
      </c>
      <c r="F152" t="s">
        <v>957</v>
      </c>
      <c r="G152" t="s">
        <v>958</v>
      </c>
      <c r="J152" t="s">
        <v>959</v>
      </c>
      <c r="K152" t="s">
        <v>960</v>
      </c>
      <c r="L152" t="s">
        <v>46</v>
      </c>
      <c r="M152" t="s">
        <v>100</v>
      </c>
      <c r="N152" t="s">
        <v>961</v>
      </c>
      <c r="O152" t="s">
        <v>962</v>
      </c>
      <c r="P152" s="46" t="str" cm="1">
        <f t="array" aca="1" ref="P152" ca="1">IFERROR(_xlfn.XLOOKUP(tblPedidos[[#This Row],[id_dropi]],tblNotas[[#This Row],[id__dropi]],tblNotas[[#This Row],[Notas Manuales]], “”, 0),"")</f>
        <v/>
      </c>
      <c r="R152" t="s">
        <v>963</v>
      </c>
      <c r="S152">
        <v>27128.5</v>
      </c>
      <c r="T152">
        <v>-10217.200000000001</v>
      </c>
      <c r="U152" cm="1">
        <f t="array" ref="U152">IFERROR(_xlfn.IFS(tblPedidos[[#This Row],[estado_operativo]]="ENTREGADO",tblPedidos[[#This Row],[ganancia_calc]],tblPedidos[[#This Row],[estado_operativo]]="DEVOLUCION",tblPedidos[[#This Row],[costo_devolucion_estimado]]),0)</f>
        <v>0</v>
      </c>
      <c r="V152">
        <v>0</v>
      </c>
      <c r="W152">
        <v>64900</v>
      </c>
      <c r="X152">
        <v>12771.5</v>
      </c>
      <c r="Y152">
        <v>25000</v>
      </c>
      <c r="Z152" s="11">
        <v>46043</v>
      </c>
      <c r="AA152">
        <v>1</v>
      </c>
      <c r="AB152" s="12">
        <v>0.55000000000000004</v>
      </c>
      <c r="AC152" t="s">
        <v>964</v>
      </c>
      <c r="AD152" t="s">
        <v>964</v>
      </c>
      <c r="AE152" t="s">
        <v>959</v>
      </c>
    </row>
    <row r="153" spans="1:31">
      <c r="A153" t="s">
        <v>33</v>
      </c>
      <c r="C153">
        <v>884</v>
      </c>
      <c r="D153" t="s">
        <v>965</v>
      </c>
      <c r="E153" s="11">
        <v>46041</v>
      </c>
      <c r="F153" t="s">
        <v>966</v>
      </c>
      <c r="G153" t="s">
        <v>45</v>
      </c>
      <c r="J153" t="s">
        <v>386</v>
      </c>
      <c r="K153" t="s">
        <v>967</v>
      </c>
      <c r="L153" t="s">
        <v>234</v>
      </c>
      <c r="M153" t="s">
        <v>254</v>
      </c>
      <c r="N153" t="s">
        <v>968</v>
      </c>
      <c r="O153" t="s">
        <v>969</v>
      </c>
      <c r="P153" s="46" t="str" cm="1">
        <f t="array" aca="1" ref="P153" ca="1">IFERROR(_xlfn.XLOOKUP(tblPedidos[[#This Row],[id_dropi]],tblNotas[[#This Row],[id__dropi]],tblNotas[[#This Row],[Notas Manuales]], “”, 0),"")</f>
        <v/>
      </c>
      <c r="R153" t="s">
        <v>963</v>
      </c>
      <c r="S153">
        <v>26554.5</v>
      </c>
      <c r="T153">
        <v>-18345.5</v>
      </c>
      <c r="U153" cm="1">
        <f t="array" ref="U153">IFERROR(_xlfn.IFS(tblPedidos[[#This Row],[estado_operativo]]="ENTREGADO",tblPedidos[[#This Row],[ganancia_calc]],tblPedidos[[#This Row],[estado_operativo]]="DEVOLUCION",tblPedidos[[#This Row],[costo_devolucion_estimado]]),0)</f>
        <v>0</v>
      </c>
      <c r="V153">
        <v>0</v>
      </c>
      <c r="W153">
        <v>69900</v>
      </c>
      <c r="X153">
        <v>18345.5</v>
      </c>
      <c r="Y153">
        <v>25000</v>
      </c>
      <c r="Z153" s="11">
        <v>46043</v>
      </c>
      <c r="AA153">
        <v>1</v>
      </c>
      <c r="AB153" s="12">
        <v>0.67361111111111116</v>
      </c>
      <c r="AC153" t="s">
        <v>708</v>
      </c>
      <c r="AD153" t="s">
        <v>709</v>
      </c>
      <c r="AE153" t="s">
        <v>386</v>
      </c>
    </row>
    <row r="154" spans="1:31">
      <c r="A154" t="s">
        <v>33</v>
      </c>
      <c r="C154">
        <v>883</v>
      </c>
      <c r="D154" t="s">
        <v>970</v>
      </c>
      <c r="E154" s="11">
        <v>46041</v>
      </c>
      <c r="F154" t="s">
        <v>971</v>
      </c>
      <c r="G154" t="s">
        <v>45</v>
      </c>
      <c r="J154" t="s">
        <v>522</v>
      </c>
      <c r="K154" t="s">
        <v>972</v>
      </c>
      <c r="L154" t="s">
        <v>46</v>
      </c>
      <c r="M154" t="s">
        <v>973</v>
      </c>
      <c r="N154" t="s">
        <v>974</v>
      </c>
      <c r="O154" t="s">
        <v>975</v>
      </c>
      <c r="P154" s="46" t="str" cm="1">
        <f t="array" aca="1" ref="P154" ca="1">IFERROR(_xlfn.XLOOKUP(tblPedidos[[#This Row],[id_dropi]],tblNotas[[#This Row],[id__dropi]],tblNotas[[#This Row],[Notas Manuales]], “”, 0),"")</f>
        <v/>
      </c>
      <c r="Q154" t="s">
        <v>50</v>
      </c>
      <c r="R154" t="s">
        <v>963</v>
      </c>
      <c r="S154">
        <v>26554.5</v>
      </c>
      <c r="T154">
        <v>-18345.5</v>
      </c>
      <c r="U154" cm="1">
        <f t="array" ref="U154">IFERROR(_xlfn.IFS(tblPedidos[[#This Row],[estado_operativo]]="ENTREGADO",tblPedidos[[#This Row],[ganancia_calc]],tblPedidos[[#This Row],[estado_operativo]]="DEVOLUCION",tblPedidos[[#This Row],[costo_devolucion_estimado]]),0)</f>
        <v>0</v>
      </c>
      <c r="V154">
        <v>0</v>
      </c>
      <c r="W154">
        <v>69900</v>
      </c>
      <c r="X154">
        <v>18345.5</v>
      </c>
      <c r="Y154">
        <v>25000</v>
      </c>
      <c r="Z154" s="11">
        <v>46043</v>
      </c>
      <c r="AA154">
        <v>1</v>
      </c>
      <c r="AB154" s="12">
        <v>0.67500000000000004</v>
      </c>
      <c r="AC154" t="s">
        <v>716</v>
      </c>
      <c r="AD154" t="s">
        <v>717</v>
      </c>
      <c r="AE154" t="s">
        <v>522</v>
      </c>
    </row>
    <row r="155" spans="1:31">
      <c r="A155" t="s">
        <v>33</v>
      </c>
      <c r="C155">
        <v>876</v>
      </c>
      <c r="D155" t="s">
        <v>976</v>
      </c>
      <c r="E155" s="11">
        <v>46041</v>
      </c>
      <c r="F155" t="s">
        <v>977</v>
      </c>
      <c r="G155" t="s">
        <v>45</v>
      </c>
      <c r="J155" t="s">
        <v>386</v>
      </c>
      <c r="K155" t="s">
        <v>978</v>
      </c>
      <c r="L155" t="s">
        <v>328</v>
      </c>
      <c r="M155" t="s">
        <v>979</v>
      </c>
      <c r="N155" t="s">
        <v>980</v>
      </c>
      <c r="O155" t="s">
        <v>981</v>
      </c>
      <c r="P155" s="46" t="str" cm="1">
        <f t="array" aca="1" ref="P155" ca="1">IFERROR(_xlfn.XLOOKUP(tblPedidos[[#This Row],[id_dropi]],tblNotas[[#This Row],[id__dropi]],tblNotas[[#This Row],[Notas Manuales]], “”, 0),"")</f>
        <v/>
      </c>
      <c r="Q155" t="s">
        <v>50</v>
      </c>
      <c r="R155" t="s">
        <v>822</v>
      </c>
      <c r="S155">
        <v>17004.5</v>
      </c>
      <c r="T155">
        <v>-17895.5</v>
      </c>
      <c r="U155" cm="1">
        <f t="array" ref="U155">IFERROR(_xlfn.IFS(tblPedidos[[#This Row],[estado_operativo]]="ENTREGADO",tblPedidos[[#This Row],[ganancia_calc]],tblPedidos[[#This Row],[estado_operativo]]="DEVOLUCION",tblPedidos[[#This Row],[costo_devolucion_estimado]]),0)</f>
        <v>0</v>
      </c>
      <c r="V155">
        <v>0</v>
      </c>
      <c r="W155">
        <v>59900</v>
      </c>
      <c r="X155">
        <v>17895.5</v>
      </c>
      <c r="Y155">
        <v>25000</v>
      </c>
      <c r="Z155" s="11">
        <v>46043</v>
      </c>
      <c r="AA155">
        <v>1</v>
      </c>
      <c r="AB155" s="12">
        <v>0.67291666666666672</v>
      </c>
      <c r="AC155" t="s">
        <v>982</v>
      </c>
      <c r="AD155" t="s">
        <v>709</v>
      </c>
      <c r="AE155" t="s">
        <v>386</v>
      </c>
    </row>
    <row r="156" spans="1:31">
      <c r="A156" t="s">
        <v>33</v>
      </c>
      <c r="C156">
        <v>875</v>
      </c>
      <c r="D156" t="s">
        <v>983</v>
      </c>
      <c r="E156" s="11">
        <v>46041</v>
      </c>
      <c r="F156" t="s">
        <v>984</v>
      </c>
      <c r="G156" t="s">
        <v>45</v>
      </c>
      <c r="J156" t="s">
        <v>522</v>
      </c>
      <c r="K156" t="s">
        <v>985</v>
      </c>
      <c r="L156" t="s">
        <v>61</v>
      </c>
      <c r="M156" t="s">
        <v>986</v>
      </c>
      <c r="N156" t="s">
        <v>987</v>
      </c>
      <c r="O156" t="s">
        <v>988</v>
      </c>
      <c r="P156" s="46" t="str" cm="1">
        <f t="array" aca="1" ref="P156" ca="1">IFERROR(_xlfn.XLOOKUP(tblPedidos[[#This Row],[id_dropi]],tblNotas[[#This Row],[id__dropi]],tblNotas[[#This Row],[Notas Manuales]], “”, 0),"")</f>
        <v/>
      </c>
      <c r="R156" t="s">
        <v>822</v>
      </c>
      <c r="S156">
        <v>17004.5</v>
      </c>
      <c r="T156">
        <v>-17895.5</v>
      </c>
      <c r="U156" cm="1">
        <f t="array" ref="U156">IFERROR(_xlfn.IFS(tblPedidos[[#This Row],[estado_operativo]]="ENTREGADO",tblPedidos[[#This Row],[ganancia_calc]],tblPedidos[[#This Row],[estado_operativo]]="DEVOLUCION",tblPedidos[[#This Row],[costo_devolucion_estimado]]),0)</f>
        <v>0</v>
      </c>
      <c r="V156">
        <v>0</v>
      </c>
      <c r="W156">
        <v>59900</v>
      </c>
      <c r="X156">
        <v>17895.5</v>
      </c>
      <c r="Y156">
        <v>25000</v>
      </c>
      <c r="Z156" s="11">
        <v>46043</v>
      </c>
      <c r="AA156">
        <v>1</v>
      </c>
      <c r="AB156" s="12">
        <v>0.67291666666666672</v>
      </c>
      <c r="AC156" t="s">
        <v>716</v>
      </c>
      <c r="AD156" t="s">
        <v>717</v>
      </c>
      <c r="AE156" t="s">
        <v>522</v>
      </c>
    </row>
    <row r="157" spans="1:31">
      <c r="A157" t="s">
        <v>33</v>
      </c>
      <c r="C157">
        <v>877</v>
      </c>
      <c r="D157" t="s">
        <v>989</v>
      </c>
      <c r="E157" s="11">
        <v>46041</v>
      </c>
      <c r="F157" t="s">
        <v>990</v>
      </c>
      <c r="G157" t="s">
        <v>45</v>
      </c>
      <c r="J157" t="s">
        <v>522</v>
      </c>
      <c r="K157" t="s">
        <v>991</v>
      </c>
      <c r="L157" t="s">
        <v>46</v>
      </c>
      <c r="M157" t="s">
        <v>992</v>
      </c>
      <c r="N157" t="s">
        <v>993</v>
      </c>
      <c r="O157" t="s">
        <v>994</v>
      </c>
      <c r="P157" s="46" t="str" cm="1">
        <f t="array" aca="1" ref="P157" ca="1">IFERROR(_xlfn.XLOOKUP(tblPedidos[[#This Row],[id_dropi]],tblNotas[[#This Row],[id__dropi]],tblNotas[[#This Row],[Notas Manuales]], “”, 0),"")</f>
        <v/>
      </c>
      <c r="R157" t="s">
        <v>917</v>
      </c>
      <c r="S157">
        <v>28104.5</v>
      </c>
      <c r="T157">
        <v>-18345.5</v>
      </c>
      <c r="U157" cm="1">
        <f t="array" ref="U157">IFERROR(_xlfn.IFS(tblPedidos[[#This Row],[estado_operativo]]="ENTREGADO",tblPedidos[[#This Row],[ganancia_calc]],tblPedidos[[#This Row],[estado_operativo]]="DEVOLUCION",tblPedidos[[#This Row],[costo_devolucion_estimado]]),0)</f>
        <v>0</v>
      </c>
      <c r="V157">
        <v>0</v>
      </c>
      <c r="W157">
        <v>69900</v>
      </c>
      <c r="X157">
        <v>18345.5</v>
      </c>
      <c r="Y157">
        <v>23450</v>
      </c>
      <c r="Z157" s="11">
        <v>46043</v>
      </c>
      <c r="AA157">
        <v>1</v>
      </c>
      <c r="AB157" s="12">
        <v>0.75624999999999998</v>
      </c>
      <c r="AC157" t="s">
        <v>716</v>
      </c>
      <c r="AD157" t="s">
        <v>717</v>
      </c>
      <c r="AE157" t="s">
        <v>522</v>
      </c>
    </row>
    <row r="158" spans="1:31">
      <c r="A158" t="s">
        <v>33</v>
      </c>
      <c r="C158">
        <v>879</v>
      </c>
      <c r="D158" t="s">
        <v>995</v>
      </c>
      <c r="E158" s="11">
        <v>46041</v>
      </c>
      <c r="F158" t="s">
        <v>996</v>
      </c>
      <c r="G158" t="s">
        <v>45</v>
      </c>
      <c r="J158" t="s">
        <v>522</v>
      </c>
      <c r="K158" t="s">
        <v>997</v>
      </c>
      <c r="L158" t="s">
        <v>46</v>
      </c>
      <c r="M158" t="s">
        <v>100</v>
      </c>
      <c r="N158" t="s">
        <v>998</v>
      </c>
      <c r="O158" t="s">
        <v>999</v>
      </c>
      <c r="P158" s="46" t="str" cm="1">
        <f t="array" aca="1" ref="P158" ca="1">IFERROR(_xlfn.XLOOKUP(tblPedidos[[#This Row],[id_dropi]],tblNotas[[#This Row],[id__dropi]],tblNotas[[#This Row],[Notas Manuales]], “”, 0),"")</f>
        <v/>
      </c>
      <c r="Q158" t="s">
        <v>148</v>
      </c>
      <c r="R158" t="s">
        <v>739</v>
      </c>
      <c r="S158">
        <v>20654.5</v>
      </c>
      <c r="T158">
        <v>-19245.5</v>
      </c>
      <c r="U158" cm="1">
        <f t="array" ref="U158">IFERROR(_xlfn.IFS(tblPedidos[[#This Row],[estado_operativo]]="ENTREGADO",tblPedidos[[#This Row],[ganancia_calc]],tblPedidos[[#This Row],[estado_operativo]]="DEVOLUCION",tblPedidos[[#This Row],[costo_devolucion_estimado]]),0)</f>
        <v>0</v>
      </c>
      <c r="V158">
        <v>0</v>
      </c>
      <c r="W158">
        <v>89900</v>
      </c>
      <c r="X158">
        <v>19245.5</v>
      </c>
      <c r="Y158">
        <v>50000</v>
      </c>
      <c r="Z158" s="11">
        <v>46043</v>
      </c>
      <c r="AA158">
        <v>1</v>
      </c>
      <c r="AB158" s="12">
        <v>0.67500000000000004</v>
      </c>
      <c r="AC158" t="s">
        <v>716</v>
      </c>
      <c r="AD158" t="s">
        <v>717</v>
      </c>
      <c r="AE158" t="s">
        <v>522</v>
      </c>
    </row>
    <row r="159" spans="1:31">
      <c r="A159" t="s">
        <v>33</v>
      </c>
      <c r="C159">
        <v>878</v>
      </c>
      <c r="D159" t="s">
        <v>1000</v>
      </c>
      <c r="E159" s="11">
        <v>46041</v>
      </c>
      <c r="F159" t="s">
        <v>1001</v>
      </c>
      <c r="G159" t="s">
        <v>45</v>
      </c>
      <c r="J159" t="s">
        <v>522</v>
      </c>
      <c r="K159" t="s">
        <v>1002</v>
      </c>
      <c r="L159" t="s">
        <v>54</v>
      </c>
      <c r="M159" t="s">
        <v>1003</v>
      </c>
      <c r="N159" t="s">
        <v>1004</v>
      </c>
      <c r="O159" t="s">
        <v>1005</v>
      </c>
      <c r="P159" s="46" t="str" cm="1">
        <f t="array" aca="1" ref="P159" ca="1">IFERROR(_xlfn.XLOOKUP(tblPedidos[[#This Row],[id_dropi]],tblNotas[[#This Row],[id__dropi]],tblNotas[[#This Row],[Notas Manuales]], “”, 0),"")</f>
        <v/>
      </c>
      <c r="Q159" t="s">
        <v>50</v>
      </c>
      <c r="R159" t="s">
        <v>1006</v>
      </c>
      <c r="S159">
        <v>21201</v>
      </c>
      <c r="T159">
        <v>-18699</v>
      </c>
      <c r="U159" cm="1">
        <f t="array" ref="U159">IFERROR(_xlfn.IFS(tblPedidos[[#This Row],[estado_operativo]]="ENTREGADO",tblPedidos[[#This Row],[ganancia_calc]],tblPedidos[[#This Row],[estado_operativo]]="DEVOLUCION",tblPedidos[[#This Row],[costo_devolucion_estimado]]),0)</f>
        <v>0</v>
      </c>
      <c r="V159">
        <v>0</v>
      </c>
      <c r="W159">
        <v>49900</v>
      </c>
      <c r="X159">
        <v>18699</v>
      </c>
      <c r="Y159">
        <v>10000</v>
      </c>
      <c r="Z159" s="11">
        <v>46043</v>
      </c>
      <c r="AA159">
        <v>1</v>
      </c>
      <c r="AB159" s="12">
        <v>0.67291666666666672</v>
      </c>
      <c r="AC159" t="s">
        <v>982</v>
      </c>
      <c r="AD159" t="s">
        <v>717</v>
      </c>
      <c r="AE159" t="s">
        <v>522</v>
      </c>
    </row>
    <row r="160" spans="1:31">
      <c r="A160" t="s">
        <v>33</v>
      </c>
      <c r="C160">
        <v>935</v>
      </c>
      <c r="D160" t="s">
        <v>1007</v>
      </c>
      <c r="E160" s="11">
        <v>46041</v>
      </c>
      <c r="F160" t="s">
        <v>1008</v>
      </c>
      <c r="G160" t="s">
        <v>45</v>
      </c>
      <c r="J160" t="s">
        <v>522</v>
      </c>
      <c r="K160" t="s">
        <v>1009</v>
      </c>
      <c r="L160" t="s">
        <v>54</v>
      </c>
      <c r="M160" t="s">
        <v>1003</v>
      </c>
      <c r="N160" t="s">
        <v>1010</v>
      </c>
      <c r="O160" t="s">
        <v>1011</v>
      </c>
      <c r="P160" s="46" t="str" cm="1">
        <f t="array" aca="1" ref="P160" ca="1">IFERROR(_xlfn.XLOOKUP(tblPedidos[[#This Row],[id_dropi]],tblNotas[[#This Row],[id__dropi]],tblNotas[[#This Row],[Notas Manuales]], “”, 0),"")</f>
        <v/>
      </c>
      <c r="R160" t="s">
        <v>1006</v>
      </c>
      <c r="S160">
        <v>21201</v>
      </c>
      <c r="T160">
        <v>-18699</v>
      </c>
      <c r="U160" cm="1">
        <f t="array" ref="U160">IFERROR(_xlfn.IFS(tblPedidos[[#This Row],[estado_operativo]]="ENTREGADO",tblPedidos[[#This Row],[ganancia_calc]],tblPedidos[[#This Row],[estado_operativo]]="DEVOLUCION",tblPedidos[[#This Row],[costo_devolucion_estimado]]),0)</f>
        <v>0</v>
      </c>
      <c r="V160">
        <v>0</v>
      </c>
      <c r="W160">
        <v>49900</v>
      </c>
      <c r="X160">
        <v>18699</v>
      </c>
      <c r="Y160">
        <v>10000</v>
      </c>
      <c r="Z160" s="11">
        <v>46043</v>
      </c>
      <c r="AA160">
        <v>1</v>
      </c>
      <c r="AB160" s="12">
        <v>0.67291666666666672</v>
      </c>
      <c r="AC160" t="s">
        <v>716</v>
      </c>
      <c r="AD160" t="s">
        <v>717</v>
      </c>
      <c r="AE160" t="s">
        <v>522</v>
      </c>
    </row>
    <row r="161" spans="1:31">
      <c r="A161" t="s">
        <v>33</v>
      </c>
      <c r="C161">
        <v>934</v>
      </c>
      <c r="D161" t="s">
        <v>1012</v>
      </c>
      <c r="E161" s="11">
        <v>46041</v>
      </c>
      <c r="F161" t="s">
        <v>1013</v>
      </c>
      <c r="G161" t="s">
        <v>45</v>
      </c>
      <c r="J161" t="s">
        <v>386</v>
      </c>
      <c r="K161" t="s">
        <v>1014</v>
      </c>
      <c r="L161" t="s">
        <v>166</v>
      </c>
      <c r="M161" t="s">
        <v>468</v>
      </c>
      <c r="N161" t="s">
        <v>1015</v>
      </c>
      <c r="O161" t="s">
        <v>1016</v>
      </c>
      <c r="P161" s="46" t="str" cm="1">
        <f t="array" aca="1" ref="P161" ca="1">IFERROR(_xlfn.XLOOKUP(tblPedidos[[#This Row],[id_dropi]],tblNotas[[#This Row],[id__dropi]],tblNotas[[#This Row],[Notas Manuales]], “”, 0),"")</f>
        <v/>
      </c>
      <c r="R161" t="s">
        <v>917</v>
      </c>
      <c r="S161">
        <v>28104.5</v>
      </c>
      <c r="T161">
        <v>-18345.5</v>
      </c>
      <c r="U161" cm="1">
        <f t="array" ref="U161">IFERROR(_xlfn.IFS(tblPedidos[[#This Row],[estado_operativo]]="ENTREGADO",tblPedidos[[#This Row],[ganancia_calc]],tblPedidos[[#This Row],[estado_operativo]]="DEVOLUCION",tblPedidos[[#This Row],[costo_devolucion_estimado]]),0)</f>
        <v>0</v>
      </c>
      <c r="V161">
        <v>0</v>
      </c>
      <c r="W161">
        <v>69900</v>
      </c>
      <c r="X161">
        <v>18345.5</v>
      </c>
      <c r="Y161">
        <v>23450</v>
      </c>
      <c r="Z161" s="11">
        <v>46043</v>
      </c>
      <c r="AA161">
        <v>1</v>
      </c>
      <c r="AB161" s="12">
        <v>0.75694444444444442</v>
      </c>
      <c r="AC161" t="s">
        <v>708</v>
      </c>
      <c r="AD161" t="s">
        <v>709</v>
      </c>
      <c r="AE161" t="s">
        <v>386</v>
      </c>
    </row>
    <row r="162" spans="1:31">
      <c r="A162" t="s">
        <v>33</v>
      </c>
      <c r="C162">
        <v>936</v>
      </c>
      <c r="D162" t="s">
        <v>1017</v>
      </c>
      <c r="E162" s="11">
        <v>46041</v>
      </c>
      <c r="F162" t="s">
        <v>1018</v>
      </c>
      <c r="G162" t="s">
        <v>45</v>
      </c>
      <c r="J162" t="s">
        <v>720</v>
      </c>
      <c r="K162" t="s">
        <v>1019</v>
      </c>
      <c r="L162" t="s">
        <v>136</v>
      </c>
      <c r="M162" t="s">
        <v>206</v>
      </c>
      <c r="N162" t="s">
        <v>1020</v>
      </c>
      <c r="O162" t="s">
        <v>1021</v>
      </c>
      <c r="P162" s="46" t="str" cm="1">
        <f t="array" aca="1" ref="P162" ca="1">IFERROR(_xlfn.XLOOKUP(tblPedidos[[#This Row],[id_dropi]],tblNotas[[#This Row],[id__dropi]],tblNotas[[#This Row],[Notas Manuales]], “”, 0),"")</f>
        <v/>
      </c>
      <c r="R162" t="s">
        <v>917</v>
      </c>
      <c r="S162">
        <v>23329.5</v>
      </c>
      <c r="T162">
        <v>-18120.5</v>
      </c>
      <c r="U162" cm="1">
        <f t="array" ref="U162">IFERROR(_xlfn.IFS(tblPedidos[[#This Row],[estado_operativo]]="ENTREGADO",tblPedidos[[#This Row],[ganancia_calc]],tblPedidos[[#This Row],[estado_operativo]]="DEVOLUCION",tblPedidos[[#This Row],[costo_devolucion_estimado]]),0)</f>
        <v>23329.5</v>
      </c>
      <c r="V162">
        <v>0</v>
      </c>
      <c r="W162">
        <v>64900</v>
      </c>
      <c r="X162">
        <v>18120.5</v>
      </c>
      <c r="Y162">
        <v>23450</v>
      </c>
      <c r="Z162" s="11">
        <v>46043</v>
      </c>
      <c r="AA162">
        <v>1</v>
      </c>
      <c r="AB162" s="12">
        <v>0.67500000000000004</v>
      </c>
      <c r="AC162" t="s">
        <v>750</v>
      </c>
      <c r="AD162" t="s">
        <v>720</v>
      </c>
      <c r="AE162" t="s">
        <v>720</v>
      </c>
    </row>
    <row r="163" spans="1:31">
      <c r="A163" t="s">
        <v>33</v>
      </c>
      <c r="C163">
        <v>938</v>
      </c>
      <c r="D163" t="s">
        <v>1022</v>
      </c>
      <c r="E163" s="11">
        <v>46041</v>
      </c>
      <c r="F163" t="s">
        <v>1023</v>
      </c>
      <c r="G163" t="s">
        <v>45</v>
      </c>
      <c r="J163" t="s">
        <v>750</v>
      </c>
      <c r="K163" t="s">
        <v>1024</v>
      </c>
      <c r="L163" t="s">
        <v>136</v>
      </c>
      <c r="M163" t="s">
        <v>206</v>
      </c>
      <c r="N163" t="s">
        <v>1025</v>
      </c>
      <c r="O163" t="s">
        <v>1026</v>
      </c>
      <c r="P163" s="46" t="str" cm="1">
        <f t="array" aca="1" ref="P163" ca="1">IFERROR(_xlfn.XLOOKUP(tblPedidos[[#This Row],[id_dropi]],tblNotas[[#This Row],[id__dropi]],tblNotas[[#This Row],[Notas Manuales]], “”, 0),"")</f>
        <v/>
      </c>
      <c r="R163" t="s">
        <v>772</v>
      </c>
      <c r="S163">
        <v>17004.5</v>
      </c>
      <c r="T163">
        <v>-17895.5</v>
      </c>
      <c r="U163" cm="1">
        <f t="array" ref="U163">IFERROR(_xlfn.IFS(tblPedidos[[#This Row],[estado_operativo]]="ENTREGADO",tblPedidos[[#This Row],[ganancia_calc]],tblPedidos[[#This Row],[estado_operativo]]="DEVOLUCION",tblPedidos[[#This Row],[costo_devolucion_estimado]]),0)</f>
        <v>0</v>
      </c>
      <c r="V163">
        <v>0</v>
      </c>
      <c r="W163">
        <v>59900</v>
      </c>
      <c r="X163">
        <v>17895.5</v>
      </c>
      <c r="Y163">
        <v>25000</v>
      </c>
      <c r="Z163" s="11">
        <v>46043</v>
      </c>
      <c r="AA163">
        <v>1</v>
      </c>
      <c r="AB163" s="12">
        <v>0.67500000000000004</v>
      </c>
      <c r="AC163" t="s">
        <v>750</v>
      </c>
      <c r="AD163" t="s">
        <v>1027</v>
      </c>
      <c r="AE163" t="s">
        <v>750</v>
      </c>
    </row>
    <row r="164" spans="1:31">
      <c r="A164" t="s">
        <v>33</v>
      </c>
      <c r="C164">
        <v>937</v>
      </c>
      <c r="D164" t="s">
        <v>1028</v>
      </c>
      <c r="E164" s="11">
        <v>46041</v>
      </c>
      <c r="F164" t="s">
        <v>1029</v>
      </c>
      <c r="G164" t="s">
        <v>45</v>
      </c>
      <c r="J164" t="s">
        <v>720</v>
      </c>
      <c r="K164" t="s">
        <v>1030</v>
      </c>
      <c r="L164" t="s">
        <v>54</v>
      </c>
      <c r="M164" t="s">
        <v>844</v>
      </c>
      <c r="N164" t="s">
        <v>1031</v>
      </c>
      <c r="O164" t="s">
        <v>1032</v>
      </c>
      <c r="P164" s="46" t="str" cm="1">
        <f t="array" aca="1" ref="P164" ca="1">IFERROR(_xlfn.XLOOKUP(tblPedidos[[#This Row],[id_dropi]],tblNotas[[#This Row],[id__dropi]],tblNotas[[#This Row],[Notas Manuales]], “”, 0),"")</f>
        <v/>
      </c>
      <c r="R164" t="s">
        <v>917</v>
      </c>
      <c r="S164">
        <v>32654.5</v>
      </c>
      <c r="T164">
        <v>-13795.5</v>
      </c>
      <c r="U164" cm="1">
        <f t="array" ref="U164">IFERROR(_xlfn.IFS(tblPedidos[[#This Row],[estado_operativo]]="ENTREGADO",tblPedidos[[#This Row],[ganancia_calc]],tblPedidos[[#This Row],[estado_operativo]]="DEVOLUCION",tblPedidos[[#This Row],[costo_devolucion_estimado]]),0)</f>
        <v>32654.5</v>
      </c>
      <c r="V164">
        <v>0</v>
      </c>
      <c r="W164">
        <v>69900</v>
      </c>
      <c r="X164">
        <v>13795.5</v>
      </c>
      <c r="Y164">
        <v>23450</v>
      </c>
      <c r="Z164" s="11">
        <v>46043</v>
      </c>
      <c r="AA164">
        <v>1</v>
      </c>
      <c r="AB164" s="12">
        <v>0.75624999999999998</v>
      </c>
      <c r="AC164" t="s">
        <v>725</v>
      </c>
      <c r="AD164" t="s">
        <v>720</v>
      </c>
      <c r="AE164" t="s">
        <v>720</v>
      </c>
    </row>
    <row r="165" spans="1:31">
      <c r="A165" t="s">
        <v>33</v>
      </c>
      <c r="C165">
        <v>930</v>
      </c>
      <c r="D165" t="s">
        <v>1033</v>
      </c>
      <c r="E165" s="11">
        <v>46041</v>
      </c>
      <c r="F165" t="s">
        <v>1034</v>
      </c>
      <c r="G165" t="s">
        <v>45</v>
      </c>
      <c r="J165" t="s">
        <v>386</v>
      </c>
      <c r="K165" t="s">
        <v>1035</v>
      </c>
      <c r="L165" t="s">
        <v>46</v>
      </c>
      <c r="M165" t="s">
        <v>100</v>
      </c>
      <c r="N165" t="s">
        <v>1036</v>
      </c>
      <c r="O165" t="s">
        <v>1037</v>
      </c>
      <c r="P165" s="46" t="str" cm="1">
        <f t="array" aca="1" ref="P165" ca="1">IFERROR(_xlfn.XLOOKUP(tblPedidos[[#This Row],[id_dropi]],tblNotas[[#This Row],[id__dropi]],tblNotas[[#This Row],[Notas Manuales]], “”, 0),"")</f>
        <v/>
      </c>
      <c r="R165" t="s">
        <v>1038</v>
      </c>
      <c r="S165">
        <v>17279.5</v>
      </c>
      <c r="T165">
        <v>-17670.5</v>
      </c>
      <c r="U165" cm="1">
        <f t="array" ref="U165">IFERROR(_xlfn.IFS(tblPedidos[[#This Row],[estado_operativo]]="ENTREGADO",tblPedidos[[#This Row],[ganancia_calc]],tblPedidos[[#This Row],[estado_operativo]]="DEVOLUCION",tblPedidos[[#This Row],[costo_devolucion_estimado]]),0)</f>
        <v>0</v>
      </c>
      <c r="V165">
        <v>0</v>
      </c>
      <c r="W165">
        <v>54900</v>
      </c>
      <c r="X165">
        <v>17670.5</v>
      </c>
      <c r="Y165">
        <v>19950</v>
      </c>
      <c r="Z165" s="11">
        <v>46043</v>
      </c>
      <c r="AA165">
        <v>1</v>
      </c>
      <c r="AB165" s="12">
        <v>0.50555555555555554</v>
      </c>
      <c r="AC165" t="s">
        <v>1039</v>
      </c>
      <c r="AD165" t="s">
        <v>709</v>
      </c>
      <c r="AE165" t="s">
        <v>386</v>
      </c>
    </row>
    <row r="166" spans="1:31">
      <c r="A166" t="s">
        <v>33</v>
      </c>
      <c r="C166">
        <v>929</v>
      </c>
      <c r="D166" t="s">
        <v>1040</v>
      </c>
      <c r="E166" s="11">
        <v>46041</v>
      </c>
      <c r="F166" t="s">
        <v>1041</v>
      </c>
      <c r="G166" t="s">
        <v>958</v>
      </c>
      <c r="J166" t="s">
        <v>959</v>
      </c>
      <c r="K166" t="s">
        <v>1042</v>
      </c>
      <c r="L166" t="s">
        <v>54</v>
      </c>
      <c r="M166" t="s">
        <v>373</v>
      </c>
      <c r="N166" t="s">
        <v>1043</v>
      </c>
      <c r="O166" t="s">
        <v>1044</v>
      </c>
      <c r="P166" s="46" t="str" cm="1">
        <f t="array" aca="1" ref="P166" ca="1">IFERROR(_xlfn.XLOOKUP(tblPedidos[[#This Row],[id_dropi]],tblNotas[[#This Row],[id__dropi]],tblNotas[[#This Row],[Notas Manuales]], “”, 0),"")</f>
        <v/>
      </c>
      <c r="R166" t="s">
        <v>739</v>
      </c>
      <c r="S166">
        <v>26253.5</v>
      </c>
      <c r="T166">
        <v>-10917.2</v>
      </c>
      <c r="U166" cm="1">
        <f t="array" ref="U166">IFERROR(_xlfn.IFS(tblPedidos[[#This Row],[estado_operativo]]="ENTREGADO",tblPedidos[[#This Row],[ganancia_calc]],tblPedidos[[#This Row],[estado_operativo]]="DEVOLUCION",tblPedidos[[#This Row],[costo_devolucion_estimado]]),0)</f>
        <v>0</v>
      </c>
      <c r="V166">
        <v>0</v>
      </c>
      <c r="W166">
        <v>89900</v>
      </c>
      <c r="X166">
        <v>13646.5</v>
      </c>
      <c r="Y166">
        <v>50000</v>
      </c>
      <c r="Z166" s="11">
        <v>46043</v>
      </c>
      <c r="AA166">
        <v>1</v>
      </c>
      <c r="AB166" s="12">
        <v>0.49236111111111114</v>
      </c>
      <c r="AC166" t="s">
        <v>964</v>
      </c>
      <c r="AD166" t="s">
        <v>964</v>
      </c>
      <c r="AE166" t="s">
        <v>959</v>
      </c>
    </row>
    <row r="167" spans="1:31">
      <c r="A167" t="s">
        <v>33</v>
      </c>
      <c r="C167">
        <v>931</v>
      </c>
      <c r="D167" t="s">
        <v>1045</v>
      </c>
      <c r="E167" s="11">
        <v>46041</v>
      </c>
      <c r="F167" t="s">
        <v>1046</v>
      </c>
      <c r="G167" t="s">
        <v>45</v>
      </c>
      <c r="J167" t="s">
        <v>720</v>
      </c>
      <c r="K167" t="s">
        <v>1047</v>
      </c>
      <c r="L167" t="s">
        <v>46</v>
      </c>
      <c r="M167" t="s">
        <v>100</v>
      </c>
      <c r="N167" t="s">
        <v>1048</v>
      </c>
      <c r="O167" t="s">
        <v>1049</v>
      </c>
      <c r="P167" s="46" t="str" cm="1">
        <f t="array" aca="1" ref="P167" ca="1">IFERROR(_xlfn.XLOOKUP(tblPedidos[[#This Row],[id_dropi]],tblNotas[[#This Row],[id__dropi]],tblNotas[[#This Row],[Notas Manuales]], “”, 0),"")</f>
        <v/>
      </c>
      <c r="R167" t="s">
        <v>1038</v>
      </c>
      <c r="S167">
        <v>17279.5</v>
      </c>
      <c r="T167">
        <v>-17670.5</v>
      </c>
      <c r="U167" cm="1">
        <f t="array" ref="U167">IFERROR(_xlfn.IFS(tblPedidos[[#This Row],[estado_operativo]]="ENTREGADO",tblPedidos[[#This Row],[ganancia_calc]],tblPedidos[[#This Row],[estado_operativo]]="DEVOLUCION",tblPedidos[[#This Row],[costo_devolucion_estimado]]),0)</f>
        <v>17279.5</v>
      </c>
      <c r="V167">
        <v>0</v>
      </c>
      <c r="W167">
        <v>54900</v>
      </c>
      <c r="X167">
        <v>17670.5</v>
      </c>
      <c r="Y167">
        <v>19950</v>
      </c>
      <c r="Z167" s="11">
        <v>46043</v>
      </c>
      <c r="AA167">
        <v>1</v>
      </c>
      <c r="AB167" s="12">
        <v>0.50555555555555554</v>
      </c>
      <c r="AC167" t="s">
        <v>750</v>
      </c>
      <c r="AD167" t="s">
        <v>720</v>
      </c>
      <c r="AE167" t="s">
        <v>720</v>
      </c>
    </row>
    <row r="168" spans="1:31">
      <c r="A168" t="s">
        <v>33</v>
      </c>
      <c r="C168">
        <v>933</v>
      </c>
      <c r="D168" t="s">
        <v>1050</v>
      </c>
      <c r="E168" s="11">
        <v>46041</v>
      </c>
      <c r="F168" t="s">
        <v>1051</v>
      </c>
      <c r="G168" t="s">
        <v>45</v>
      </c>
      <c r="J168" t="s">
        <v>522</v>
      </c>
      <c r="K168" t="s">
        <v>1052</v>
      </c>
      <c r="L168" t="s">
        <v>136</v>
      </c>
      <c r="M168" t="s">
        <v>1053</v>
      </c>
      <c r="N168" t="s">
        <v>1054</v>
      </c>
      <c r="O168" t="s">
        <v>1055</v>
      </c>
      <c r="P168" s="46" t="str" cm="1">
        <f t="array" aca="1" ref="P168" ca="1">IFERROR(_xlfn.XLOOKUP(tblPedidos[[#This Row],[id_dropi]],tblNotas[[#This Row],[id__dropi]],tblNotas[[#This Row],[Notas Manuales]], “”, 0),"")</f>
        <v/>
      </c>
      <c r="Q168" t="s">
        <v>50</v>
      </c>
      <c r="R168" t="s">
        <v>1038</v>
      </c>
      <c r="S168">
        <v>22054.5</v>
      </c>
      <c r="T168">
        <v>-17895.5</v>
      </c>
      <c r="U168" cm="1">
        <f t="array" ref="U168">IFERROR(_xlfn.IFS(tblPedidos[[#This Row],[estado_operativo]]="ENTREGADO",tblPedidos[[#This Row],[ganancia_calc]],tblPedidos[[#This Row],[estado_operativo]]="DEVOLUCION",tblPedidos[[#This Row],[costo_devolucion_estimado]]),0)</f>
        <v>0</v>
      </c>
      <c r="V168">
        <v>0</v>
      </c>
      <c r="W168">
        <v>59900</v>
      </c>
      <c r="X168">
        <v>17895.5</v>
      </c>
      <c r="Y168">
        <v>19950</v>
      </c>
      <c r="Z168" s="11">
        <v>46043</v>
      </c>
      <c r="AA168">
        <v>1</v>
      </c>
      <c r="AB168" s="12">
        <v>0.50902777777777775</v>
      </c>
      <c r="AC168" t="s">
        <v>1039</v>
      </c>
      <c r="AD168" t="s">
        <v>717</v>
      </c>
      <c r="AE168" t="s">
        <v>522</v>
      </c>
    </row>
    <row r="169" spans="1:31">
      <c r="A169" t="s">
        <v>33</v>
      </c>
      <c r="C169">
        <v>932</v>
      </c>
      <c r="D169" t="s">
        <v>1056</v>
      </c>
      <c r="E169" s="11">
        <v>46041</v>
      </c>
      <c r="F169" t="s">
        <v>1057</v>
      </c>
      <c r="G169" t="s">
        <v>36</v>
      </c>
      <c r="J169" t="s">
        <v>939</v>
      </c>
      <c r="K169" t="s">
        <v>1058</v>
      </c>
      <c r="L169" t="s">
        <v>54</v>
      </c>
      <c r="M169" t="s">
        <v>373</v>
      </c>
      <c r="N169" t="s">
        <v>1059</v>
      </c>
      <c r="O169" t="s">
        <v>1060</v>
      </c>
      <c r="P169" s="46" t="str" cm="1">
        <f t="array" aca="1" ref="P169" ca="1">IFERROR(_xlfn.XLOOKUP(tblPedidos[[#This Row],[id_dropi]],tblNotas[[#This Row],[id__dropi]],tblNotas[[#This Row],[Notas Manuales]], “”, 0),"")</f>
        <v/>
      </c>
      <c r="R169" t="s">
        <v>1061</v>
      </c>
      <c r="S169">
        <v>42646.5</v>
      </c>
      <c r="T169">
        <v>-12242.800000000001</v>
      </c>
      <c r="U169" cm="1">
        <f t="array" ref="U169">IFERROR(_xlfn.IFS(tblPedidos[[#This Row],[estado_operativo]]="ENTREGADO",tblPedidos[[#This Row],[ganancia_calc]],tblPedidos[[#This Row],[estado_operativo]]="DEVOLUCION",tblPedidos[[#This Row],[costo_devolucion_estimado]]),0)</f>
        <v>0</v>
      </c>
      <c r="V169">
        <v>0</v>
      </c>
      <c r="W169">
        <v>109900</v>
      </c>
      <c r="X169">
        <v>15303.5</v>
      </c>
      <c r="Y169">
        <v>51950</v>
      </c>
      <c r="Z169" s="11">
        <v>46042</v>
      </c>
      <c r="AA169">
        <v>2</v>
      </c>
      <c r="AB169" s="12">
        <v>0.88194444444444442</v>
      </c>
      <c r="AC169" t="s">
        <v>399</v>
      </c>
      <c r="AD169" t="s">
        <v>939</v>
      </c>
      <c r="AE169" t="s">
        <v>939</v>
      </c>
    </row>
    <row r="170" spans="1:31">
      <c r="A170" t="s">
        <v>33</v>
      </c>
      <c r="C170">
        <v>939</v>
      </c>
      <c r="D170" t="s">
        <v>1062</v>
      </c>
      <c r="E170" s="11">
        <v>46041</v>
      </c>
      <c r="F170" t="s">
        <v>1063</v>
      </c>
      <c r="G170" t="s">
        <v>45</v>
      </c>
      <c r="J170" t="s">
        <v>386</v>
      </c>
      <c r="K170" t="s">
        <v>1064</v>
      </c>
      <c r="L170" t="s">
        <v>178</v>
      </c>
      <c r="M170" t="s">
        <v>768</v>
      </c>
      <c r="N170" t="s">
        <v>1065</v>
      </c>
      <c r="O170" t="s">
        <v>1066</v>
      </c>
      <c r="P170" s="46" t="str" cm="1">
        <f t="array" aca="1" ref="P170" ca="1">IFERROR(_xlfn.XLOOKUP(tblPedidos[[#This Row],[id_dropi]],tblNotas[[#This Row],[id__dropi]],tblNotas[[#This Row],[Notas Manuales]], “”, 0),"")</f>
        <v/>
      </c>
      <c r="Q170" t="s">
        <v>50</v>
      </c>
      <c r="R170" t="s">
        <v>917</v>
      </c>
      <c r="S170">
        <v>28104.5</v>
      </c>
      <c r="T170">
        <v>-18345.5</v>
      </c>
      <c r="U170" cm="1">
        <f t="array" ref="U170">IFERROR(_xlfn.IFS(tblPedidos[[#This Row],[estado_operativo]]="ENTREGADO",tblPedidos[[#This Row],[ganancia_calc]],tblPedidos[[#This Row],[estado_operativo]]="DEVOLUCION",tblPedidos[[#This Row],[costo_devolucion_estimado]]),0)</f>
        <v>0</v>
      </c>
      <c r="V170">
        <v>0</v>
      </c>
      <c r="W170">
        <v>69900</v>
      </c>
      <c r="X170">
        <v>18345.5</v>
      </c>
      <c r="Y170">
        <v>23450</v>
      </c>
      <c r="Z170" s="11">
        <v>46043</v>
      </c>
      <c r="AA170">
        <v>1</v>
      </c>
      <c r="AB170" s="12">
        <v>0.50555555555555554</v>
      </c>
      <c r="AC170" t="s">
        <v>708</v>
      </c>
      <c r="AD170" t="s">
        <v>709</v>
      </c>
      <c r="AE170" t="s">
        <v>386</v>
      </c>
    </row>
    <row r="171" spans="1:31">
      <c r="A171" t="s">
        <v>33</v>
      </c>
      <c r="C171">
        <v>946</v>
      </c>
      <c r="D171" t="s">
        <v>1067</v>
      </c>
      <c r="E171" s="11">
        <v>46041</v>
      </c>
      <c r="F171" t="s">
        <v>1068</v>
      </c>
      <c r="G171" t="s">
        <v>45</v>
      </c>
      <c r="J171" t="s">
        <v>386</v>
      </c>
      <c r="K171" t="s">
        <v>1069</v>
      </c>
      <c r="L171" t="s">
        <v>545</v>
      </c>
      <c r="M171" t="s">
        <v>546</v>
      </c>
      <c r="N171" t="s">
        <v>1070</v>
      </c>
      <c r="O171" t="s">
        <v>1071</v>
      </c>
      <c r="P171" s="46" t="str" cm="1">
        <f t="array" aca="1" ref="P171" ca="1">IFERROR(_xlfn.XLOOKUP(tblPedidos[[#This Row],[id_dropi]],tblNotas[[#This Row],[id__dropi]],tblNotas[[#This Row],[Notas Manuales]], “”, 0),"")</f>
        <v/>
      </c>
      <c r="Q171" t="s">
        <v>1072</v>
      </c>
      <c r="R171" t="s">
        <v>917</v>
      </c>
      <c r="S171">
        <v>28104.5</v>
      </c>
      <c r="T171">
        <v>-18345.5</v>
      </c>
      <c r="U171" cm="1">
        <f t="array" ref="U171">IFERROR(_xlfn.IFS(tblPedidos[[#This Row],[estado_operativo]]="ENTREGADO",tblPedidos[[#This Row],[ganancia_calc]],tblPedidos[[#This Row],[estado_operativo]]="DEVOLUCION",tblPedidos[[#This Row],[costo_devolucion_estimado]]),0)</f>
        <v>0</v>
      </c>
      <c r="V171">
        <v>0</v>
      </c>
      <c r="W171">
        <v>69900</v>
      </c>
      <c r="X171">
        <v>18345.5</v>
      </c>
      <c r="Y171">
        <v>23450</v>
      </c>
      <c r="Z171" s="11">
        <v>46043</v>
      </c>
      <c r="AA171">
        <v>1</v>
      </c>
      <c r="AB171" s="12">
        <v>0.50902777777777775</v>
      </c>
      <c r="AC171" t="s">
        <v>708</v>
      </c>
      <c r="AD171" t="s">
        <v>709</v>
      </c>
      <c r="AE171" t="s">
        <v>386</v>
      </c>
    </row>
    <row r="172" spans="1:31">
      <c r="A172" t="s">
        <v>33</v>
      </c>
      <c r="C172">
        <v>945</v>
      </c>
      <c r="D172" t="s">
        <v>1073</v>
      </c>
      <c r="E172" s="11">
        <v>46041</v>
      </c>
      <c r="F172" t="s">
        <v>1074</v>
      </c>
      <c r="G172" t="s">
        <v>36</v>
      </c>
      <c r="J172" t="s">
        <v>386</v>
      </c>
      <c r="K172" t="s">
        <v>1075</v>
      </c>
      <c r="L172" t="s">
        <v>81</v>
      </c>
      <c r="M172" t="s">
        <v>118</v>
      </c>
      <c r="N172" t="s">
        <v>1076</v>
      </c>
      <c r="O172" t="s">
        <v>1077</v>
      </c>
      <c r="P172" s="46" t="str" cm="1">
        <f t="array" aca="1" ref="P172" ca="1">IFERROR(_xlfn.XLOOKUP(tblPedidos[[#This Row],[id_dropi]],tblNotas[[#This Row],[id__dropi]],tblNotas[[#This Row],[Notas Manuales]], “”, 0),"")</f>
        <v/>
      </c>
      <c r="R172" t="s">
        <v>917</v>
      </c>
      <c r="S172">
        <v>32946.5</v>
      </c>
      <c r="T172">
        <v>-10802.800000000001</v>
      </c>
      <c r="U172" cm="1">
        <f t="array" ref="U172">IFERROR(_xlfn.IFS(tblPedidos[[#This Row],[estado_operativo]]="ENTREGADO",tblPedidos[[#This Row],[ganancia_calc]],tblPedidos[[#This Row],[estado_operativo]]="DEVOLUCION",tblPedidos[[#This Row],[costo_devolucion_estimado]]),0)</f>
        <v>0</v>
      </c>
      <c r="V172">
        <v>0</v>
      </c>
      <c r="W172">
        <v>69900</v>
      </c>
      <c r="X172">
        <v>13503.5</v>
      </c>
      <c r="Y172">
        <v>23450</v>
      </c>
      <c r="Z172" s="11">
        <v>46042</v>
      </c>
      <c r="AA172">
        <v>2</v>
      </c>
      <c r="AB172" s="12">
        <v>0.88194444444444442</v>
      </c>
      <c r="AC172" t="s">
        <v>399</v>
      </c>
      <c r="AD172" t="s">
        <v>399</v>
      </c>
      <c r="AE172" t="s">
        <v>386</v>
      </c>
    </row>
    <row r="173" spans="1:31">
      <c r="A173" t="s">
        <v>33</v>
      </c>
      <c r="C173">
        <v>947</v>
      </c>
      <c r="D173" t="s">
        <v>1078</v>
      </c>
      <c r="E173" s="11">
        <v>46041</v>
      </c>
      <c r="F173" t="s">
        <v>1079</v>
      </c>
      <c r="G173" t="s">
        <v>45</v>
      </c>
      <c r="J173" t="s">
        <v>386</v>
      </c>
      <c r="K173" t="s">
        <v>1080</v>
      </c>
      <c r="L173" t="s">
        <v>38</v>
      </c>
      <c r="M173" t="s">
        <v>1081</v>
      </c>
      <c r="N173" t="s">
        <v>1082</v>
      </c>
      <c r="O173" t="s">
        <v>1083</v>
      </c>
      <c r="P173" s="46" t="str" cm="1">
        <f t="array" aca="1" ref="P173" ca="1">IFERROR(_xlfn.XLOOKUP(tblPedidos[[#This Row],[id_dropi]],tblNotas[[#This Row],[id__dropi]],tblNotas[[#This Row],[Notas Manuales]], “”, 0),"")</f>
        <v/>
      </c>
      <c r="R173" t="s">
        <v>917</v>
      </c>
      <c r="S173">
        <v>28104.5</v>
      </c>
      <c r="T173">
        <v>-18345.5</v>
      </c>
      <c r="U173" cm="1">
        <f t="array" ref="U173">IFERROR(_xlfn.IFS(tblPedidos[[#This Row],[estado_operativo]]="ENTREGADO",tblPedidos[[#This Row],[ganancia_calc]],tblPedidos[[#This Row],[estado_operativo]]="DEVOLUCION",tblPedidos[[#This Row],[costo_devolucion_estimado]]),0)</f>
        <v>0</v>
      </c>
      <c r="V173">
        <v>0</v>
      </c>
      <c r="W173">
        <v>69900</v>
      </c>
      <c r="X173">
        <v>18345.5</v>
      </c>
      <c r="Y173">
        <v>23450</v>
      </c>
      <c r="Z173" s="11">
        <v>46043</v>
      </c>
      <c r="AA173">
        <v>1</v>
      </c>
      <c r="AB173" s="12">
        <v>0.75694444444444442</v>
      </c>
      <c r="AC173" t="s">
        <v>708</v>
      </c>
      <c r="AD173" t="s">
        <v>709</v>
      </c>
      <c r="AE173" t="s">
        <v>386</v>
      </c>
    </row>
    <row r="174" spans="1:31">
      <c r="A174" t="s">
        <v>33</v>
      </c>
      <c r="C174">
        <v>949</v>
      </c>
      <c r="D174" t="s">
        <v>1084</v>
      </c>
      <c r="E174" s="11">
        <v>46041</v>
      </c>
      <c r="F174" t="s">
        <v>1085</v>
      </c>
      <c r="G174" t="s">
        <v>45</v>
      </c>
      <c r="J174" t="s">
        <v>386</v>
      </c>
      <c r="K174" t="s">
        <v>1086</v>
      </c>
      <c r="L174" t="s">
        <v>234</v>
      </c>
      <c r="M174" t="s">
        <v>235</v>
      </c>
      <c r="N174" t="s">
        <v>1087</v>
      </c>
      <c r="O174" t="s">
        <v>1088</v>
      </c>
      <c r="P174" s="46" t="str" cm="1">
        <f t="array" aca="1" ref="P174" ca="1">IFERROR(_xlfn.XLOOKUP(tblPedidos[[#This Row],[id_dropi]],tblNotas[[#This Row],[id__dropi]],tblNotas[[#This Row],[Notas Manuales]], “”, 0),"")</f>
        <v/>
      </c>
      <c r="R174" t="s">
        <v>1038</v>
      </c>
      <c r="S174">
        <v>22054.5</v>
      </c>
      <c r="T174">
        <v>-17895.5</v>
      </c>
      <c r="U174" cm="1">
        <f t="array" ref="U174">IFERROR(_xlfn.IFS(tblPedidos[[#This Row],[estado_operativo]]="ENTREGADO",tblPedidos[[#This Row],[ganancia_calc]],tblPedidos[[#This Row],[estado_operativo]]="DEVOLUCION",tblPedidos[[#This Row],[costo_devolucion_estimado]]),0)</f>
        <v>0</v>
      </c>
      <c r="V174">
        <v>0</v>
      </c>
      <c r="W174">
        <v>59900</v>
      </c>
      <c r="X174">
        <v>17895.5</v>
      </c>
      <c r="Y174">
        <v>19950</v>
      </c>
      <c r="Z174" s="11">
        <v>46043</v>
      </c>
      <c r="AA174">
        <v>1</v>
      </c>
      <c r="AB174" s="12">
        <v>0.75694444444444442</v>
      </c>
      <c r="AC174" t="s">
        <v>708</v>
      </c>
      <c r="AD174" t="s">
        <v>709</v>
      </c>
      <c r="AE174" t="s">
        <v>386</v>
      </c>
    </row>
    <row r="175" spans="1:31">
      <c r="A175" t="s">
        <v>33</v>
      </c>
      <c r="C175">
        <v>948</v>
      </c>
      <c r="D175" t="s">
        <v>1089</v>
      </c>
      <c r="E175" s="11">
        <v>46041</v>
      </c>
      <c r="F175" t="s">
        <v>381</v>
      </c>
      <c r="G175" t="s">
        <v>45</v>
      </c>
      <c r="J175" t="s">
        <v>1090</v>
      </c>
      <c r="L175" t="s">
        <v>46</v>
      </c>
      <c r="M175" t="s">
        <v>100</v>
      </c>
      <c r="N175" t="s">
        <v>1091</v>
      </c>
      <c r="O175" t="s">
        <v>383</v>
      </c>
      <c r="P175" s="46" t="str" cm="1">
        <f t="array" aca="1" ref="P175" ca="1">IFERROR(_xlfn.XLOOKUP(tblPedidos[[#This Row],[id_dropi]],tblNotas[[#This Row],[id__dropi]],tblNotas[[#This Row],[Notas Manuales]], “”, 0),"")</f>
        <v/>
      </c>
      <c r="R175" t="s">
        <v>739</v>
      </c>
      <c r="S175">
        <v>20654.5</v>
      </c>
      <c r="T175">
        <v>-19245.5</v>
      </c>
      <c r="U175" cm="1">
        <f t="array" ref="U175">IFERROR(_xlfn.IFS(tblPedidos[[#This Row],[estado_operativo]]="ENTREGADO",tblPedidos[[#This Row],[ganancia_calc]],tblPedidos[[#This Row],[estado_operativo]]="DEVOLUCION",tblPedidos[[#This Row],[costo_devolucion_estimado]]),0)</f>
        <v>0</v>
      </c>
      <c r="V175">
        <v>0</v>
      </c>
      <c r="W175">
        <v>89900</v>
      </c>
      <c r="X175">
        <v>19245.5</v>
      </c>
      <c r="Y175">
        <v>50000</v>
      </c>
      <c r="Z175" s="11">
        <v>46043</v>
      </c>
      <c r="AA175">
        <v>1</v>
      </c>
      <c r="AB175" s="12">
        <v>0.7895833333333333</v>
      </c>
      <c r="AC175" t="s">
        <v>1090</v>
      </c>
      <c r="AD175" t="s">
        <v>1090</v>
      </c>
      <c r="AE175" t="s">
        <v>1090</v>
      </c>
    </row>
    <row r="176" spans="1:31">
      <c r="A176" t="s">
        <v>33</v>
      </c>
      <c r="C176">
        <v>941</v>
      </c>
      <c r="D176" t="s">
        <v>1092</v>
      </c>
      <c r="E176" s="11">
        <v>46041</v>
      </c>
      <c r="F176" t="s">
        <v>1093</v>
      </c>
      <c r="G176" t="s">
        <v>45</v>
      </c>
      <c r="J176" t="s">
        <v>522</v>
      </c>
      <c r="K176" t="s">
        <v>1094</v>
      </c>
      <c r="L176" t="s">
        <v>46</v>
      </c>
      <c r="M176" t="s">
        <v>1095</v>
      </c>
      <c r="N176" t="s">
        <v>1096</v>
      </c>
      <c r="O176" t="s">
        <v>1097</v>
      </c>
      <c r="P176" s="46" t="str" cm="1">
        <f t="array" aca="1" ref="P176" ca="1">IFERROR(_xlfn.XLOOKUP(tblPedidos[[#This Row],[id_dropi]],tblNotas[[#This Row],[id__dropi]],tblNotas[[#This Row],[Notas Manuales]], “”, 0),"")</f>
        <v/>
      </c>
      <c r="Q176" t="s">
        <v>50</v>
      </c>
      <c r="R176" t="s">
        <v>739</v>
      </c>
      <c r="S176">
        <v>20654.5</v>
      </c>
      <c r="T176">
        <v>-19245.5</v>
      </c>
      <c r="U176" cm="1">
        <f t="array" ref="U176">IFERROR(_xlfn.IFS(tblPedidos[[#This Row],[estado_operativo]]="ENTREGADO",tblPedidos[[#This Row],[ganancia_calc]],tblPedidos[[#This Row],[estado_operativo]]="DEVOLUCION",tblPedidos[[#This Row],[costo_devolucion_estimado]]),0)</f>
        <v>0</v>
      </c>
      <c r="V176">
        <v>0</v>
      </c>
      <c r="W176">
        <v>89900</v>
      </c>
      <c r="X176">
        <v>19245.5</v>
      </c>
      <c r="Y176">
        <v>50000</v>
      </c>
      <c r="Z176" s="11">
        <v>46043</v>
      </c>
      <c r="AA176">
        <v>1</v>
      </c>
      <c r="AB176" s="12">
        <v>0.67500000000000004</v>
      </c>
      <c r="AC176" t="s">
        <v>716</v>
      </c>
      <c r="AD176" t="s">
        <v>717</v>
      </c>
      <c r="AE176" t="s">
        <v>522</v>
      </c>
    </row>
    <row r="177" spans="1:31">
      <c r="A177" t="s">
        <v>33</v>
      </c>
      <c r="C177">
        <v>940</v>
      </c>
      <c r="D177" t="s">
        <v>1098</v>
      </c>
      <c r="E177" s="11">
        <v>46041</v>
      </c>
      <c r="F177" t="s">
        <v>1099</v>
      </c>
      <c r="G177" t="s">
        <v>36</v>
      </c>
      <c r="J177" t="s">
        <v>959</v>
      </c>
      <c r="K177" t="s">
        <v>1100</v>
      </c>
      <c r="L177" t="s">
        <v>81</v>
      </c>
      <c r="M177" t="s">
        <v>118</v>
      </c>
      <c r="N177" t="s">
        <v>1101</v>
      </c>
      <c r="O177" t="s">
        <v>1102</v>
      </c>
      <c r="P177" s="46" t="str" cm="1">
        <f t="array" aca="1" ref="P177" ca="1">IFERROR(_xlfn.XLOOKUP(tblPedidos[[#This Row],[id_dropi]],tblNotas[[#This Row],[id__dropi]],tblNotas[[#This Row],[Notas Manuales]], “”, 0),"")</f>
        <v/>
      </c>
      <c r="R177" t="s">
        <v>772</v>
      </c>
      <c r="S177">
        <v>23142.5</v>
      </c>
      <c r="T177">
        <v>-9406</v>
      </c>
      <c r="U177" cm="1">
        <f t="array" ref="U177">IFERROR(_xlfn.IFS(tblPedidos[[#This Row],[estado_operativo]]="ENTREGADO",tblPedidos[[#This Row],[ganancia_calc]],tblPedidos[[#This Row],[estado_operativo]]="DEVOLUCION",tblPedidos[[#This Row],[costo_devolucion_estimado]]),0)</f>
        <v>0</v>
      </c>
      <c r="V177">
        <v>0</v>
      </c>
      <c r="W177">
        <v>59900</v>
      </c>
      <c r="X177">
        <v>11757.5</v>
      </c>
      <c r="Y177">
        <v>25000</v>
      </c>
      <c r="Z177" s="11">
        <v>46042</v>
      </c>
      <c r="AA177">
        <v>2</v>
      </c>
      <c r="AB177" s="12">
        <v>0.90277777777777779</v>
      </c>
      <c r="AC177" t="s">
        <v>399</v>
      </c>
      <c r="AD177" t="s">
        <v>1103</v>
      </c>
      <c r="AE177" t="s">
        <v>959</v>
      </c>
    </row>
    <row r="178" spans="1:31">
      <c r="A178" t="s">
        <v>33</v>
      </c>
      <c r="C178">
        <v>942</v>
      </c>
      <c r="D178" t="s">
        <v>1104</v>
      </c>
      <c r="E178" s="11">
        <v>46041</v>
      </c>
      <c r="F178" t="s">
        <v>1105</v>
      </c>
      <c r="G178" t="s">
        <v>45</v>
      </c>
      <c r="J178" t="s">
        <v>522</v>
      </c>
      <c r="K178" t="s">
        <v>1106</v>
      </c>
      <c r="L178" t="s">
        <v>54</v>
      </c>
      <c r="M178" t="s">
        <v>1107</v>
      </c>
      <c r="N178" t="s">
        <v>1108</v>
      </c>
      <c r="O178" t="s">
        <v>1109</v>
      </c>
      <c r="P178" s="46" t="str" cm="1">
        <f t="array" aca="1" ref="P178" ca="1">IFERROR(_xlfn.XLOOKUP(tblPedidos[[#This Row],[id_dropi]],tblNotas[[#This Row],[id__dropi]],tblNotas[[#This Row],[Notas Manuales]], “”, 0),"")</f>
        <v/>
      </c>
      <c r="Q178" t="s">
        <v>50</v>
      </c>
      <c r="R178" t="s">
        <v>739</v>
      </c>
      <c r="S178">
        <v>15879.5</v>
      </c>
      <c r="T178">
        <v>-19020.5</v>
      </c>
      <c r="U178" cm="1">
        <f t="array" ref="U178">IFERROR(_xlfn.IFS(tblPedidos[[#This Row],[estado_operativo]]="ENTREGADO",tblPedidos[[#This Row],[ganancia_calc]],tblPedidos[[#This Row],[estado_operativo]]="DEVOLUCION",tblPedidos[[#This Row],[costo_devolucion_estimado]]),0)</f>
        <v>0</v>
      </c>
      <c r="V178">
        <v>0</v>
      </c>
      <c r="W178">
        <v>84900</v>
      </c>
      <c r="X178">
        <v>19020.5</v>
      </c>
      <c r="Y178">
        <v>50000</v>
      </c>
      <c r="Z178" s="11">
        <v>46043</v>
      </c>
      <c r="AA178">
        <v>1</v>
      </c>
      <c r="AB178" s="12">
        <v>0.67500000000000004</v>
      </c>
      <c r="AC178" t="s">
        <v>716</v>
      </c>
      <c r="AD178" t="s">
        <v>717</v>
      </c>
      <c r="AE178" t="s">
        <v>522</v>
      </c>
    </row>
    <row r="179" spans="1:31">
      <c r="A179" t="s">
        <v>33</v>
      </c>
      <c r="C179">
        <v>944</v>
      </c>
      <c r="D179" t="s">
        <v>1110</v>
      </c>
      <c r="E179" s="11">
        <v>46041</v>
      </c>
      <c r="F179" t="s">
        <v>1111</v>
      </c>
      <c r="G179" t="s">
        <v>45</v>
      </c>
      <c r="J179" t="s">
        <v>750</v>
      </c>
      <c r="K179" t="s">
        <v>1112</v>
      </c>
      <c r="L179" t="s">
        <v>54</v>
      </c>
      <c r="M179" t="s">
        <v>373</v>
      </c>
      <c r="N179" t="s">
        <v>1113</v>
      </c>
      <c r="O179" t="s">
        <v>1114</v>
      </c>
      <c r="P179" s="46" t="str" cm="1">
        <f t="array" aca="1" ref="P179" ca="1">IFERROR(_xlfn.XLOOKUP(tblPedidos[[#This Row],[id_dropi]],tblNotas[[#This Row],[id__dropi]],tblNotas[[#This Row],[Notas Manuales]], “”, 0),"")</f>
        <v/>
      </c>
      <c r="R179" t="s">
        <v>772</v>
      </c>
      <c r="S179">
        <v>21554.5</v>
      </c>
      <c r="T179">
        <v>-13345.5</v>
      </c>
      <c r="U179" cm="1">
        <f t="array" ref="U179">IFERROR(_xlfn.IFS(tblPedidos[[#This Row],[estado_operativo]]="ENTREGADO",tblPedidos[[#This Row],[ganancia_calc]],tblPedidos[[#This Row],[estado_operativo]]="DEVOLUCION",tblPedidos[[#This Row],[costo_devolucion_estimado]]),0)</f>
        <v>0</v>
      </c>
      <c r="V179">
        <v>0</v>
      </c>
      <c r="W179">
        <v>59900</v>
      </c>
      <c r="X179">
        <v>13345.5</v>
      </c>
      <c r="Y179">
        <v>25000</v>
      </c>
      <c r="Z179" s="11">
        <v>46043</v>
      </c>
      <c r="AA179">
        <v>1</v>
      </c>
      <c r="AB179" s="12">
        <v>0.67500000000000004</v>
      </c>
      <c r="AC179" t="s">
        <v>750</v>
      </c>
      <c r="AD179" t="s">
        <v>1027</v>
      </c>
      <c r="AE179" t="s">
        <v>750</v>
      </c>
    </row>
    <row r="180" spans="1:31">
      <c r="A180" t="s">
        <v>33</v>
      </c>
      <c r="C180">
        <v>943</v>
      </c>
      <c r="D180" t="s">
        <v>1115</v>
      </c>
      <c r="E180" s="11">
        <v>46041</v>
      </c>
      <c r="F180" t="s">
        <v>1116</v>
      </c>
      <c r="G180" t="s">
        <v>45</v>
      </c>
      <c r="J180" t="s">
        <v>386</v>
      </c>
      <c r="K180" t="s">
        <v>1117</v>
      </c>
      <c r="L180" t="s">
        <v>234</v>
      </c>
      <c r="M180" t="s">
        <v>235</v>
      </c>
      <c r="N180" t="s">
        <v>1118</v>
      </c>
      <c r="O180" t="s">
        <v>1119</v>
      </c>
      <c r="P180" s="46" t="str" cm="1">
        <f t="array" aca="1" ref="P180" ca="1">IFERROR(_xlfn.XLOOKUP(tblPedidos[[#This Row],[id_dropi]],tblNotas[[#This Row],[id__dropi]],tblNotas[[#This Row],[Notas Manuales]], “”, 0),"")</f>
        <v/>
      </c>
      <c r="R180" t="s">
        <v>739</v>
      </c>
      <c r="S180">
        <v>20654.5</v>
      </c>
      <c r="T180">
        <v>-19245.5</v>
      </c>
      <c r="U180" cm="1">
        <f t="array" ref="U180">IFERROR(_xlfn.IFS(tblPedidos[[#This Row],[estado_operativo]]="ENTREGADO",tblPedidos[[#This Row],[ganancia_calc]],tblPedidos[[#This Row],[estado_operativo]]="DEVOLUCION",tblPedidos[[#This Row],[costo_devolucion_estimado]]),0)</f>
        <v>0</v>
      </c>
      <c r="V180">
        <v>0</v>
      </c>
      <c r="W180">
        <v>89900</v>
      </c>
      <c r="X180">
        <v>19245.5</v>
      </c>
      <c r="Y180">
        <v>50000</v>
      </c>
      <c r="Z180" s="11">
        <v>46043</v>
      </c>
      <c r="AA180">
        <v>1</v>
      </c>
      <c r="AB180" s="12">
        <v>0.67361111111111116</v>
      </c>
      <c r="AC180" t="s">
        <v>708</v>
      </c>
      <c r="AD180" t="s">
        <v>709</v>
      </c>
      <c r="AE180" t="s">
        <v>386</v>
      </c>
    </row>
    <row r="181" spans="1:31">
      <c r="A181" t="s">
        <v>33</v>
      </c>
      <c r="C181">
        <v>928</v>
      </c>
      <c r="D181" t="s">
        <v>1120</v>
      </c>
      <c r="E181" s="11">
        <v>46041</v>
      </c>
      <c r="F181" t="s">
        <v>1121</v>
      </c>
      <c r="G181" t="s">
        <v>36</v>
      </c>
      <c r="J181" t="s">
        <v>386</v>
      </c>
      <c r="K181" t="s">
        <v>1122</v>
      </c>
      <c r="L181" t="s">
        <v>54</v>
      </c>
      <c r="M181" t="s">
        <v>224</v>
      </c>
      <c r="N181" t="s">
        <v>1123</v>
      </c>
      <c r="O181" t="s">
        <v>1124</v>
      </c>
      <c r="P181" s="46" t="str" cm="1">
        <f t="array" aca="1" ref="P181" ca="1">IFERROR(_xlfn.XLOOKUP(tblPedidos[[#This Row],[id_dropi]],tblNotas[[#This Row],[id__dropi]],tblNotas[[#This Row],[Notas Manuales]], “”, 0),"")</f>
        <v/>
      </c>
      <c r="R181" t="s">
        <v>772</v>
      </c>
      <c r="S181">
        <v>19686.5</v>
      </c>
      <c r="T181">
        <v>-12170.800000000001</v>
      </c>
      <c r="U181" cm="1">
        <f t="array" ref="U181">IFERROR(_xlfn.IFS(tblPedidos[[#This Row],[estado_operativo]]="ENTREGADO",tblPedidos[[#This Row],[ganancia_calc]],tblPedidos[[#This Row],[estado_operativo]]="DEVOLUCION",tblPedidos[[#This Row],[costo_devolucion_estimado]]),0)</f>
        <v>0</v>
      </c>
      <c r="V181">
        <v>0</v>
      </c>
      <c r="W181">
        <v>59900</v>
      </c>
      <c r="X181">
        <v>15213.5</v>
      </c>
      <c r="Y181">
        <v>25000</v>
      </c>
      <c r="Z181" s="11">
        <v>46042</v>
      </c>
      <c r="AA181">
        <v>2</v>
      </c>
      <c r="AB181" s="12">
        <v>0.90277777777777779</v>
      </c>
      <c r="AC181" t="s">
        <v>399</v>
      </c>
      <c r="AD181" t="s">
        <v>399</v>
      </c>
      <c r="AE181" t="s">
        <v>386</v>
      </c>
    </row>
    <row r="182" spans="1:31">
      <c r="A182" t="s">
        <v>33</v>
      </c>
      <c r="C182">
        <v>913</v>
      </c>
      <c r="D182" t="s">
        <v>1125</v>
      </c>
      <c r="E182" s="11">
        <v>46041</v>
      </c>
      <c r="F182" t="s">
        <v>1126</v>
      </c>
      <c r="G182" t="s">
        <v>45</v>
      </c>
      <c r="J182" t="s">
        <v>720</v>
      </c>
      <c r="K182" t="s">
        <v>1127</v>
      </c>
      <c r="L182" t="s">
        <v>136</v>
      </c>
      <c r="M182" t="s">
        <v>206</v>
      </c>
      <c r="N182" t="s">
        <v>1128</v>
      </c>
      <c r="O182" t="s">
        <v>1129</v>
      </c>
      <c r="P182" s="46" t="str" cm="1">
        <f t="array" aca="1" ref="P182" ca="1">IFERROR(_xlfn.XLOOKUP(tblPedidos[[#This Row],[id_dropi]],tblNotas[[#This Row],[id__dropi]],tblNotas[[#This Row],[Notas Manuales]], “”, 0),"")</f>
        <v/>
      </c>
      <c r="R182" t="s">
        <v>739</v>
      </c>
      <c r="S182">
        <v>20654.5</v>
      </c>
      <c r="T182">
        <v>-19245.5</v>
      </c>
      <c r="U182" cm="1">
        <f t="array" ref="U182">IFERROR(_xlfn.IFS(tblPedidos[[#This Row],[estado_operativo]]="ENTREGADO",tblPedidos[[#This Row],[ganancia_calc]],tblPedidos[[#This Row],[estado_operativo]]="DEVOLUCION",tblPedidos[[#This Row],[costo_devolucion_estimado]]),0)</f>
        <v>20654.5</v>
      </c>
      <c r="V182">
        <v>0</v>
      </c>
      <c r="W182">
        <v>89900</v>
      </c>
      <c r="X182">
        <v>19245.5</v>
      </c>
      <c r="Y182">
        <v>50000</v>
      </c>
      <c r="Z182" s="11">
        <v>46043</v>
      </c>
      <c r="AA182">
        <v>1</v>
      </c>
      <c r="AB182" s="12">
        <v>0.67361111111111116</v>
      </c>
      <c r="AC182" t="s">
        <v>725</v>
      </c>
      <c r="AD182" t="s">
        <v>720</v>
      </c>
      <c r="AE182" t="s">
        <v>720</v>
      </c>
    </row>
    <row r="183" spans="1:31">
      <c r="A183" t="s">
        <v>33</v>
      </c>
      <c r="C183">
        <v>912</v>
      </c>
      <c r="D183" t="s">
        <v>1130</v>
      </c>
      <c r="E183" s="11">
        <v>46041</v>
      </c>
      <c r="F183" t="s">
        <v>1131</v>
      </c>
      <c r="G183" t="s">
        <v>45</v>
      </c>
      <c r="J183" t="s">
        <v>522</v>
      </c>
      <c r="K183" t="s">
        <v>1132</v>
      </c>
      <c r="L183" t="s">
        <v>46</v>
      </c>
      <c r="M183" t="s">
        <v>100</v>
      </c>
      <c r="N183" t="s">
        <v>1133</v>
      </c>
      <c r="O183" t="s">
        <v>1134</v>
      </c>
      <c r="P183" s="46" t="str" cm="1">
        <f t="array" aca="1" ref="P183" ca="1">IFERROR(_xlfn.XLOOKUP(tblPedidos[[#This Row],[id_dropi]],tblNotas[[#This Row],[id__dropi]],tblNotas[[#This Row],[Notas Manuales]], “”, 0),"")</f>
        <v/>
      </c>
      <c r="R183" t="s">
        <v>739</v>
      </c>
      <c r="S183">
        <v>20654.5</v>
      </c>
      <c r="T183">
        <v>-19245.5</v>
      </c>
      <c r="U183" cm="1">
        <f t="array" ref="U183">IFERROR(_xlfn.IFS(tblPedidos[[#This Row],[estado_operativo]]="ENTREGADO",tblPedidos[[#This Row],[ganancia_calc]],tblPedidos[[#This Row],[estado_operativo]]="DEVOLUCION",tblPedidos[[#This Row],[costo_devolucion_estimado]]),0)</f>
        <v>0</v>
      </c>
      <c r="V183">
        <v>0</v>
      </c>
      <c r="W183">
        <v>89900</v>
      </c>
      <c r="X183">
        <v>19245.5</v>
      </c>
      <c r="Y183">
        <v>50000</v>
      </c>
      <c r="Z183" s="11">
        <v>46043</v>
      </c>
      <c r="AA183">
        <v>1</v>
      </c>
      <c r="AB183" s="12">
        <v>0.67500000000000004</v>
      </c>
      <c r="AC183" t="s">
        <v>716</v>
      </c>
      <c r="AD183" t="s">
        <v>717</v>
      </c>
      <c r="AE183" t="s">
        <v>522</v>
      </c>
    </row>
    <row r="184" spans="1:31">
      <c r="A184" t="s">
        <v>33</v>
      </c>
      <c r="C184">
        <v>914</v>
      </c>
      <c r="D184" t="s">
        <v>1135</v>
      </c>
      <c r="E184" s="11">
        <v>46041</v>
      </c>
      <c r="F184" t="s">
        <v>1136</v>
      </c>
      <c r="G184" t="s">
        <v>36</v>
      </c>
      <c r="J184" t="s">
        <v>386</v>
      </c>
      <c r="K184" t="s">
        <v>1137</v>
      </c>
      <c r="L184" t="s">
        <v>166</v>
      </c>
      <c r="M184" t="s">
        <v>468</v>
      </c>
      <c r="N184" t="s">
        <v>1138</v>
      </c>
      <c r="O184" t="s">
        <v>1139</v>
      </c>
      <c r="P184" s="46" t="str" cm="1">
        <f t="array" aca="1" ref="P184" ca="1">IFERROR(_xlfn.XLOOKUP(tblPedidos[[#This Row],[id_dropi]],tblNotas[[#This Row],[id__dropi]],tblNotas[[#This Row],[Notas Manuales]], “”, 0),"")</f>
        <v/>
      </c>
      <c r="R184" t="s">
        <v>772</v>
      </c>
      <c r="S184">
        <v>19686.5</v>
      </c>
      <c r="T184">
        <v>-12170.800000000001</v>
      </c>
      <c r="U184" cm="1">
        <f t="array" ref="U184">IFERROR(_xlfn.IFS(tblPedidos[[#This Row],[estado_operativo]]="ENTREGADO",tblPedidos[[#This Row],[ganancia_calc]],tblPedidos[[#This Row],[estado_operativo]]="DEVOLUCION",tblPedidos[[#This Row],[costo_devolucion_estimado]]),0)</f>
        <v>0</v>
      </c>
      <c r="V184">
        <v>0</v>
      </c>
      <c r="W184">
        <v>59900</v>
      </c>
      <c r="X184">
        <v>15213.5</v>
      </c>
      <c r="Y184">
        <v>25000</v>
      </c>
      <c r="Z184" s="11">
        <v>46042</v>
      </c>
      <c r="AA184">
        <v>2</v>
      </c>
      <c r="AB184" s="12">
        <v>0.90347222222222223</v>
      </c>
      <c r="AC184" t="s">
        <v>399</v>
      </c>
      <c r="AD184" t="s">
        <v>399</v>
      </c>
      <c r="AE184" t="s">
        <v>386</v>
      </c>
    </row>
    <row r="185" spans="1:31">
      <c r="A185" t="s">
        <v>33</v>
      </c>
      <c r="C185">
        <v>916</v>
      </c>
      <c r="D185" t="s">
        <v>1140</v>
      </c>
      <c r="E185" s="11">
        <v>46041</v>
      </c>
      <c r="F185" t="s">
        <v>1141</v>
      </c>
      <c r="G185" t="s">
        <v>45</v>
      </c>
      <c r="J185" t="s">
        <v>386</v>
      </c>
      <c r="K185" t="s">
        <v>1142</v>
      </c>
      <c r="L185" t="s">
        <v>46</v>
      </c>
      <c r="M185" t="s">
        <v>1143</v>
      </c>
      <c r="N185" t="s">
        <v>1144</v>
      </c>
      <c r="O185" t="s">
        <v>1145</v>
      </c>
      <c r="P185" s="46" t="str" cm="1">
        <f t="array" aca="1" ref="P185" ca="1">IFERROR(_xlfn.XLOOKUP(tblPedidos[[#This Row],[id_dropi]],tblNotas[[#This Row],[id__dropi]],tblNotas[[#This Row],[Notas Manuales]], “”, 0),"")</f>
        <v/>
      </c>
      <c r="R185" t="s">
        <v>739</v>
      </c>
      <c r="S185">
        <v>20654.5</v>
      </c>
      <c r="T185">
        <v>-19245.5</v>
      </c>
      <c r="U185" cm="1">
        <f t="array" ref="U185">IFERROR(_xlfn.IFS(tblPedidos[[#This Row],[estado_operativo]]="ENTREGADO",tblPedidos[[#This Row],[ganancia_calc]],tblPedidos[[#This Row],[estado_operativo]]="DEVOLUCION",tblPedidos[[#This Row],[costo_devolucion_estimado]]),0)</f>
        <v>0</v>
      </c>
      <c r="V185">
        <v>0</v>
      </c>
      <c r="W185">
        <v>89900</v>
      </c>
      <c r="X185">
        <v>19245.5</v>
      </c>
      <c r="Y185">
        <v>50000</v>
      </c>
      <c r="Z185" s="11">
        <v>46043</v>
      </c>
      <c r="AA185">
        <v>1</v>
      </c>
      <c r="AB185" s="12">
        <v>0.67361111111111116</v>
      </c>
      <c r="AC185" t="s">
        <v>708</v>
      </c>
      <c r="AD185" t="s">
        <v>709</v>
      </c>
      <c r="AE185" t="s">
        <v>386</v>
      </c>
    </row>
    <row r="186" spans="1:31">
      <c r="A186" t="s">
        <v>33</v>
      </c>
      <c r="C186">
        <v>915</v>
      </c>
      <c r="D186" t="s">
        <v>1146</v>
      </c>
      <c r="E186" s="11">
        <v>46041</v>
      </c>
      <c r="F186" t="s">
        <v>1147</v>
      </c>
      <c r="G186" t="s">
        <v>45</v>
      </c>
      <c r="J186" t="s">
        <v>522</v>
      </c>
      <c r="K186" t="s">
        <v>1148</v>
      </c>
      <c r="L186" t="s">
        <v>46</v>
      </c>
      <c r="M186" t="s">
        <v>1149</v>
      </c>
      <c r="N186" t="s">
        <v>1150</v>
      </c>
      <c r="O186" t="s">
        <v>1151</v>
      </c>
      <c r="P186" s="46" t="str" cm="1">
        <f t="array" aca="1" ref="P186" ca="1">IFERROR(_xlfn.XLOOKUP(tblPedidos[[#This Row],[id_dropi]],tblNotas[[#This Row],[id__dropi]],tblNotas[[#This Row],[Notas Manuales]], “”, 0),"")</f>
        <v/>
      </c>
      <c r="Q186" t="s">
        <v>50</v>
      </c>
      <c r="R186" t="s">
        <v>739</v>
      </c>
      <c r="S186">
        <v>20654.5</v>
      </c>
      <c r="T186">
        <v>-19245.5</v>
      </c>
      <c r="U186" cm="1">
        <f t="array" ref="U186">IFERROR(_xlfn.IFS(tblPedidos[[#This Row],[estado_operativo]]="ENTREGADO",tblPedidos[[#This Row],[ganancia_calc]],tblPedidos[[#This Row],[estado_operativo]]="DEVOLUCION",tblPedidos[[#This Row],[costo_devolucion_estimado]]),0)</f>
        <v>0</v>
      </c>
      <c r="V186">
        <v>0</v>
      </c>
      <c r="W186">
        <v>89900</v>
      </c>
      <c r="X186">
        <v>19245.5</v>
      </c>
      <c r="Y186">
        <v>50000</v>
      </c>
      <c r="Z186" s="11">
        <v>46043</v>
      </c>
      <c r="AA186">
        <v>1</v>
      </c>
      <c r="AB186" s="12">
        <v>0.67500000000000004</v>
      </c>
      <c r="AC186" t="s">
        <v>716</v>
      </c>
      <c r="AD186" t="s">
        <v>717</v>
      </c>
      <c r="AE186" t="s">
        <v>522</v>
      </c>
    </row>
    <row r="187" spans="1:31">
      <c r="A187" t="s">
        <v>33</v>
      </c>
      <c r="C187">
        <v>908</v>
      </c>
      <c r="D187" t="s">
        <v>1152</v>
      </c>
      <c r="E187" s="11">
        <v>46041</v>
      </c>
      <c r="F187" t="s">
        <v>1153</v>
      </c>
      <c r="G187" t="s">
        <v>45</v>
      </c>
      <c r="J187" t="s">
        <v>386</v>
      </c>
      <c r="K187" t="s">
        <v>1154</v>
      </c>
      <c r="L187" t="s">
        <v>61</v>
      </c>
      <c r="M187" t="s">
        <v>705</v>
      </c>
      <c r="N187" t="s">
        <v>706</v>
      </c>
      <c r="O187" t="s">
        <v>1155</v>
      </c>
      <c r="P187" s="46" t="str" cm="1">
        <f t="array" aca="1" ref="P187" ca="1">IFERROR(_xlfn.XLOOKUP(tblPedidos[[#This Row],[id_dropi]],tblNotas[[#This Row],[id__dropi]],tblNotas[[#This Row],[Notas Manuales]], “”, 0),"")</f>
        <v/>
      </c>
      <c r="Q187" t="s">
        <v>50</v>
      </c>
      <c r="R187" t="s">
        <v>739</v>
      </c>
      <c r="S187">
        <v>20654.5</v>
      </c>
      <c r="T187">
        <v>-19245.5</v>
      </c>
      <c r="U187" cm="1">
        <f t="array" ref="U187">IFERROR(_xlfn.IFS(tblPedidos[[#This Row],[estado_operativo]]="ENTREGADO",tblPedidos[[#This Row],[ganancia_calc]],tblPedidos[[#This Row],[estado_operativo]]="DEVOLUCION",tblPedidos[[#This Row],[costo_devolucion_estimado]]),0)</f>
        <v>0</v>
      </c>
      <c r="V187">
        <v>0</v>
      </c>
      <c r="W187">
        <v>89900</v>
      </c>
      <c r="X187">
        <v>19245.5</v>
      </c>
      <c r="Y187">
        <v>50000</v>
      </c>
      <c r="Z187" s="11">
        <v>46043</v>
      </c>
      <c r="AA187">
        <v>1</v>
      </c>
      <c r="AB187" s="12">
        <v>0.67500000000000004</v>
      </c>
      <c r="AC187" t="s">
        <v>708</v>
      </c>
      <c r="AD187" t="s">
        <v>709</v>
      </c>
      <c r="AE187" t="s">
        <v>386</v>
      </c>
    </row>
    <row r="188" spans="1:31">
      <c r="A188" t="s">
        <v>33</v>
      </c>
      <c r="C188">
        <v>907</v>
      </c>
      <c r="D188" t="s">
        <v>1156</v>
      </c>
      <c r="E188" s="11">
        <v>46041</v>
      </c>
      <c r="F188" t="s">
        <v>1157</v>
      </c>
      <c r="G188" t="s">
        <v>36</v>
      </c>
      <c r="J188" t="s">
        <v>720</v>
      </c>
      <c r="K188" t="s">
        <v>1158</v>
      </c>
      <c r="L188" t="s">
        <v>81</v>
      </c>
      <c r="M188" t="s">
        <v>1159</v>
      </c>
      <c r="N188" t="s">
        <v>1160</v>
      </c>
      <c r="O188" t="s">
        <v>1161</v>
      </c>
      <c r="P188" s="46" t="str" cm="1">
        <f t="array" aca="1" ref="P188" ca="1">IFERROR(_xlfn.XLOOKUP(tblPedidos[[#This Row],[id_dropi]],tblNotas[[#This Row],[id__dropi]],tblNotas[[#This Row],[Notas Manuales]], “”, 0),"")</f>
        <v/>
      </c>
      <c r="R188" t="s">
        <v>739</v>
      </c>
      <c r="S188">
        <v>25496.5</v>
      </c>
      <c r="T188">
        <v>-11522.800000000001</v>
      </c>
      <c r="U188" cm="1">
        <f t="array" ref="U188">IFERROR(_xlfn.IFS(tblPedidos[[#This Row],[estado_operativo]]="ENTREGADO",tblPedidos[[#This Row],[ganancia_calc]],tblPedidos[[#This Row],[estado_operativo]]="DEVOLUCION",tblPedidos[[#This Row],[costo_devolucion_estimado]]),0)</f>
        <v>25496.5</v>
      </c>
      <c r="V188">
        <v>0</v>
      </c>
      <c r="W188">
        <v>89900</v>
      </c>
      <c r="X188">
        <v>14403.5</v>
      </c>
      <c r="Y188">
        <v>50000</v>
      </c>
      <c r="Z188" s="11">
        <v>46042</v>
      </c>
      <c r="AA188">
        <v>2</v>
      </c>
      <c r="AB188" s="12">
        <v>0.90347222222222223</v>
      </c>
      <c r="AC188" t="s">
        <v>399</v>
      </c>
      <c r="AD188" t="s">
        <v>720</v>
      </c>
      <c r="AE188" t="s">
        <v>720</v>
      </c>
    </row>
    <row r="189" spans="1:31">
      <c r="A189" t="s">
        <v>33</v>
      </c>
      <c r="C189">
        <v>909</v>
      </c>
      <c r="D189" t="s">
        <v>1162</v>
      </c>
      <c r="E189" s="11">
        <v>46041</v>
      </c>
      <c r="F189" t="s">
        <v>1163</v>
      </c>
      <c r="G189" t="s">
        <v>45</v>
      </c>
      <c r="J189" t="s">
        <v>522</v>
      </c>
      <c r="K189" t="s">
        <v>1164</v>
      </c>
      <c r="L189" t="s">
        <v>328</v>
      </c>
      <c r="M189" t="s">
        <v>1165</v>
      </c>
      <c r="N189" t="s">
        <v>1166</v>
      </c>
      <c r="O189" t="s">
        <v>1167</v>
      </c>
      <c r="P189" s="46" t="str" cm="1">
        <f t="array" aca="1" ref="P189" ca="1">IFERROR(_xlfn.XLOOKUP(tblPedidos[[#This Row],[id_dropi]],tblNotas[[#This Row],[id__dropi]],tblNotas[[#This Row],[Notas Manuales]], “”, 0),"")</f>
        <v/>
      </c>
      <c r="Q189" t="s">
        <v>50</v>
      </c>
      <c r="R189" t="s">
        <v>739</v>
      </c>
      <c r="S189">
        <v>20654.5</v>
      </c>
      <c r="T189">
        <v>-19245.5</v>
      </c>
      <c r="U189" cm="1">
        <f t="array" ref="U189">IFERROR(_xlfn.IFS(tblPedidos[[#This Row],[estado_operativo]]="ENTREGADO",tblPedidos[[#This Row],[ganancia_calc]],tblPedidos[[#This Row],[estado_operativo]]="DEVOLUCION",tblPedidos[[#This Row],[costo_devolucion_estimado]]),0)</f>
        <v>0</v>
      </c>
      <c r="V189">
        <v>0</v>
      </c>
      <c r="W189">
        <v>89900</v>
      </c>
      <c r="X189">
        <v>19245.5</v>
      </c>
      <c r="Y189">
        <v>50000</v>
      </c>
      <c r="Z189" s="11">
        <v>46043</v>
      </c>
      <c r="AA189">
        <v>1</v>
      </c>
      <c r="AB189" s="12">
        <v>0.67500000000000004</v>
      </c>
      <c r="AC189" t="s">
        <v>716</v>
      </c>
      <c r="AD189" t="s">
        <v>717</v>
      </c>
      <c r="AE189" t="s">
        <v>522</v>
      </c>
    </row>
    <row r="190" spans="1:31">
      <c r="A190" t="s">
        <v>33</v>
      </c>
      <c r="C190">
        <v>911</v>
      </c>
      <c r="D190" t="s">
        <v>1168</v>
      </c>
      <c r="E190" s="11">
        <v>46041</v>
      </c>
      <c r="F190" t="s">
        <v>1169</v>
      </c>
      <c r="G190" t="s">
        <v>36</v>
      </c>
      <c r="J190" t="s">
        <v>386</v>
      </c>
      <c r="K190" t="s">
        <v>1170</v>
      </c>
      <c r="L190" t="s">
        <v>662</v>
      </c>
      <c r="M190" t="s">
        <v>663</v>
      </c>
      <c r="N190" t="s">
        <v>1171</v>
      </c>
      <c r="O190" t="s">
        <v>1172</v>
      </c>
      <c r="P190" s="46" t="str" cm="1">
        <f t="array" aca="1" ref="P190" ca="1">IFERROR(_xlfn.XLOOKUP(tblPedidos[[#This Row],[id_dropi]],tblNotas[[#This Row],[id__dropi]],tblNotas[[#This Row],[Notas Manuales]], “”, 0),"")</f>
        <v/>
      </c>
      <c r="R190" t="s">
        <v>739</v>
      </c>
      <c r="S190">
        <v>23336.5</v>
      </c>
      <c r="T190">
        <v>-13250.800000000001</v>
      </c>
      <c r="U190" cm="1">
        <f t="array" ref="U190">IFERROR(_xlfn.IFS(tblPedidos[[#This Row],[estado_operativo]]="ENTREGADO",tblPedidos[[#This Row],[ganancia_calc]],tblPedidos[[#This Row],[estado_operativo]]="DEVOLUCION",tblPedidos[[#This Row],[costo_devolucion_estimado]]),0)</f>
        <v>0</v>
      </c>
      <c r="V190">
        <v>0</v>
      </c>
      <c r="W190">
        <v>89900</v>
      </c>
      <c r="X190">
        <v>16563.5</v>
      </c>
      <c r="Y190">
        <v>50000</v>
      </c>
      <c r="Z190" s="11">
        <v>46042</v>
      </c>
      <c r="AA190">
        <v>2</v>
      </c>
      <c r="AB190" s="12">
        <v>0.90347222222222223</v>
      </c>
      <c r="AC190" t="s">
        <v>399</v>
      </c>
      <c r="AD190" t="s">
        <v>399</v>
      </c>
      <c r="AE190" t="s">
        <v>386</v>
      </c>
    </row>
    <row r="191" spans="1:31">
      <c r="A191" t="s">
        <v>33</v>
      </c>
      <c r="C191">
        <v>910</v>
      </c>
      <c r="D191" t="s">
        <v>1173</v>
      </c>
      <c r="E191" s="11">
        <v>46041</v>
      </c>
      <c r="F191" t="s">
        <v>1174</v>
      </c>
      <c r="G191" t="s">
        <v>45</v>
      </c>
      <c r="J191" t="s">
        <v>522</v>
      </c>
      <c r="K191" t="s">
        <v>1175</v>
      </c>
      <c r="L191" t="s">
        <v>46</v>
      </c>
      <c r="M191" t="s">
        <v>1176</v>
      </c>
      <c r="N191" t="s">
        <v>1177</v>
      </c>
      <c r="O191" t="s">
        <v>1178</v>
      </c>
      <c r="P191" s="46" t="str" cm="1">
        <f t="array" aca="1" ref="P191" ca="1">IFERROR(_xlfn.XLOOKUP(tblPedidos[[#This Row],[id_dropi]],tblNotas[[#This Row],[id__dropi]],tblNotas[[#This Row],[Notas Manuales]], “”, 0),"")</f>
        <v/>
      </c>
      <c r="R191" t="s">
        <v>772</v>
      </c>
      <c r="S191">
        <v>17004.5</v>
      </c>
      <c r="T191">
        <v>-17895.5</v>
      </c>
      <c r="U191" cm="1">
        <f t="array" ref="U191">IFERROR(_xlfn.IFS(tblPedidos[[#This Row],[estado_operativo]]="ENTREGADO",tblPedidos[[#This Row],[ganancia_calc]],tblPedidos[[#This Row],[estado_operativo]]="DEVOLUCION",tblPedidos[[#This Row],[costo_devolucion_estimado]]),0)</f>
        <v>0</v>
      </c>
      <c r="V191">
        <v>0</v>
      </c>
      <c r="W191">
        <v>59900</v>
      </c>
      <c r="X191">
        <v>17895.5</v>
      </c>
      <c r="Y191">
        <v>25000</v>
      </c>
      <c r="Z191" s="11">
        <v>46043</v>
      </c>
      <c r="AA191">
        <v>1</v>
      </c>
      <c r="AB191" s="12">
        <v>0.67500000000000004</v>
      </c>
      <c r="AC191" t="s">
        <v>716</v>
      </c>
      <c r="AD191" t="s">
        <v>717</v>
      </c>
      <c r="AE191" t="s">
        <v>522</v>
      </c>
    </row>
    <row r="192" spans="1:31">
      <c r="A192" t="s">
        <v>33</v>
      </c>
      <c r="C192">
        <v>917</v>
      </c>
      <c r="D192" t="s">
        <v>1179</v>
      </c>
      <c r="E192" s="11">
        <v>46041</v>
      </c>
      <c r="F192" t="s">
        <v>1180</v>
      </c>
      <c r="G192" t="s">
        <v>45</v>
      </c>
      <c r="J192" t="s">
        <v>720</v>
      </c>
      <c r="K192" t="s">
        <v>1181</v>
      </c>
      <c r="L192" t="s">
        <v>46</v>
      </c>
      <c r="M192" t="s">
        <v>100</v>
      </c>
      <c r="N192" t="s">
        <v>1182</v>
      </c>
      <c r="O192" t="s">
        <v>1183</v>
      </c>
      <c r="P192" s="46" t="str" cm="1">
        <f t="array" aca="1" ref="P192" ca="1">IFERROR(_xlfn.XLOOKUP(tblPedidos[[#This Row],[id_dropi]],tblNotas[[#This Row],[id__dropi]],tblNotas[[#This Row],[Notas Manuales]], “”, 0),"")</f>
        <v/>
      </c>
      <c r="R192" t="s">
        <v>739</v>
      </c>
      <c r="S192">
        <v>20654.5</v>
      </c>
      <c r="T192">
        <v>-19245.5</v>
      </c>
      <c r="U192" cm="1">
        <f t="array" ref="U192">IFERROR(_xlfn.IFS(tblPedidos[[#This Row],[estado_operativo]]="ENTREGADO",tblPedidos[[#This Row],[ganancia_calc]],tblPedidos[[#This Row],[estado_operativo]]="DEVOLUCION",tblPedidos[[#This Row],[costo_devolucion_estimado]]),0)</f>
        <v>20654.5</v>
      </c>
      <c r="V192">
        <v>0</v>
      </c>
      <c r="W192">
        <v>89900</v>
      </c>
      <c r="X192">
        <v>19245.5</v>
      </c>
      <c r="Y192">
        <v>50000</v>
      </c>
      <c r="Z192" s="11">
        <v>46043</v>
      </c>
      <c r="AA192">
        <v>1</v>
      </c>
      <c r="AB192" s="12">
        <v>0.67500000000000004</v>
      </c>
      <c r="AC192" t="s">
        <v>725</v>
      </c>
      <c r="AD192" t="s">
        <v>720</v>
      </c>
      <c r="AE192" t="s">
        <v>720</v>
      </c>
    </row>
    <row r="193" spans="1:31">
      <c r="A193" t="s">
        <v>33</v>
      </c>
      <c r="C193">
        <v>924</v>
      </c>
      <c r="D193" t="s">
        <v>1184</v>
      </c>
      <c r="E193" s="11">
        <v>46041</v>
      </c>
      <c r="F193" t="s">
        <v>1185</v>
      </c>
      <c r="G193" t="s">
        <v>45</v>
      </c>
      <c r="J193" t="s">
        <v>522</v>
      </c>
      <c r="K193" t="s">
        <v>1186</v>
      </c>
      <c r="L193" t="s">
        <v>46</v>
      </c>
      <c r="M193" t="s">
        <v>1187</v>
      </c>
      <c r="N193" t="s">
        <v>1188</v>
      </c>
      <c r="O193" t="s">
        <v>1189</v>
      </c>
      <c r="P193" s="46" t="str" cm="1">
        <f t="array" aca="1" ref="P193" ca="1">IFERROR(_xlfn.XLOOKUP(tblPedidos[[#This Row],[id_dropi]],tblNotas[[#This Row],[id__dropi]],tblNotas[[#This Row],[Notas Manuales]], “”, 0),"")</f>
        <v/>
      </c>
      <c r="Q193" t="s">
        <v>50</v>
      </c>
      <c r="R193" t="s">
        <v>772</v>
      </c>
      <c r="S193">
        <v>17004.5</v>
      </c>
      <c r="T193">
        <v>-17895.5</v>
      </c>
      <c r="U193" cm="1">
        <f t="array" ref="U193">IFERROR(_xlfn.IFS(tblPedidos[[#This Row],[estado_operativo]]="ENTREGADO",tblPedidos[[#This Row],[ganancia_calc]],tblPedidos[[#This Row],[estado_operativo]]="DEVOLUCION",tblPedidos[[#This Row],[costo_devolucion_estimado]]),0)</f>
        <v>0</v>
      </c>
      <c r="V193">
        <v>0</v>
      </c>
      <c r="W193">
        <v>59900</v>
      </c>
      <c r="X193">
        <v>17895.5</v>
      </c>
      <c r="Y193">
        <v>25000</v>
      </c>
      <c r="Z193" s="11">
        <v>46043</v>
      </c>
      <c r="AA193">
        <v>1</v>
      </c>
      <c r="AB193" s="12">
        <v>0.67500000000000004</v>
      </c>
      <c r="AC193" t="s">
        <v>716</v>
      </c>
      <c r="AD193" t="s">
        <v>717</v>
      </c>
      <c r="AE193" t="s">
        <v>522</v>
      </c>
    </row>
    <row r="194" spans="1:31">
      <c r="A194" t="s">
        <v>33</v>
      </c>
      <c r="C194">
        <v>923</v>
      </c>
      <c r="D194" t="s">
        <v>1190</v>
      </c>
      <c r="E194" s="11">
        <v>46041</v>
      </c>
      <c r="F194" t="s">
        <v>1191</v>
      </c>
      <c r="G194" t="s">
        <v>36</v>
      </c>
      <c r="J194" t="s">
        <v>386</v>
      </c>
      <c r="K194" t="s">
        <v>1192</v>
      </c>
      <c r="L194" t="s">
        <v>54</v>
      </c>
      <c r="M194" t="s">
        <v>224</v>
      </c>
      <c r="N194" t="s">
        <v>1193</v>
      </c>
      <c r="O194" t="s">
        <v>1194</v>
      </c>
      <c r="P194" s="46" t="str" cm="1">
        <f t="array" aca="1" ref="P194" ca="1">IFERROR(_xlfn.XLOOKUP(tblPedidos[[#This Row],[id_dropi]],tblNotas[[#This Row],[id__dropi]],tblNotas[[#This Row],[Notas Manuales]], “”, 0),"")</f>
        <v/>
      </c>
      <c r="R194" t="s">
        <v>739</v>
      </c>
      <c r="S194">
        <v>23336.5</v>
      </c>
      <c r="T194">
        <v>-13250.800000000001</v>
      </c>
      <c r="U194" cm="1">
        <f t="array" ref="U194">IFERROR(_xlfn.IFS(tblPedidos[[#This Row],[estado_operativo]]="ENTREGADO",tblPedidos[[#This Row],[ganancia_calc]],tblPedidos[[#This Row],[estado_operativo]]="DEVOLUCION",tblPedidos[[#This Row],[costo_devolucion_estimado]]),0)</f>
        <v>0</v>
      </c>
      <c r="V194">
        <v>0</v>
      </c>
      <c r="W194">
        <v>89900</v>
      </c>
      <c r="X194">
        <v>16563.5</v>
      </c>
      <c r="Y194">
        <v>50000</v>
      </c>
      <c r="Z194" s="11">
        <v>46042</v>
      </c>
      <c r="AA194">
        <v>2</v>
      </c>
      <c r="AB194" s="12">
        <v>0.90347222222222223</v>
      </c>
      <c r="AC194" t="s">
        <v>399</v>
      </c>
      <c r="AD194" t="s">
        <v>399</v>
      </c>
      <c r="AE194" t="s">
        <v>386</v>
      </c>
    </row>
    <row r="195" spans="1:31">
      <c r="A195" t="s">
        <v>33</v>
      </c>
      <c r="C195">
        <v>925</v>
      </c>
      <c r="D195" t="s">
        <v>1195</v>
      </c>
      <c r="E195" s="11">
        <v>46041</v>
      </c>
      <c r="F195" t="s">
        <v>1196</v>
      </c>
      <c r="G195" t="s">
        <v>36</v>
      </c>
      <c r="J195" t="s">
        <v>959</v>
      </c>
      <c r="K195" t="s">
        <v>1197</v>
      </c>
      <c r="L195" t="s">
        <v>81</v>
      </c>
      <c r="M195" t="s">
        <v>1198</v>
      </c>
      <c r="N195" t="s">
        <v>1199</v>
      </c>
      <c r="O195" t="s">
        <v>1200</v>
      </c>
      <c r="P195" s="46" t="str" cm="1">
        <f t="array" aca="1" ref="P195" ca="1">IFERROR(_xlfn.XLOOKUP(tblPedidos[[#This Row],[id_dropi]],tblNotas[[#This Row],[id__dropi]],tblNotas[[#This Row],[Notas Manuales]], “”, 0),"")</f>
        <v/>
      </c>
      <c r="R195" t="s">
        <v>739</v>
      </c>
      <c r="S195">
        <v>26792.5</v>
      </c>
      <c r="T195">
        <v>-10486</v>
      </c>
      <c r="U195" cm="1">
        <f t="array" ref="U195">IFERROR(_xlfn.IFS(tblPedidos[[#This Row],[estado_operativo]]="ENTREGADO",tblPedidos[[#This Row],[ganancia_calc]],tblPedidos[[#This Row],[estado_operativo]]="DEVOLUCION",tblPedidos[[#This Row],[costo_devolucion_estimado]]),0)</f>
        <v>0</v>
      </c>
      <c r="V195">
        <v>0</v>
      </c>
      <c r="W195">
        <v>89900</v>
      </c>
      <c r="X195">
        <v>13107.5</v>
      </c>
      <c r="Y195">
        <v>50000</v>
      </c>
      <c r="Z195" s="11">
        <v>46042</v>
      </c>
      <c r="AA195">
        <v>2</v>
      </c>
      <c r="AB195" s="12">
        <v>0.90347222222222223</v>
      </c>
      <c r="AC195" t="s">
        <v>399</v>
      </c>
      <c r="AD195" t="s">
        <v>1103</v>
      </c>
      <c r="AE195" t="s">
        <v>959</v>
      </c>
    </row>
    <row r="196" spans="1:31">
      <c r="A196" t="s">
        <v>33</v>
      </c>
      <c r="C196">
        <v>927</v>
      </c>
      <c r="D196" t="s">
        <v>1201</v>
      </c>
      <c r="E196" s="11">
        <v>46041</v>
      </c>
      <c r="F196" t="s">
        <v>1202</v>
      </c>
      <c r="G196" t="s">
        <v>958</v>
      </c>
      <c r="J196" t="s">
        <v>959</v>
      </c>
      <c r="K196" t="s">
        <v>1203</v>
      </c>
      <c r="L196" t="s">
        <v>46</v>
      </c>
      <c r="M196" t="s">
        <v>100</v>
      </c>
      <c r="N196" t="s">
        <v>1204</v>
      </c>
      <c r="O196" t="s">
        <v>1205</v>
      </c>
      <c r="P196" s="46" t="str" cm="1">
        <f t="array" aca="1" ref="P196" ca="1">IFERROR(_xlfn.XLOOKUP(tblPedidos[[#This Row],[id_dropi]],tblNotas[[#This Row],[id__dropi]],tblNotas[[#This Row],[Notas Manuales]], “”, 0),"")</f>
        <v/>
      </c>
      <c r="R196" t="s">
        <v>739</v>
      </c>
      <c r="S196">
        <v>21428.5</v>
      </c>
      <c r="T196">
        <v>-10777.2</v>
      </c>
      <c r="U196" cm="1">
        <f t="array" ref="U196">IFERROR(_xlfn.IFS(tblPedidos[[#This Row],[estado_operativo]]="ENTREGADO",tblPedidos[[#This Row],[ganancia_calc]],tblPedidos[[#This Row],[estado_operativo]]="DEVOLUCION",tblPedidos[[#This Row],[costo_devolucion_estimado]]),0)</f>
        <v>0</v>
      </c>
      <c r="V196">
        <v>0</v>
      </c>
      <c r="W196">
        <v>84900</v>
      </c>
      <c r="X196">
        <v>13471.5</v>
      </c>
      <c r="Y196">
        <v>50000</v>
      </c>
      <c r="Z196" s="11">
        <v>46043</v>
      </c>
      <c r="AA196">
        <v>1</v>
      </c>
      <c r="AB196" s="12">
        <v>0.54791666666666672</v>
      </c>
      <c r="AC196" t="s">
        <v>964</v>
      </c>
      <c r="AD196" t="s">
        <v>964</v>
      </c>
      <c r="AE196" t="s">
        <v>959</v>
      </c>
    </row>
    <row r="197" spans="1:31">
      <c r="A197" t="s">
        <v>33</v>
      </c>
      <c r="C197">
        <v>926</v>
      </c>
      <c r="D197" t="s">
        <v>1206</v>
      </c>
      <c r="E197" s="11">
        <v>46041</v>
      </c>
      <c r="F197" t="s">
        <v>1207</v>
      </c>
      <c r="G197" t="s">
        <v>45</v>
      </c>
      <c r="J197" t="s">
        <v>720</v>
      </c>
      <c r="K197" t="s">
        <v>1208</v>
      </c>
      <c r="L197" t="s">
        <v>111</v>
      </c>
      <c r="M197" t="s">
        <v>695</v>
      </c>
      <c r="N197" t="s">
        <v>1209</v>
      </c>
      <c r="O197" t="s">
        <v>1210</v>
      </c>
      <c r="P197" s="46" t="str" cm="1">
        <f t="array" aca="1" ref="P197" ca="1">IFERROR(_xlfn.XLOOKUP(tblPedidos[[#This Row],[id_dropi]],tblNotas[[#This Row],[id__dropi]],tblNotas[[#This Row],[Notas Manuales]], “”, 0),"")</f>
        <v/>
      </c>
      <c r="R197" t="s">
        <v>739</v>
      </c>
      <c r="S197">
        <v>25204.5</v>
      </c>
      <c r="T197">
        <v>-14695.5</v>
      </c>
      <c r="U197" cm="1">
        <f t="array" ref="U197">IFERROR(_xlfn.IFS(tblPedidos[[#This Row],[estado_operativo]]="ENTREGADO",tblPedidos[[#This Row],[ganancia_calc]],tblPedidos[[#This Row],[estado_operativo]]="DEVOLUCION",tblPedidos[[#This Row],[costo_devolucion_estimado]]),0)</f>
        <v>25204.5</v>
      </c>
      <c r="V197">
        <v>0</v>
      </c>
      <c r="W197">
        <v>89900</v>
      </c>
      <c r="X197">
        <v>14695.5</v>
      </c>
      <c r="Y197">
        <v>50000</v>
      </c>
      <c r="Z197" s="11">
        <v>46043</v>
      </c>
      <c r="AA197">
        <v>1</v>
      </c>
      <c r="AB197" s="12">
        <v>0.67500000000000004</v>
      </c>
      <c r="AC197" t="s">
        <v>725</v>
      </c>
      <c r="AD197" t="s">
        <v>720</v>
      </c>
      <c r="AE197" t="s">
        <v>720</v>
      </c>
    </row>
    <row r="198" spans="1:31">
      <c r="A198" t="s">
        <v>33</v>
      </c>
      <c r="C198">
        <v>919</v>
      </c>
      <c r="D198" t="s">
        <v>1211</v>
      </c>
      <c r="E198" s="11">
        <v>46041</v>
      </c>
      <c r="F198" t="s">
        <v>1212</v>
      </c>
      <c r="G198" t="s">
        <v>36</v>
      </c>
      <c r="J198" t="s">
        <v>386</v>
      </c>
      <c r="K198" t="s">
        <v>1213</v>
      </c>
      <c r="L198" t="s">
        <v>54</v>
      </c>
      <c r="M198" t="s">
        <v>373</v>
      </c>
      <c r="N198" t="s">
        <v>1214</v>
      </c>
      <c r="O198" t="s">
        <v>1215</v>
      </c>
      <c r="P198" s="46" t="str" cm="1">
        <f t="array" aca="1" ref="P198" ca="1">IFERROR(_xlfn.XLOOKUP(tblPedidos[[#This Row],[id_dropi]],tblNotas[[#This Row],[id__dropi]],tblNotas[[#This Row],[Notas Manuales]], “”, 0),"")</f>
        <v/>
      </c>
      <c r="R198" t="s">
        <v>739</v>
      </c>
      <c r="S198">
        <v>23336.5</v>
      </c>
      <c r="T198">
        <v>-13250.800000000001</v>
      </c>
      <c r="U198" cm="1">
        <f t="array" ref="U198">IFERROR(_xlfn.IFS(tblPedidos[[#This Row],[estado_operativo]]="ENTREGADO",tblPedidos[[#This Row],[ganancia_calc]],tblPedidos[[#This Row],[estado_operativo]]="DEVOLUCION",tblPedidos[[#This Row],[costo_devolucion_estimado]]),0)</f>
        <v>0</v>
      </c>
      <c r="V198">
        <v>0</v>
      </c>
      <c r="W198">
        <v>89900</v>
      </c>
      <c r="X198">
        <v>16563.5</v>
      </c>
      <c r="Y198">
        <v>50000</v>
      </c>
      <c r="Z198" s="11">
        <v>46042</v>
      </c>
      <c r="AA198">
        <v>2</v>
      </c>
      <c r="AB198" s="12">
        <v>0.90347222222222223</v>
      </c>
      <c r="AC198" t="s">
        <v>399</v>
      </c>
      <c r="AD198" t="s">
        <v>399</v>
      </c>
      <c r="AE198" t="s">
        <v>386</v>
      </c>
    </row>
    <row r="199" spans="1:31">
      <c r="A199" t="s">
        <v>33</v>
      </c>
      <c r="C199">
        <v>918</v>
      </c>
      <c r="D199" t="s">
        <v>1216</v>
      </c>
      <c r="E199" s="11">
        <v>46041</v>
      </c>
      <c r="F199" t="s">
        <v>1217</v>
      </c>
      <c r="G199" t="s">
        <v>45</v>
      </c>
      <c r="J199" t="s">
        <v>522</v>
      </c>
      <c r="K199" t="s">
        <v>1218</v>
      </c>
      <c r="L199" t="s">
        <v>87</v>
      </c>
      <c r="M199" t="s">
        <v>1219</v>
      </c>
      <c r="N199" t="s">
        <v>1220</v>
      </c>
      <c r="O199" t="s">
        <v>1221</v>
      </c>
      <c r="P199" s="46" t="str" cm="1">
        <f t="array" aca="1" ref="P199" ca="1">IFERROR(_xlfn.XLOOKUP(tblPedidos[[#This Row],[id_dropi]],tblNotas[[#This Row],[id__dropi]],tblNotas[[#This Row],[Notas Manuales]], “”, 0),"")</f>
        <v/>
      </c>
      <c r="R199" t="s">
        <v>772</v>
      </c>
      <c r="S199">
        <v>17004.5</v>
      </c>
      <c r="T199">
        <v>-17895.5</v>
      </c>
      <c r="U199" cm="1">
        <f t="array" ref="U199">IFERROR(_xlfn.IFS(tblPedidos[[#This Row],[estado_operativo]]="ENTREGADO",tblPedidos[[#This Row],[ganancia_calc]],tblPedidos[[#This Row],[estado_operativo]]="DEVOLUCION",tblPedidos[[#This Row],[costo_devolucion_estimado]]),0)</f>
        <v>0</v>
      </c>
      <c r="V199">
        <v>0</v>
      </c>
      <c r="W199">
        <v>59900</v>
      </c>
      <c r="X199">
        <v>17895.5</v>
      </c>
      <c r="Y199">
        <v>25000</v>
      </c>
      <c r="Z199" s="11">
        <v>46043</v>
      </c>
      <c r="AA199">
        <v>1</v>
      </c>
      <c r="AB199" s="12">
        <v>0.67500000000000004</v>
      </c>
      <c r="AC199" t="s">
        <v>716</v>
      </c>
      <c r="AD199" t="s">
        <v>717</v>
      </c>
      <c r="AE199" t="s">
        <v>522</v>
      </c>
    </row>
    <row r="200" spans="1:31">
      <c r="A200" t="s">
        <v>33</v>
      </c>
      <c r="C200">
        <v>920</v>
      </c>
      <c r="D200" t="s">
        <v>1222</v>
      </c>
      <c r="E200" s="11">
        <v>46041</v>
      </c>
      <c r="F200" t="s">
        <v>1223</v>
      </c>
      <c r="G200" t="s">
        <v>36</v>
      </c>
      <c r="J200" t="s">
        <v>386</v>
      </c>
      <c r="K200" t="s">
        <v>1224</v>
      </c>
      <c r="L200" t="s">
        <v>54</v>
      </c>
      <c r="M200" t="s">
        <v>373</v>
      </c>
      <c r="N200" t="s">
        <v>1225</v>
      </c>
      <c r="O200" t="s">
        <v>1226</v>
      </c>
      <c r="P200" s="46" t="str" cm="1">
        <f t="array" aca="1" ref="P200" ca="1">IFERROR(_xlfn.XLOOKUP(tblPedidos[[#This Row],[id_dropi]],tblNotas[[#This Row],[id__dropi]],tblNotas[[#This Row],[Notas Manuales]], “”, 0),"")</f>
        <v/>
      </c>
      <c r="R200" t="s">
        <v>739</v>
      </c>
      <c r="S200">
        <v>23336.5</v>
      </c>
      <c r="T200">
        <v>-13250.800000000001</v>
      </c>
      <c r="U200" cm="1">
        <f t="array" ref="U200">IFERROR(_xlfn.IFS(tblPedidos[[#This Row],[estado_operativo]]="ENTREGADO",tblPedidos[[#This Row],[ganancia_calc]],tblPedidos[[#This Row],[estado_operativo]]="DEVOLUCION",tblPedidos[[#This Row],[costo_devolucion_estimado]]),0)</f>
        <v>0</v>
      </c>
      <c r="V200">
        <v>0</v>
      </c>
      <c r="W200">
        <v>89900</v>
      </c>
      <c r="X200">
        <v>16563.5</v>
      </c>
      <c r="Y200">
        <v>50000</v>
      </c>
      <c r="Z200" s="11">
        <v>46042</v>
      </c>
      <c r="AA200">
        <v>2</v>
      </c>
      <c r="AB200" s="12">
        <v>0.90347222222222223</v>
      </c>
      <c r="AC200" t="s">
        <v>399</v>
      </c>
      <c r="AD200" t="s">
        <v>399</v>
      </c>
      <c r="AE200" t="s">
        <v>386</v>
      </c>
    </row>
    <row r="201" spans="1:31">
      <c r="A201" t="s">
        <v>33</v>
      </c>
      <c r="C201">
        <v>922</v>
      </c>
      <c r="D201" t="s">
        <v>1227</v>
      </c>
      <c r="E201" s="11">
        <v>46041</v>
      </c>
      <c r="F201" t="s">
        <v>1228</v>
      </c>
      <c r="G201" t="s">
        <v>45</v>
      </c>
      <c r="J201" t="s">
        <v>939</v>
      </c>
      <c r="K201" t="s">
        <v>1229</v>
      </c>
      <c r="L201" t="s">
        <v>159</v>
      </c>
      <c r="M201" t="s">
        <v>160</v>
      </c>
      <c r="N201" t="s">
        <v>1230</v>
      </c>
      <c r="O201" t="s">
        <v>1231</v>
      </c>
      <c r="P201" s="46" t="str" cm="1">
        <f t="array" aca="1" ref="P201" ca="1">IFERROR(_xlfn.XLOOKUP(tblPedidos[[#This Row],[id_dropi]],tblNotas[[#This Row],[id__dropi]],tblNotas[[#This Row],[Notas Manuales]], “”, 0),"")</f>
        <v/>
      </c>
      <c r="Q201" t="s">
        <v>50</v>
      </c>
      <c r="R201" t="s">
        <v>739</v>
      </c>
      <c r="S201">
        <v>25204.5</v>
      </c>
      <c r="T201">
        <v>-14695.5</v>
      </c>
      <c r="U201" cm="1">
        <f t="array" ref="U201">IFERROR(_xlfn.IFS(tblPedidos[[#This Row],[estado_operativo]]="ENTREGADO",tblPedidos[[#This Row],[ganancia_calc]],tblPedidos[[#This Row],[estado_operativo]]="DEVOLUCION",tblPedidos[[#This Row],[costo_devolucion_estimado]]),0)</f>
        <v>0</v>
      </c>
      <c r="V201">
        <v>0</v>
      </c>
      <c r="W201">
        <v>89900</v>
      </c>
      <c r="X201">
        <v>14695.5</v>
      </c>
      <c r="Y201">
        <v>50000</v>
      </c>
      <c r="Z201" s="11">
        <v>46043</v>
      </c>
      <c r="AA201">
        <v>1</v>
      </c>
      <c r="AB201" s="12">
        <v>0.67500000000000004</v>
      </c>
      <c r="AC201" t="s">
        <v>944</v>
      </c>
      <c r="AD201" t="s">
        <v>944</v>
      </c>
      <c r="AE201" t="s">
        <v>939</v>
      </c>
    </row>
    <row r="202" spans="1:31">
      <c r="A202" t="s">
        <v>33</v>
      </c>
      <c r="C202">
        <v>921</v>
      </c>
      <c r="D202" t="s">
        <v>1232</v>
      </c>
      <c r="E202" s="11">
        <v>46041</v>
      </c>
      <c r="F202" t="s">
        <v>1233</v>
      </c>
      <c r="G202" t="s">
        <v>36</v>
      </c>
      <c r="J202" t="s">
        <v>720</v>
      </c>
      <c r="K202" t="s">
        <v>1234</v>
      </c>
      <c r="L202" t="s">
        <v>54</v>
      </c>
      <c r="M202" t="s">
        <v>224</v>
      </c>
      <c r="N202" t="s">
        <v>1235</v>
      </c>
      <c r="O202" t="s">
        <v>1236</v>
      </c>
      <c r="P202" s="46" t="str" cm="1">
        <f t="array" aca="1" ref="P202" ca="1">IFERROR(_xlfn.XLOOKUP(tblPedidos[[#This Row],[id_dropi]],tblNotas[[#This Row],[id__dropi]],tblNotas[[#This Row],[Notas Manuales]], “”, 0),"")</f>
        <v/>
      </c>
      <c r="R202" t="s">
        <v>1237</v>
      </c>
      <c r="S202">
        <v>19686.5</v>
      </c>
      <c r="T202">
        <v>-12170.800000000001</v>
      </c>
      <c r="U202" cm="1">
        <f t="array" ref="U202">IFERROR(_xlfn.IFS(tblPedidos[[#This Row],[estado_operativo]]="ENTREGADO",tblPedidos[[#This Row],[ganancia_calc]],tblPedidos[[#This Row],[estado_operativo]]="DEVOLUCION",tblPedidos[[#This Row],[costo_devolucion_estimado]]),0)</f>
        <v>19686.5</v>
      </c>
      <c r="V202">
        <v>0</v>
      </c>
      <c r="W202">
        <v>59900</v>
      </c>
      <c r="X202">
        <v>15213.5</v>
      </c>
      <c r="Y202">
        <v>25000</v>
      </c>
      <c r="Z202" s="11">
        <v>46042</v>
      </c>
      <c r="AA202">
        <v>2</v>
      </c>
      <c r="AB202" s="12">
        <v>0.77569444444444446</v>
      </c>
      <c r="AC202" t="s">
        <v>399</v>
      </c>
      <c r="AD202" t="s">
        <v>720</v>
      </c>
      <c r="AE202" t="s">
        <v>720</v>
      </c>
    </row>
    <row r="203" spans="1:31">
      <c r="A203" t="s">
        <v>33</v>
      </c>
      <c r="C203">
        <v>811</v>
      </c>
      <c r="D203" t="s">
        <v>1238</v>
      </c>
      <c r="E203" s="11">
        <v>46040</v>
      </c>
      <c r="F203" t="s">
        <v>1239</v>
      </c>
      <c r="G203" t="s">
        <v>45</v>
      </c>
      <c r="J203" t="s">
        <v>522</v>
      </c>
      <c r="K203" t="s">
        <v>1240</v>
      </c>
      <c r="L203" t="s">
        <v>125</v>
      </c>
      <c r="M203" t="s">
        <v>1241</v>
      </c>
      <c r="N203" t="s">
        <v>1242</v>
      </c>
      <c r="O203" t="s">
        <v>1243</v>
      </c>
      <c r="P203" s="46" t="str" cm="1">
        <f t="array" aca="1" ref="P203" ca="1">IFERROR(_xlfn.XLOOKUP(tblPedidos[[#This Row],[id_dropi]],tblNotas[[#This Row],[id__dropi]],tblNotas[[#This Row],[Notas Manuales]], “”, 0),"")</f>
        <v/>
      </c>
      <c r="R203" t="s">
        <v>1244</v>
      </c>
      <c r="S203">
        <v>27529.5</v>
      </c>
      <c r="T203">
        <v>-18570.5</v>
      </c>
      <c r="U203" cm="1">
        <f t="array" ref="U203">IFERROR(_xlfn.IFS(tblPedidos[[#This Row],[estado_operativo]]="ENTREGADO",tblPedidos[[#This Row],[ganancia_calc]],tblPedidos[[#This Row],[estado_operativo]]="DEVOLUCION",tblPedidos[[#This Row],[costo_devolucion_estimado]]),0)</f>
        <v>0</v>
      </c>
      <c r="V203">
        <v>0</v>
      </c>
      <c r="W203">
        <v>74900</v>
      </c>
      <c r="X203">
        <v>18570.5</v>
      </c>
      <c r="Y203">
        <v>28800</v>
      </c>
      <c r="Z203" s="11">
        <v>46043</v>
      </c>
      <c r="AA203">
        <v>1</v>
      </c>
      <c r="AB203" s="12">
        <v>0.42638888888888887</v>
      </c>
      <c r="AC203" t="s">
        <v>708</v>
      </c>
      <c r="AD203" t="s">
        <v>717</v>
      </c>
      <c r="AE203" t="s">
        <v>522</v>
      </c>
    </row>
    <row r="204" spans="1:31">
      <c r="A204" t="s">
        <v>33</v>
      </c>
      <c r="C204">
        <v>810</v>
      </c>
      <c r="D204" t="s">
        <v>1245</v>
      </c>
      <c r="E204" s="11">
        <v>46040</v>
      </c>
      <c r="F204" t="s">
        <v>1246</v>
      </c>
      <c r="G204" t="s">
        <v>45</v>
      </c>
      <c r="J204" t="s">
        <v>386</v>
      </c>
      <c r="K204" t="s">
        <v>1247</v>
      </c>
      <c r="L204" t="s">
        <v>87</v>
      </c>
      <c r="M204" t="s">
        <v>1248</v>
      </c>
      <c r="N204" t="s">
        <v>1249</v>
      </c>
      <c r="O204" t="s">
        <v>1250</v>
      </c>
      <c r="P204" s="46" t="str" cm="1">
        <f t="array" aca="1" ref="P204" ca="1">IFERROR(_xlfn.XLOOKUP(tblPedidos[[#This Row],[id_dropi]],tblNotas[[#This Row],[id__dropi]],tblNotas[[#This Row],[Notas Manuales]], “”, 0),"")</f>
        <v/>
      </c>
      <c r="Q204" t="s">
        <v>50</v>
      </c>
      <c r="R204" t="s">
        <v>1251</v>
      </c>
      <c r="S204">
        <v>22829.5</v>
      </c>
      <c r="T204">
        <v>-17670.5</v>
      </c>
      <c r="U204" cm="1">
        <f t="array" ref="U204">IFERROR(_xlfn.IFS(tblPedidos[[#This Row],[estado_operativo]]="ENTREGADO",tblPedidos[[#This Row],[ganancia_calc]],tblPedidos[[#This Row],[estado_operativo]]="DEVOLUCION",tblPedidos[[#This Row],[costo_devolucion_estimado]]),0)</f>
        <v>0</v>
      </c>
      <c r="V204">
        <v>0</v>
      </c>
      <c r="W204">
        <v>54900</v>
      </c>
      <c r="X204">
        <v>17670.5</v>
      </c>
      <c r="Y204">
        <v>14400</v>
      </c>
      <c r="Z204" s="11">
        <v>46043</v>
      </c>
      <c r="AA204">
        <v>1</v>
      </c>
      <c r="AB204" s="12">
        <v>0.42638888888888887</v>
      </c>
      <c r="AC204" t="s">
        <v>708</v>
      </c>
      <c r="AD204" t="s">
        <v>709</v>
      </c>
      <c r="AE204" t="s">
        <v>386</v>
      </c>
    </row>
    <row r="205" spans="1:31">
      <c r="A205" t="s">
        <v>33</v>
      </c>
      <c r="C205">
        <v>813</v>
      </c>
      <c r="D205" t="s">
        <v>1252</v>
      </c>
      <c r="E205" s="11">
        <v>46040</v>
      </c>
      <c r="F205" t="s">
        <v>1253</v>
      </c>
      <c r="G205" t="s">
        <v>45</v>
      </c>
      <c r="J205" t="s">
        <v>750</v>
      </c>
      <c r="K205" t="s">
        <v>1254</v>
      </c>
      <c r="L205" t="s">
        <v>545</v>
      </c>
      <c r="M205" t="s">
        <v>1255</v>
      </c>
      <c r="N205" t="s">
        <v>1256</v>
      </c>
      <c r="O205" t="s">
        <v>1257</v>
      </c>
      <c r="P205" s="46" t="str" cm="1">
        <f t="array" aca="1" ref="P205" ca="1">IFERROR(_xlfn.XLOOKUP(tblPedidos[[#This Row],[id_dropi]],tblNotas[[#This Row],[id__dropi]],tblNotas[[#This Row],[Notas Manuales]], “”, 0),"")</f>
        <v/>
      </c>
      <c r="R205" t="s">
        <v>1244</v>
      </c>
      <c r="S205">
        <v>27529.5</v>
      </c>
      <c r="T205">
        <v>-18570.5</v>
      </c>
      <c r="U205" cm="1">
        <f t="array" ref="U205">IFERROR(_xlfn.IFS(tblPedidos[[#This Row],[estado_operativo]]="ENTREGADO",tblPedidos[[#This Row],[ganancia_calc]],tblPedidos[[#This Row],[estado_operativo]]="DEVOLUCION",tblPedidos[[#This Row],[costo_devolucion_estimado]]),0)</f>
        <v>0</v>
      </c>
      <c r="V205">
        <v>0</v>
      </c>
      <c r="W205">
        <v>74900</v>
      </c>
      <c r="X205">
        <v>18570.5</v>
      </c>
      <c r="Y205">
        <v>28800</v>
      </c>
      <c r="Z205" s="11">
        <v>46043</v>
      </c>
      <c r="AA205">
        <v>1</v>
      </c>
      <c r="AB205" s="12">
        <v>0.42638888888888887</v>
      </c>
      <c r="AC205" t="s">
        <v>708</v>
      </c>
      <c r="AD205" t="s">
        <v>1027</v>
      </c>
      <c r="AE205" t="s">
        <v>750</v>
      </c>
    </row>
    <row r="206" spans="1:31">
      <c r="A206" t="s">
        <v>33</v>
      </c>
      <c r="C206">
        <v>812</v>
      </c>
      <c r="D206" t="s">
        <v>1258</v>
      </c>
      <c r="E206" s="11">
        <v>46040</v>
      </c>
      <c r="F206" t="s">
        <v>1259</v>
      </c>
      <c r="G206" t="s">
        <v>45</v>
      </c>
      <c r="J206" t="s">
        <v>386</v>
      </c>
      <c r="K206" t="s">
        <v>1260</v>
      </c>
      <c r="L206" t="s">
        <v>68</v>
      </c>
      <c r="M206" t="s">
        <v>69</v>
      </c>
      <c r="N206" t="s">
        <v>1261</v>
      </c>
      <c r="O206" t="s">
        <v>1262</v>
      </c>
      <c r="P206" s="46" t="str" cm="1">
        <f t="array" aca="1" ref="P206" ca="1">IFERROR(_xlfn.XLOOKUP(tblPedidos[[#This Row],[id_dropi]],tblNotas[[#This Row],[id__dropi]],tblNotas[[#This Row],[Notas Manuales]], “”, 0),"")</f>
        <v/>
      </c>
      <c r="Q206" t="s">
        <v>50</v>
      </c>
      <c r="R206" t="s">
        <v>1244</v>
      </c>
      <c r="S206">
        <v>27529.5</v>
      </c>
      <c r="T206">
        <v>-18570.5</v>
      </c>
      <c r="U206" cm="1">
        <f t="array" ref="U206">IFERROR(_xlfn.IFS(tblPedidos[[#This Row],[estado_operativo]]="ENTREGADO",tblPedidos[[#This Row],[ganancia_calc]],tblPedidos[[#This Row],[estado_operativo]]="DEVOLUCION",tblPedidos[[#This Row],[costo_devolucion_estimado]]),0)</f>
        <v>0</v>
      </c>
      <c r="V206">
        <v>0</v>
      </c>
      <c r="W206">
        <v>74900</v>
      </c>
      <c r="X206">
        <v>18570.5</v>
      </c>
      <c r="Y206">
        <v>28800</v>
      </c>
      <c r="Z206" s="11">
        <v>46043</v>
      </c>
      <c r="AA206">
        <v>1</v>
      </c>
      <c r="AB206" s="12">
        <v>0.42638888888888887</v>
      </c>
      <c r="AC206" t="s">
        <v>982</v>
      </c>
      <c r="AD206" t="s">
        <v>709</v>
      </c>
      <c r="AE206" t="s">
        <v>386</v>
      </c>
    </row>
    <row r="207" spans="1:31">
      <c r="A207" t="s">
        <v>33</v>
      </c>
      <c r="C207">
        <v>809</v>
      </c>
      <c r="D207" t="s">
        <v>1263</v>
      </c>
      <c r="E207" s="11">
        <v>46040</v>
      </c>
      <c r="F207" t="s">
        <v>1264</v>
      </c>
      <c r="G207" t="s">
        <v>45</v>
      </c>
      <c r="J207" t="s">
        <v>386</v>
      </c>
      <c r="K207" t="s">
        <v>1265</v>
      </c>
      <c r="L207" t="s">
        <v>590</v>
      </c>
      <c r="M207" t="s">
        <v>1266</v>
      </c>
      <c r="N207" t="s">
        <v>1267</v>
      </c>
      <c r="O207" t="s">
        <v>1268</v>
      </c>
      <c r="P207" s="46" t="str" cm="1">
        <f t="array" aca="1" ref="P207" ca="1">IFERROR(_xlfn.XLOOKUP(tblPedidos[[#This Row],[id_dropi]],tblNotas[[#This Row],[id__dropi]],tblNotas[[#This Row],[Notas Manuales]], “”, 0),"")</f>
        <v/>
      </c>
      <c r="Q207" t="s">
        <v>1269</v>
      </c>
      <c r="R207" t="s">
        <v>1244</v>
      </c>
      <c r="S207">
        <v>27529.5</v>
      </c>
      <c r="T207">
        <v>-18570.5</v>
      </c>
      <c r="U207" cm="1">
        <f t="array" ref="U207">IFERROR(_xlfn.IFS(tblPedidos[[#This Row],[estado_operativo]]="ENTREGADO",tblPedidos[[#This Row],[ganancia_calc]],tblPedidos[[#This Row],[estado_operativo]]="DEVOLUCION",tblPedidos[[#This Row],[costo_devolucion_estimado]]),0)</f>
        <v>0</v>
      </c>
      <c r="V207">
        <v>0</v>
      </c>
      <c r="W207">
        <v>74900</v>
      </c>
      <c r="X207">
        <v>18570.5</v>
      </c>
      <c r="Y207">
        <v>28800</v>
      </c>
      <c r="Z207" s="11">
        <v>46043</v>
      </c>
      <c r="AA207">
        <v>1</v>
      </c>
      <c r="AB207" s="12">
        <v>0.42638888888888887</v>
      </c>
      <c r="AC207" t="s">
        <v>708</v>
      </c>
      <c r="AD207" t="s">
        <v>709</v>
      </c>
      <c r="AE207" t="s">
        <v>386</v>
      </c>
    </row>
    <row r="208" spans="1:31">
      <c r="A208" t="s">
        <v>33</v>
      </c>
      <c r="C208">
        <v>806</v>
      </c>
      <c r="D208" t="s">
        <v>1270</v>
      </c>
      <c r="E208" s="11">
        <v>46040</v>
      </c>
      <c r="F208" t="s">
        <v>1271</v>
      </c>
      <c r="G208" t="s">
        <v>36</v>
      </c>
      <c r="J208" t="s">
        <v>522</v>
      </c>
      <c r="K208" t="s">
        <v>1272</v>
      </c>
      <c r="L208" t="s">
        <v>590</v>
      </c>
      <c r="M208" t="s">
        <v>783</v>
      </c>
      <c r="N208" t="s">
        <v>1273</v>
      </c>
      <c r="O208" t="s">
        <v>1274</v>
      </c>
      <c r="P208" s="46" t="str" cm="1">
        <f t="array" aca="1" ref="P208" ca="1">IFERROR(_xlfn.XLOOKUP(tblPedidos[[#This Row],[id_dropi]],tblNotas[[#This Row],[id__dropi]],tblNotas[[#This Row],[Notas Manuales]], “”, 0),"")</f>
        <v/>
      </c>
      <c r="R208" t="s">
        <v>1244</v>
      </c>
      <c r="S208">
        <v>30211.5</v>
      </c>
      <c r="T208">
        <v>-12710.800000000001</v>
      </c>
      <c r="U208" cm="1">
        <f t="array" ref="U208">IFERROR(_xlfn.IFS(tblPedidos[[#This Row],[estado_operativo]]="ENTREGADO",tblPedidos[[#This Row],[ganancia_calc]],tblPedidos[[#This Row],[estado_operativo]]="DEVOLUCION",tblPedidos[[#This Row],[costo_devolucion_estimado]]),0)</f>
        <v>0</v>
      </c>
      <c r="V208">
        <v>0</v>
      </c>
      <c r="W208">
        <v>74900</v>
      </c>
      <c r="X208">
        <v>15888.5</v>
      </c>
      <c r="Y208">
        <v>28800</v>
      </c>
      <c r="Z208" s="11">
        <v>46042</v>
      </c>
      <c r="AA208">
        <v>2</v>
      </c>
      <c r="AB208" s="12">
        <v>0.52916666666666667</v>
      </c>
      <c r="AC208" t="s">
        <v>399</v>
      </c>
      <c r="AD208" t="s">
        <v>527</v>
      </c>
      <c r="AE208" t="s">
        <v>522</v>
      </c>
    </row>
    <row r="209" spans="1:31">
      <c r="A209" t="s">
        <v>33</v>
      </c>
      <c r="C209">
        <v>805</v>
      </c>
      <c r="D209" t="s">
        <v>1275</v>
      </c>
      <c r="E209" s="11">
        <v>46040</v>
      </c>
      <c r="F209" t="s">
        <v>1276</v>
      </c>
      <c r="G209" t="s">
        <v>45</v>
      </c>
      <c r="J209" t="s">
        <v>522</v>
      </c>
      <c r="K209" t="s">
        <v>1277</v>
      </c>
      <c r="L209" t="s">
        <v>74</v>
      </c>
      <c r="M209" t="s">
        <v>1278</v>
      </c>
      <c r="N209" t="s">
        <v>1279</v>
      </c>
      <c r="O209" t="s">
        <v>1280</v>
      </c>
      <c r="P209" s="46" t="str" cm="1">
        <f t="array" aca="1" ref="P209" ca="1">IFERROR(_xlfn.XLOOKUP(tblPedidos[[#This Row],[id_dropi]],tblNotas[[#This Row],[id__dropi]],tblNotas[[#This Row],[Notas Manuales]], “”, 0),"")</f>
        <v/>
      </c>
      <c r="Q209" t="s">
        <v>50</v>
      </c>
      <c r="R209" t="s">
        <v>1244</v>
      </c>
      <c r="S209">
        <v>27529.5</v>
      </c>
      <c r="T209">
        <v>-18570.5</v>
      </c>
      <c r="U209" cm="1">
        <f t="array" ref="U209">IFERROR(_xlfn.IFS(tblPedidos[[#This Row],[estado_operativo]]="ENTREGADO",tblPedidos[[#This Row],[ganancia_calc]],tblPedidos[[#This Row],[estado_operativo]]="DEVOLUCION",tblPedidos[[#This Row],[costo_devolucion_estimado]]),0)</f>
        <v>0</v>
      </c>
      <c r="V209">
        <v>0</v>
      </c>
      <c r="W209">
        <v>74900</v>
      </c>
      <c r="X209">
        <v>18570.5</v>
      </c>
      <c r="Y209">
        <v>28800</v>
      </c>
      <c r="Z209" s="11">
        <v>46043</v>
      </c>
      <c r="AA209">
        <v>1</v>
      </c>
      <c r="AB209" s="12">
        <v>0.50555555555555554</v>
      </c>
      <c r="AC209" t="s">
        <v>708</v>
      </c>
      <c r="AD209" t="s">
        <v>717</v>
      </c>
      <c r="AE209" t="s">
        <v>522</v>
      </c>
    </row>
    <row r="210" spans="1:31">
      <c r="A210" t="s">
        <v>33</v>
      </c>
      <c r="C210">
        <v>808</v>
      </c>
      <c r="D210" t="s">
        <v>1281</v>
      </c>
      <c r="E210" s="11">
        <v>46040</v>
      </c>
      <c r="F210" t="s">
        <v>1282</v>
      </c>
      <c r="G210" t="s">
        <v>45</v>
      </c>
      <c r="J210" t="s">
        <v>386</v>
      </c>
      <c r="K210" t="s">
        <v>1283</v>
      </c>
      <c r="L210" t="s">
        <v>54</v>
      </c>
      <c r="M210" t="s">
        <v>1284</v>
      </c>
      <c r="N210" t="s">
        <v>1285</v>
      </c>
      <c r="O210" t="s">
        <v>1286</v>
      </c>
      <c r="P210" s="46" t="str" cm="1">
        <f t="array" aca="1" ref="P210" ca="1">IFERROR(_xlfn.XLOOKUP(tblPedidos[[#This Row],[id_dropi]],tblNotas[[#This Row],[id__dropi]],tblNotas[[#This Row],[Notas Manuales]], “”, 0),"")</f>
        <v/>
      </c>
      <c r="Q210" t="s">
        <v>50</v>
      </c>
      <c r="R210" t="s">
        <v>1251</v>
      </c>
      <c r="S210">
        <v>22829.5</v>
      </c>
      <c r="T210">
        <v>-17670.5</v>
      </c>
      <c r="U210" cm="1">
        <f t="array" ref="U210">IFERROR(_xlfn.IFS(tblPedidos[[#This Row],[estado_operativo]]="ENTREGADO",tblPedidos[[#This Row],[ganancia_calc]],tblPedidos[[#This Row],[estado_operativo]]="DEVOLUCION",tblPedidos[[#This Row],[costo_devolucion_estimado]]),0)</f>
        <v>0</v>
      </c>
      <c r="V210">
        <v>0</v>
      </c>
      <c r="W210">
        <v>54900</v>
      </c>
      <c r="X210">
        <v>17670.5</v>
      </c>
      <c r="Y210">
        <v>14400</v>
      </c>
      <c r="Z210" s="11">
        <v>46043</v>
      </c>
      <c r="AA210">
        <v>1</v>
      </c>
      <c r="AB210" s="12">
        <v>0.42638888888888887</v>
      </c>
      <c r="AC210" t="s">
        <v>982</v>
      </c>
      <c r="AD210" t="s">
        <v>709</v>
      </c>
      <c r="AE210" t="s">
        <v>386</v>
      </c>
    </row>
    <row r="211" spans="1:31">
      <c r="A211" t="s">
        <v>33</v>
      </c>
      <c r="C211">
        <v>807</v>
      </c>
      <c r="D211" t="s">
        <v>1287</v>
      </c>
      <c r="E211" s="11">
        <v>46040</v>
      </c>
      <c r="F211" t="s">
        <v>1288</v>
      </c>
      <c r="G211" t="s">
        <v>36</v>
      </c>
      <c r="J211" t="s">
        <v>522</v>
      </c>
      <c r="K211" t="s">
        <v>1289</v>
      </c>
      <c r="L211" t="s">
        <v>166</v>
      </c>
      <c r="M211" t="s">
        <v>199</v>
      </c>
      <c r="N211" t="s">
        <v>1290</v>
      </c>
      <c r="O211" t="s">
        <v>1291</v>
      </c>
      <c r="P211" s="46" t="str" cm="1">
        <f t="array" aca="1" ref="P211" ca="1">IFERROR(_xlfn.XLOOKUP(tblPedidos[[#This Row],[id_dropi]],tblNotas[[#This Row],[id__dropi]],tblNotas[[#This Row],[Notas Manuales]], “”, 0),"")</f>
        <v/>
      </c>
      <c r="R211" t="s">
        <v>1244</v>
      </c>
      <c r="S211">
        <v>30211.5</v>
      </c>
      <c r="T211">
        <v>-12710.800000000001</v>
      </c>
      <c r="U211" cm="1">
        <f t="array" ref="U211">IFERROR(_xlfn.IFS(tblPedidos[[#This Row],[estado_operativo]]="ENTREGADO",tblPedidos[[#This Row],[ganancia_calc]],tblPedidos[[#This Row],[estado_operativo]]="DEVOLUCION",tblPedidos[[#This Row],[costo_devolucion_estimado]]),0)</f>
        <v>0</v>
      </c>
      <c r="V211">
        <v>0</v>
      </c>
      <c r="W211">
        <v>74900</v>
      </c>
      <c r="X211">
        <v>15888.5</v>
      </c>
      <c r="Y211">
        <v>28800</v>
      </c>
      <c r="Z211" s="11">
        <v>46042</v>
      </c>
      <c r="AA211">
        <v>2</v>
      </c>
      <c r="AB211" s="12">
        <v>0.53333333333333333</v>
      </c>
      <c r="AC211" t="s">
        <v>399</v>
      </c>
      <c r="AD211" t="s">
        <v>527</v>
      </c>
      <c r="AE211" t="s">
        <v>522</v>
      </c>
    </row>
    <row r="212" spans="1:31">
      <c r="A212" t="s">
        <v>33</v>
      </c>
      <c r="C212">
        <v>814</v>
      </c>
      <c r="D212" t="s">
        <v>1292</v>
      </c>
      <c r="E212" s="11">
        <v>46040</v>
      </c>
      <c r="F212" t="s">
        <v>1293</v>
      </c>
      <c r="G212" t="s">
        <v>36</v>
      </c>
      <c r="J212" t="s">
        <v>720</v>
      </c>
      <c r="K212" t="s">
        <v>1294</v>
      </c>
      <c r="L212" t="s">
        <v>54</v>
      </c>
      <c r="M212" t="s">
        <v>373</v>
      </c>
      <c r="N212" t="s">
        <v>1295</v>
      </c>
      <c r="O212" t="s">
        <v>1296</v>
      </c>
      <c r="P212" s="46" t="str" cm="1">
        <f t="array" aca="1" ref="P212" ca="1">IFERROR(_xlfn.XLOOKUP(tblPedidos[[#This Row],[id_dropi]],tblNotas[[#This Row],[id__dropi]],tblNotas[[#This Row],[Notas Manuales]], “”, 0),"")</f>
        <v/>
      </c>
      <c r="R212" t="s">
        <v>1251</v>
      </c>
      <c r="S212">
        <v>25511.5</v>
      </c>
      <c r="T212">
        <v>-11990.800000000001</v>
      </c>
      <c r="U212" cm="1">
        <f t="array" ref="U212">IFERROR(_xlfn.IFS(tblPedidos[[#This Row],[estado_operativo]]="ENTREGADO",tblPedidos[[#This Row],[ganancia_calc]],tblPedidos[[#This Row],[estado_operativo]]="DEVOLUCION",tblPedidos[[#This Row],[costo_devolucion_estimado]]),0)</f>
        <v>25511.5</v>
      </c>
      <c r="V212">
        <v>0</v>
      </c>
      <c r="W212">
        <v>54900</v>
      </c>
      <c r="X212">
        <v>14988.5</v>
      </c>
      <c r="Y212">
        <v>14400</v>
      </c>
      <c r="Z212" s="11">
        <v>46042</v>
      </c>
      <c r="AA212">
        <v>2</v>
      </c>
      <c r="AB212" s="12">
        <v>0.50138888888888888</v>
      </c>
      <c r="AC212" t="s">
        <v>399</v>
      </c>
      <c r="AD212" t="s">
        <v>720</v>
      </c>
      <c r="AE212" t="s">
        <v>720</v>
      </c>
    </row>
    <row r="213" spans="1:31">
      <c r="A213" t="s">
        <v>33</v>
      </c>
      <c r="C213">
        <v>821</v>
      </c>
      <c r="D213" t="s">
        <v>1297</v>
      </c>
      <c r="E213" s="11">
        <v>46040</v>
      </c>
      <c r="F213" t="s">
        <v>1298</v>
      </c>
      <c r="G213" t="s">
        <v>36</v>
      </c>
      <c r="J213" t="s">
        <v>720</v>
      </c>
      <c r="K213" t="s">
        <v>1299</v>
      </c>
      <c r="L213" t="s">
        <v>81</v>
      </c>
      <c r="M213" t="s">
        <v>1300</v>
      </c>
      <c r="N213" t="s">
        <v>1301</v>
      </c>
      <c r="O213" t="s">
        <v>1302</v>
      </c>
      <c r="P213" s="46" t="str" cm="1">
        <f t="array" aca="1" ref="P213" ca="1">IFERROR(_xlfn.XLOOKUP(tblPedidos[[#This Row],[id_dropi]],tblNotas[[#This Row],[id__dropi]],tblNotas[[#This Row],[Notas Manuales]], “”, 0),"")</f>
        <v/>
      </c>
      <c r="R213" t="s">
        <v>1251</v>
      </c>
      <c r="S213">
        <v>25511.5</v>
      </c>
      <c r="T213">
        <v>-11990.800000000001</v>
      </c>
      <c r="U213" cm="1">
        <f t="array" ref="U213">IFERROR(_xlfn.IFS(tblPedidos[[#This Row],[estado_operativo]]="ENTREGADO",tblPedidos[[#This Row],[ganancia_calc]],tblPedidos[[#This Row],[estado_operativo]]="DEVOLUCION",tblPedidos[[#This Row],[costo_devolucion_estimado]]),0)</f>
        <v>25511.5</v>
      </c>
      <c r="V213">
        <v>0</v>
      </c>
      <c r="W213">
        <v>54900</v>
      </c>
      <c r="X213">
        <v>14988.5</v>
      </c>
      <c r="Y213">
        <v>14400</v>
      </c>
      <c r="Z213" s="11">
        <v>46042</v>
      </c>
      <c r="AA213">
        <v>2</v>
      </c>
      <c r="AB213" s="12">
        <v>0.53680555555555554</v>
      </c>
      <c r="AC213" t="s">
        <v>399</v>
      </c>
      <c r="AD213" t="s">
        <v>720</v>
      </c>
      <c r="AE213" t="s">
        <v>720</v>
      </c>
    </row>
    <row r="214" spans="1:31">
      <c r="A214" t="s">
        <v>33</v>
      </c>
      <c r="C214">
        <v>820</v>
      </c>
      <c r="D214" t="s">
        <v>1303</v>
      </c>
      <c r="E214" s="11">
        <v>46040</v>
      </c>
      <c r="F214" t="s">
        <v>1304</v>
      </c>
      <c r="G214" t="s">
        <v>36</v>
      </c>
      <c r="J214" t="s">
        <v>720</v>
      </c>
      <c r="K214" t="s">
        <v>1305</v>
      </c>
      <c r="L214" t="s">
        <v>54</v>
      </c>
      <c r="M214" t="s">
        <v>373</v>
      </c>
      <c r="N214" t="s">
        <v>1306</v>
      </c>
      <c r="O214" t="s">
        <v>1307</v>
      </c>
      <c r="P214" s="46" t="str" cm="1">
        <f t="array" aca="1" ref="P214" ca="1">IFERROR(_xlfn.XLOOKUP(tblPedidos[[#This Row],[id_dropi]],tblNotas[[#This Row],[id__dropi]],tblNotas[[#This Row],[Notas Manuales]], “”, 0),"")</f>
        <v/>
      </c>
      <c r="Q214" t="s">
        <v>1308</v>
      </c>
      <c r="R214" t="s">
        <v>1237</v>
      </c>
      <c r="S214">
        <v>19686.5</v>
      </c>
      <c r="T214">
        <v>-12170.800000000001</v>
      </c>
      <c r="U214" cm="1">
        <f t="array" ref="U214">IFERROR(_xlfn.IFS(tblPedidos[[#This Row],[estado_operativo]]="ENTREGADO",tblPedidos[[#This Row],[ganancia_calc]],tblPedidos[[#This Row],[estado_operativo]]="DEVOLUCION",tblPedidos[[#This Row],[costo_devolucion_estimado]]),0)</f>
        <v>19686.5</v>
      </c>
      <c r="V214">
        <v>0</v>
      </c>
      <c r="W214">
        <v>59900</v>
      </c>
      <c r="X214">
        <v>15213.5</v>
      </c>
      <c r="Y214">
        <v>25000</v>
      </c>
      <c r="Z214" s="11">
        <v>46042</v>
      </c>
      <c r="AA214">
        <v>2</v>
      </c>
      <c r="AB214" s="12">
        <v>0.7319444444444444</v>
      </c>
      <c r="AC214" t="s">
        <v>399</v>
      </c>
      <c r="AD214" t="s">
        <v>720</v>
      </c>
      <c r="AE214" t="s">
        <v>720</v>
      </c>
    </row>
    <row r="215" spans="1:31">
      <c r="A215" t="s">
        <v>33</v>
      </c>
      <c r="C215">
        <v>823</v>
      </c>
      <c r="D215" t="s">
        <v>1309</v>
      </c>
      <c r="E215" s="11">
        <v>46040</v>
      </c>
      <c r="F215" t="s">
        <v>1310</v>
      </c>
      <c r="G215" t="s">
        <v>45</v>
      </c>
      <c r="J215" t="s">
        <v>522</v>
      </c>
      <c r="K215" t="s">
        <v>1311</v>
      </c>
      <c r="L215" t="s">
        <v>152</v>
      </c>
      <c r="M215" t="s">
        <v>1312</v>
      </c>
      <c r="N215" t="s">
        <v>1313</v>
      </c>
      <c r="O215" t="s">
        <v>1314</v>
      </c>
      <c r="P215" s="46" t="str" cm="1">
        <f t="array" aca="1" ref="P215" ca="1">IFERROR(_xlfn.XLOOKUP(tblPedidos[[#This Row],[id_dropi]],tblNotas[[#This Row],[id__dropi]],tblNotas[[#This Row],[Notas Manuales]], “”, 0),"")</f>
        <v/>
      </c>
      <c r="Q215" t="s">
        <v>1315</v>
      </c>
      <c r="R215" t="s">
        <v>1316</v>
      </c>
      <c r="S215">
        <v>21201</v>
      </c>
      <c r="T215">
        <v>-18699</v>
      </c>
      <c r="U215" cm="1">
        <f t="array" ref="U215">IFERROR(_xlfn.IFS(tblPedidos[[#This Row],[estado_operativo]]="ENTREGADO",tblPedidos[[#This Row],[ganancia_calc]],tblPedidos[[#This Row],[estado_operativo]]="DEVOLUCION",tblPedidos[[#This Row],[costo_devolucion_estimado]]),0)</f>
        <v>0</v>
      </c>
      <c r="V215">
        <v>0</v>
      </c>
      <c r="W215">
        <v>49900</v>
      </c>
      <c r="X215">
        <v>18699</v>
      </c>
      <c r="Y215">
        <v>10000</v>
      </c>
      <c r="Z215" s="11">
        <v>46043</v>
      </c>
      <c r="AA215">
        <v>1</v>
      </c>
      <c r="AB215" s="12">
        <v>0.42986111111111114</v>
      </c>
      <c r="AC215" t="s">
        <v>716</v>
      </c>
      <c r="AD215" t="s">
        <v>717</v>
      </c>
      <c r="AE215" t="s">
        <v>522</v>
      </c>
    </row>
    <row r="216" spans="1:31">
      <c r="A216" t="s">
        <v>33</v>
      </c>
      <c r="C216">
        <v>822</v>
      </c>
      <c r="D216" t="s">
        <v>1317</v>
      </c>
      <c r="E216" s="11">
        <v>46040</v>
      </c>
      <c r="F216" t="s">
        <v>1318</v>
      </c>
      <c r="G216" t="s">
        <v>36</v>
      </c>
      <c r="J216" t="s">
        <v>522</v>
      </c>
      <c r="K216" t="s">
        <v>1319</v>
      </c>
      <c r="L216" t="s">
        <v>38</v>
      </c>
      <c r="M216" t="s">
        <v>1320</v>
      </c>
      <c r="N216" t="s">
        <v>1321</v>
      </c>
      <c r="O216" t="s">
        <v>1322</v>
      </c>
      <c r="P216" s="46" t="str" cm="1">
        <f t="array" aca="1" ref="P216" ca="1">IFERROR(_xlfn.XLOOKUP(tblPedidos[[#This Row],[id_dropi]],tblNotas[[#This Row],[id__dropi]],tblNotas[[#This Row],[Notas Manuales]], “”, 0),"")</f>
        <v/>
      </c>
      <c r="R216" t="s">
        <v>1323</v>
      </c>
      <c r="S216">
        <v>29236.5</v>
      </c>
      <c r="T216">
        <v>-12530.800000000001</v>
      </c>
      <c r="U216" cm="1">
        <f t="array" ref="U216">IFERROR(_xlfn.IFS(tblPedidos[[#This Row],[estado_operativo]]="ENTREGADO",tblPedidos[[#This Row],[ganancia_calc]],tblPedidos[[#This Row],[estado_operativo]]="DEVOLUCION",tblPedidos[[#This Row],[costo_devolucion_estimado]]),0)</f>
        <v>0</v>
      </c>
      <c r="V216">
        <v>0</v>
      </c>
      <c r="W216">
        <v>69900</v>
      </c>
      <c r="X216">
        <v>15663.5</v>
      </c>
      <c r="Y216">
        <v>25000</v>
      </c>
      <c r="Z216" s="11">
        <v>46041</v>
      </c>
      <c r="AA216">
        <v>3</v>
      </c>
      <c r="AB216" s="12">
        <v>0.89722222222222225</v>
      </c>
      <c r="AC216" t="s">
        <v>399</v>
      </c>
      <c r="AD216" t="s">
        <v>527</v>
      </c>
      <c r="AE216" t="s">
        <v>522</v>
      </c>
    </row>
    <row r="217" spans="1:31">
      <c r="A217" t="s">
        <v>33</v>
      </c>
      <c r="C217">
        <v>819</v>
      </c>
      <c r="D217" t="s">
        <v>1324</v>
      </c>
      <c r="E217" s="11">
        <v>46040</v>
      </c>
      <c r="F217" t="s">
        <v>1325</v>
      </c>
      <c r="G217" t="s">
        <v>45</v>
      </c>
      <c r="J217" t="s">
        <v>720</v>
      </c>
      <c r="K217" t="s">
        <v>1326</v>
      </c>
      <c r="L217" t="s">
        <v>328</v>
      </c>
      <c r="M217" t="s">
        <v>1327</v>
      </c>
      <c r="N217" t="s">
        <v>1328</v>
      </c>
      <c r="O217" t="s">
        <v>1329</v>
      </c>
      <c r="P217" s="46" t="str" cm="1">
        <f t="array" aca="1" ref="P217" ca="1">IFERROR(_xlfn.XLOOKUP(tblPedidos[[#This Row],[id_dropi]],tblNotas[[#This Row],[id__dropi]],tblNotas[[#This Row],[Notas Manuales]], “”, 0),"")</f>
        <v/>
      </c>
      <c r="Q217" t="s">
        <v>50</v>
      </c>
      <c r="R217" t="s">
        <v>1237</v>
      </c>
      <c r="S217">
        <v>17004.5</v>
      </c>
      <c r="T217">
        <v>-17895.5</v>
      </c>
      <c r="U217" cm="1">
        <f t="array" ref="U217">IFERROR(_xlfn.IFS(tblPedidos[[#This Row],[estado_operativo]]="ENTREGADO",tblPedidos[[#This Row],[ganancia_calc]],tblPedidos[[#This Row],[estado_operativo]]="DEVOLUCION",tblPedidos[[#This Row],[costo_devolucion_estimado]]),0)</f>
        <v>17004.5</v>
      </c>
      <c r="V217">
        <v>0</v>
      </c>
      <c r="W217">
        <v>59900</v>
      </c>
      <c r="X217">
        <v>17895.5</v>
      </c>
      <c r="Y217">
        <v>25000</v>
      </c>
      <c r="Z217" s="11">
        <v>46043</v>
      </c>
      <c r="AA217">
        <v>1</v>
      </c>
      <c r="AB217" s="12">
        <v>0.50555555555555554</v>
      </c>
      <c r="AC217" t="s">
        <v>1039</v>
      </c>
      <c r="AD217" t="s">
        <v>720</v>
      </c>
      <c r="AE217" t="s">
        <v>720</v>
      </c>
    </row>
    <row r="218" spans="1:31">
      <c r="A218" t="s">
        <v>33</v>
      </c>
      <c r="C218">
        <v>816</v>
      </c>
      <c r="D218" t="s">
        <v>1330</v>
      </c>
      <c r="E218" s="11">
        <v>46040</v>
      </c>
      <c r="F218" t="s">
        <v>1331</v>
      </c>
      <c r="G218" t="s">
        <v>45</v>
      </c>
      <c r="J218" t="s">
        <v>522</v>
      </c>
      <c r="K218" t="s">
        <v>1332</v>
      </c>
      <c r="L218" t="s">
        <v>61</v>
      </c>
      <c r="M218" t="s">
        <v>1333</v>
      </c>
      <c r="N218" t="s">
        <v>1334</v>
      </c>
      <c r="O218" t="s">
        <v>1335</v>
      </c>
      <c r="P218" s="46" t="str" cm="1">
        <f t="array" aca="1" ref="P218" ca="1">IFERROR(_xlfn.XLOOKUP(tblPedidos[[#This Row],[id_dropi]],tblNotas[[#This Row],[id__dropi]],tblNotas[[#This Row],[Notas Manuales]], “”, 0),"")</f>
        <v/>
      </c>
      <c r="Q218" t="s">
        <v>1336</v>
      </c>
      <c r="R218" t="s">
        <v>1251</v>
      </c>
      <c r="S218">
        <v>16801</v>
      </c>
      <c r="T218">
        <v>-18699</v>
      </c>
      <c r="U218" cm="1">
        <f t="array" ref="U218">IFERROR(_xlfn.IFS(tblPedidos[[#This Row],[estado_operativo]]="ENTREGADO",tblPedidos[[#This Row],[ganancia_calc]],tblPedidos[[#This Row],[estado_operativo]]="DEVOLUCION",tblPedidos[[#This Row],[costo_devolucion_estimado]]),0)</f>
        <v>0</v>
      </c>
      <c r="V218">
        <v>0</v>
      </c>
      <c r="W218">
        <v>49900</v>
      </c>
      <c r="X218">
        <v>18699</v>
      </c>
      <c r="Y218">
        <v>14400</v>
      </c>
      <c r="Z218" s="11">
        <v>46043</v>
      </c>
      <c r="AA218">
        <v>1</v>
      </c>
      <c r="AB218" s="12">
        <v>0.42638888888888887</v>
      </c>
      <c r="AC218" t="s">
        <v>708</v>
      </c>
      <c r="AD218" t="s">
        <v>717</v>
      </c>
      <c r="AE218" t="s">
        <v>522</v>
      </c>
    </row>
    <row r="219" spans="1:31">
      <c r="A219" t="s">
        <v>33</v>
      </c>
      <c r="C219">
        <v>815</v>
      </c>
      <c r="D219" t="s">
        <v>1337</v>
      </c>
      <c r="E219" s="11">
        <v>46040</v>
      </c>
      <c r="F219" t="s">
        <v>1338</v>
      </c>
      <c r="G219" t="s">
        <v>36</v>
      </c>
      <c r="J219" t="s">
        <v>522</v>
      </c>
      <c r="K219" t="s">
        <v>1339</v>
      </c>
      <c r="L219" t="s">
        <v>662</v>
      </c>
      <c r="M219" t="s">
        <v>663</v>
      </c>
      <c r="N219" t="s">
        <v>1340</v>
      </c>
      <c r="O219" t="s">
        <v>1341</v>
      </c>
      <c r="P219" s="46" t="str" cm="1">
        <f t="array" aca="1" ref="P219" ca="1">IFERROR(_xlfn.XLOOKUP(tblPedidos[[#This Row],[id_dropi]],tblNotas[[#This Row],[id__dropi]],tblNotas[[#This Row],[Notas Manuales]], “”, 0),"")</f>
        <v/>
      </c>
      <c r="R219" t="s">
        <v>1342</v>
      </c>
      <c r="S219">
        <v>24236.5</v>
      </c>
      <c r="T219">
        <v>-12530.800000000001</v>
      </c>
      <c r="U219" cm="1">
        <f t="array" ref="U219">IFERROR(_xlfn.IFS(tblPedidos[[#This Row],[estado_operativo]]="ENTREGADO",tblPedidos[[#This Row],[ganancia_calc]],tblPedidos[[#This Row],[estado_operativo]]="DEVOLUCION",tblPedidos[[#This Row],[costo_devolucion_estimado]]),0)</f>
        <v>0</v>
      </c>
      <c r="V219">
        <v>0</v>
      </c>
      <c r="W219">
        <v>69900</v>
      </c>
      <c r="X219">
        <v>15663.5</v>
      </c>
      <c r="Y219">
        <v>30000</v>
      </c>
      <c r="Z219" s="11">
        <v>46041</v>
      </c>
      <c r="AA219">
        <v>3</v>
      </c>
      <c r="AB219" s="12">
        <v>0.89722222222222225</v>
      </c>
      <c r="AC219" t="s">
        <v>399</v>
      </c>
      <c r="AD219" t="s">
        <v>527</v>
      </c>
      <c r="AE219" t="s">
        <v>522</v>
      </c>
    </row>
    <row r="220" spans="1:31">
      <c r="A220" t="s">
        <v>1343</v>
      </c>
      <c r="C220">
        <v>818</v>
      </c>
      <c r="D220" t="s">
        <v>1344</v>
      </c>
      <c r="E220" s="11">
        <v>46040</v>
      </c>
      <c r="F220" t="s">
        <v>1345</v>
      </c>
      <c r="G220" t="s">
        <v>45</v>
      </c>
      <c r="J220" t="s">
        <v>720</v>
      </c>
      <c r="K220" t="s">
        <v>1346</v>
      </c>
      <c r="L220" t="s">
        <v>46</v>
      </c>
      <c r="M220" t="s">
        <v>100</v>
      </c>
      <c r="N220" t="s">
        <v>1347</v>
      </c>
      <c r="O220" t="s">
        <v>1348</v>
      </c>
      <c r="P220" s="46" t="str" cm="1">
        <f t="array" aca="1" ref="P220" ca="1">IFERROR(_xlfn.XLOOKUP(tblPedidos[[#This Row],[id_dropi]],tblNotas[[#This Row],[id__dropi]],tblNotas[[#This Row],[Notas Manuales]], “”, 0),"")</f>
        <v/>
      </c>
      <c r="Q220" t="s">
        <v>1349</v>
      </c>
      <c r="R220" t="s">
        <v>1350</v>
      </c>
      <c r="S220">
        <v>32729.5</v>
      </c>
      <c r="T220">
        <v>-12170.5</v>
      </c>
      <c r="U220" cm="1">
        <f t="array" ref="U220">IFERROR(_xlfn.IFS(tblPedidos[[#This Row],[estado_operativo]]="ENTREGADO",tblPedidos[[#This Row],[ganancia_calc]],tblPedidos[[#This Row],[estado_operativo]]="DEVOLUCION",tblPedidos[[#This Row],[costo_devolucion_estimado]]),0)</f>
        <v>32729.5</v>
      </c>
      <c r="V220">
        <v>32729.5</v>
      </c>
      <c r="W220">
        <v>64900</v>
      </c>
      <c r="X220">
        <v>12170.5</v>
      </c>
      <c r="Y220">
        <v>20000</v>
      </c>
      <c r="Z220" s="11">
        <v>46043</v>
      </c>
      <c r="AA220">
        <v>1</v>
      </c>
      <c r="AB220" s="12">
        <v>0.54374999999999996</v>
      </c>
      <c r="AC220" t="s">
        <v>750</v>
      </c>
      <c r="AD220" t="s">
        <v>720</v>
      </c>
      <c r="AE220" t="s">
        <v>720</v>
      </c>
    </row>
    <row r="221" spans="1:31">
      <c r="A221" t="s">
        <v>33</v>
      </c>
      <c r="C221">
        <v>817</v>
      </c>
      <c r="D221" t="s">
        <v>1351</v>
      </c>
      <c r="E221" s="11">
        <v>46040</v>
      </c>
      <c r="F221" t="s">
        <v>1352</v>
      </c>
      <c r="G221" t="s">
        <v>45</v>
      </c>
      <c r="J221" t="s">
        <v>522</v>
      </c>
      <c r="K221" t="s">
        <v>1353</v>
      </c>
      <c r="L221" t="s">
        <v>136</v>
      </c>
      <c r="M221" t="s">
        <v>1354</v>
      </c>
      <c r="N221" t="s">
        <v>1355</v>
      </c>
      <c r="O221" t="s">
        <v>1356</v>
      </c>
      <c r="P221" s="46" t="str" cm="1">
        <f t="array" aca="1" ref="P221" ca="1">IFERROR(_xlfn.XLOOKUP(tblPedidos[[#This Row],[id_dropi]],tblNotas[[#This Row],[id__dropi]],tblNotas[[#This Row],[Notas Manuales]], “”, 0),"")</f>
        <v/>
      </c>
      <c r="R221" t="s">
        <v>1237</v>
      </c>
      <c r="S221">
        <v>12229.5</v>
      </c>
      <c r="T221">
        <v>-17670.5</v>
      </c>
      <c r="U221" cm="1">
        <f t="array" ref="U221">IFERROR(_xlfn.IFS(tblPedidos[[#This Row],[estado_operativo]]="ENTREGADO",tblPedidos[[#This Row],[ganancia_calc]],tblPedidos[[#This Row],[estado_operativo]]="DEVOLUCION",tblPedidos[[#This Row],[costo_devolucion_estimado]]),0)</f>
        <v>0</v>
      </c>
      <c r="V221">
        <v>0</v>
      </c>
      <c r="W221">
        <v>54900</v>
      </c>
      <c r="X221">
        <v>17670.5</v>
      </c>
      <c r="Y221">
        <v>25000</v>
      </c>
      <c r="Z221" s="11">
        <v>46043</v>
      </c>
      <c r="AA221">
        <v>1</v>
      </c>
      <c r="AB221" s="12">
        <v>0.50555555555555554</v>
      </c>
      <c r="AC221" t="s">
        <v>1039</v>
      </c>
      <c r="AD221" t="s">
        <v>717</v>
      </c>
      <c r="AE221" t="s">
        <v>522</v>
      </c>
    </row>
    <row r="222" spans="1:31">
      <c r="A222" t="s">
        <v>33</v>
      </c>
      <c r="C222">
        <v>804</v>
      </c>
      <c r="D222" t="s">
        <v>1357</v>
      </c>
      <c r="E222" s="11">
        <v>46040</v>
      </c>
      <c r="F222" t="s">
        <v>1358</v>
      </c>
      <c r="G222" t="s">
        <v>45</v>
      </c>
      <c r="J222" t="s">
        <v>386</v>
      </c>
      <c r="K222" t="s">
        <v>1359</v>
      </c>
      <c r="L222" t="s">
        <v>662</v>
      </c>
      <c r="M222" t="s">
        <v>1360</v>
      </c>
      <c r="N222" t="s">
        <v>1361</v>
      </c>
      <c r="O222" t="s">
        <v>1362</v>
      </c>
      <c r="P222" s="46" t="str" cm="1">
        <f t="array" aca="1" ref="P222" ca="1">IFERROR(_xlfn.XLOOKUP(tblPedidos[[#This Row],[id_dropi]],tblNotas[[#This Row],[id__dropi]],tblNotas[[#This Row],[Notas Manuales]], “”, 0),"")</f>
        <v/>
      </c>
      <c r="Q222" t="s">
        <v>50</v>
      </c>
      <c r="R222" t="s">
        <v>1323</v>
      </c>
      <c r="S222">
        <v>26554.5</v>
      </c>
      <c r="T222">
        <v>-18345.5</v>
      </c>
      <c r="U222" cm="1">
        <f t="array" ref="U222">IFERROR(_xlfn.IFS(tblPedidos[[#This Row],[estado_operativo]]="ENTREGADO",tblPedidos[[#This Row],[ganancia_calc]],tblPedidos[[#This Row],[estado_operativo]]="DEVOLUCION",tblPedidos[[#This Row],[costo_devolucion_estimado]]),0)</f>
        <v>0</v>
      </c>
      <c r="V222">
        <v>0</v>
      </c>
      <c r="W222">
        <v>69900</v>
      </c>
      <c r="X222">
        <v>18345.5</v>
      </c>
      <c r="Y222">
        <v>25000</v>
      </c>
      <c r="Z222" s="11">
        <v>46043</v>
      </c>
      <c r="AA222">
        <v>1</v>
      </c>
      <c r="AB222" s="12">
        <v>0.42986111111111114</v>
      </c>
      <c r="AC222" t="s">
        <v>708</v>
      </c>
      <c r="AD222" t="s">
        <v>709</v>
      </c>
      <c r="AE222" t="s">
        <v>386</v>
      </c>
    </row>
    <row r="223" spans="1:31">
      <c r="A223" t="s">
        <v>33</v>
      </c>
      <c r="C223">
        <v>791</v>
      </c>
      <c r="D223" t="s">
        <v>1363</v>
      </c>
      <c r="E223" s="11">
        <v>46040</v>
      </c>
      <c r="F223" t="s">
        <v>1364</v>
      </c>
      <c r="G223" t="s">
        <v>45</v>
      </c>
      <c r="J223" t="s">
        <v>522</v>
      </c>
      <c r="K223" t="s">
        <v>1365</v>
      </c>
      <c r="L223" t="s">
        <v>54</v>
      </c>
      <c r="M223" t="s">
        <v>55</v>
      </c>
      <c r="N223" t="s">
        <v>1366</v>
      </c>
      <c r="O223" t="s">
        <v>1367</v>
      </c>
      <c r="P223" s="46" t="str" cm="1">
        <f t="array" aca="1" ref="P223" ca="1">IFERROR(_xlfn.XLOOKUP(tblPedidos[[#This Row],[id_dropi]],tblNotas[[#This Row],[id__dropi]],tblNotas[[#This Row],[Notas Manuales]], “”, 0),"")</f>
        <v/>
      </c>
      <c r="R223" t="s">
        <v>1368</v>
      </c>
      <c r="S223">
        <v>22229.5</v>
      </c>
      <c r="T223">
        <v>-17670.5</v>
      </c>
      <c r="U223" cm="1">
        <f t="array" ref="U223">IFERROR(_xlfn.IFS(tblPedidos[[#This Row],[estado_operativo]]="ENTREGADO",tblPedidos[[#This Row],[ganancia_calc]],tblPedidos[[#This Row],[estado_operativo]]="DEVOLUCION",tblPedidos[[#This Row],[costo_devolucion_estimado]]),0)</f>
        <v>0</v>
      </c>
      <c r="V223">
        <v>0</v>
      </c>
      <c r="W223">
        <v>54900</v>
      </c>
      <c r="X223">
        <v>17670.5</v>
      </c>
      <c r="Y223">
        <v>15000</v>
      </c>
      <c r="Z223" s="11">
        <v>46043</v>
      </c>
      <c r="AA223">
        <v>1</v>
      </c>
      <c r="AB223" s="12">
        <v>0.50694444444444442</v>
      </c>
      <c r="AC223" t="s">
        <v>716</v>
      </c>
      <c r="AD223" t="s">
        <v>717</v>
      </c>
      <c r="AE223" t="s">
        <v>522</v>
      </c>
    </row>
    <row r="224" spans="1:31">
      <c r="A224" t="s">
        <v>33</v>
      </c>
      <c r="C224">
        <v>790</v>
      </c>
      <c r="D224" t="s">
        <v>1369</v>
      </c>
      <c r="E224" s="11">
        <v>46040</v>
      </c>
      <c r="F224" t="s">
        <v>1370</v>
      </c>
      <c r="G224" t="s">
        <v>45</v>
      </c>
      <c r="J224" t="s">
        <v>1371</v>
      </c>
      <c r="K224" t="s">
        <v>1372</v>
      </c>
      <c r="L224" t="s">
        <v>212</v>
      </c>
      <c r="M224" t="s">
        <v>1373</v>
      </c>
      <c r="N224" t="s">
        <v>1374</v>
      </c>
      <c r="O224" t="s">
        <v>1375</v>
      </c>
      <c r="P224" s="46" t="str" cm="1">
        <f t="array" aca="1" ref="P224" ca="1">IFERROR(_xlfn.XLOOKUP(tblPedidos[[#This Row],[id_dropi]],tblNotas[[#This Row],[id__dropi]],tblNotas[[#This Row],[Notas Manuales]], “”, 0),"")</f>
        <v/>
      </c>
      <c r="Q224" t="s">
        <v>1376</v>
      </c>
      <c r="R224" t="s">
        <v>1350</v>
      </c>
      <c r="S224">
        <v>26779.5</v>
      </c>
      <c r="T224">
        <v>-18120.5</v>
      </c>
      <c r="U224" cm="1">
        <f t="array" ref="U224">IFERROR(_xlfn.IFS(tblPedidos[[#This Row],[estado_operativo]]="ENTREGADO",tblPedidos[[#This Row],[ganancia_calc]],tblPedidos[[#This Row],[estado_operativo]]="DEVOLUCION",tblPedidos[[#This Row],[costo_devolucion_estimado]]),0)</f>
        <v>0</v>
      </c>
      <c r="V224">
        <v>0</v>
      </c>
      <c r="W224">
        <v>64900</v>
      </c>
      <c r="X224">
        <v>18120.5</v>
      </c>
      <c r="Y224">
        <v>20000</v>
      </c>
      <c r="Z224" s="11">
        <v>46043</v>
      </c>
      <c r="AA224">
        <v>1</v>
      </c>
      <c r="AB224" s="12">
        <v>0.42638888888888887</v>
      </c>
      <c r="AC224" t="s">
        <v>982</v>
      </c>
      <c r="AD224" t="s">
        <v>982</v>
      </c>
      <c r="AE224" t="s">
        <v>1371</v>
      </c>
    </row>
    <row r="225" spans="1:31">
      <c r="A225" t="s">
        <v>33</v>
      </c>
      <c r="C225">
        <v>793</v>
      </c>
      <c r="D225" t="s">
        <v>1377</v>
      </c>
      <c r="E225" s="11">
        <v>46040</v>
      </c>
      <c r="F225" t="s">
        <v>1378</v>
      </c>
      <c r="G225" t="s">
        <v>36</v>
      </c>
      <c r="J225" t="s">
        <v>522</v>
      </c>
      <c r="K225" t="s">
        <v>1379</v>
      </c>
      <c r="L225" t="s">
        <v>81</v>
      </c>
      <c r="M225" t="s">
        <v>272</v>
      </c>
      <c r="N225" t="s">
        <v>1380</v>
      </c>
      <c r="O225" t="s">
        <v>1381</v>
      </c>
      <c r="P225" s="46" t="str" cm="1">
        <f t="array" aca="1" ref="P225" ca="1">IFERROR(_xlfn.XLOOKUP(tblPedidos[[#This Row],[id_dropi]],tblNotas[[#This Row],[id__dropi]],tblNotas[[#This Row],[Notas Manuales]], “”, 0),"")</f>
        <v/>
      </c>
      <c r="R225" t="s">
        <v>1382</v>
      </c>
      <c r="S225">
        <v>32986.5</v>
      </c>
      <c r="T225">
        <v>-14330.800000000001</v>
      </c>
      <c r="U225" cm="1">
        <f t="array" ref="U225">IFERROR(_xlfn.IFS(tblPedidos[[#This Row],[estado_operativo]]="ENTREGADO",tblPedidos[[#This Row],[ganancia_calc]],tblPedidos[[#This Row],[estado_operativo]]="DEVOLUCION",tblPedidos[[#This Row],[costo_devolucion_estimado]]),0)</f>
        <v>0</v>
      </c>
      <c r="V225">
        <v>0</v>
      </c>
      <c r="W225">
        <v>119900</v>
      </c>
      <c r="X225">
        <v>17913.5</v>
      </c>
      <c r="Y225">
        <v>69000</v>
      </c>
      <c r="Z225" s="11">
        <v>46042</v>
      </c>
      <c r="AA225">
        <v>2</v>
      </c>
      <c r="AB225" s="12">
        <v>0.51180555555555551</v>
      </c>
      <c r="AC225" t="s">
        <v>399</v>
      </c>
      <c r="AD225" t="s">
        <v>527</v>
      </c>
      <c r="AE225" t="s">
        <v>522</v>
      </c>
    </row>
    <row r="226" spans="1:31">
      <c r="A226" t="s">
        <v>33</v>
      </c>
      <c r="C226">
        <v>792</v>
      </c>
      <c r="D226" t="s">
        <v>1383</v>
      </c>
      <c r="E226" s="11">
        <v>46040</v>
      </c>
      <c r="F226" t="s">
        <v>1384</v>
      </c>
      <c r="G226" t="s">
        <v>45</v>
      </c>
      <c r="J226" t="s">
        <v>720</v>
      </c>
      <c r="K226" t="s">
        <v>1385</v>
      </c>
      <c r="L226" t="s">
        <v>159</v>
      </c>
      <c r="M226" t="s">
        <v>345</v>
      </c>
      <c r="N226" t="s">
        <v>1386</v>
      </c>
      <c r="O226" t="s">
        <v>1387</v>
      </c>
      <c r="P226" s="46" t="str" cm="1">
        <f t="array" aca="1" ref="P226" ca="1">IFERROR(_xlfn.XLOOKUP(tblPedidos[[#This Row],[id_dropi]],tblNotas[[#This Row],[id__dropi]],tblNotas[[#This Row],[Notas Manuales]], “”, 0),"")</f>
        <v/>
      </c>
      <c r="R226" t="s">
        <v>1323</v>
      </c>
      <c r="S226">
        <v>26554.5</v>
      </c>
      <c r="T226">
        <v>-18345.5</v>
      </c>
      <c r="U226" cm="1">
        <f t="array" ref="U226">IFERROR(_xlfn.IFS(tblPedidos[[#This Row],[estado_operativo]]="ENTREGADO",tblPedidos[[#This Row],[ganancia_calc]],tblPedidos[[#This Row],[estado_operativo]]="DEVOLUCION",tblPedidos[[#This Row],[costo_devolucion_estimado]]),0)</f>
        <v>26554.5</v>
      </c>
      <c r="V226">
        <v>0</v>
      </c>
      <c r="W226">
        <v>69900</v>
      </c>
      <c r="X226">
        <v>18345.5</v>
      </c>
      <c r="Y226">
        <v>25000</v>
      </c>
      <c r="Z226" s="11">
        <v>46043</v>
      </c>
      <c r="AA226">
        <v>1</v>
      </c>
      <c r="AB226" s="12">
        <v>0.42638888888888887</v>
      </c>
      <c r="AC226" t="s">
        <v>756</v>
      </c>
      <c r="AD226" t="s">
        <v>720</v>
      </c>
      <c r="AE226" t="s">
        <v>720</v>
      </c>
    </row>
    <row r="227" spans="1:31">
      <c r="A227" t="s">
        <v>33</v>
      </c>
      <c r="C227">
        <v>789</v>
      </c>
      <c r="D227" t="s">
        <v>1388</v>
      </c>
      <c r="E227" s="11">
        <v>46040</v>
      </c>
      <c r="F227" t="s">
        <v>1389</v>
      </c>
      <c r="G227" t="s">
        <v>45</v>
      </c>
      <c r="J227" t="s">
        <v>386</v>
      </c>
      <c r="K227" t="s">
        <v>1390</v>
      </c>
      <c r="L227" t="s">
        <v>111</v>
      </c>
      <c r="M227" t="s">
        <v>1391</v>
      </c>
      <c r="N227" t="s">
        <v>1392</v>
      </c>
      <c r="O227" t="s">
        <v>1393</v>
      </c>
      <c r="P227" s="46" t="str" cm="1">
        <f t="array" aca="1" ref="P227" ca="1">IFERROR(_xlfn.XLOOKUP(tblPedidos[[#This Row],[id_dropi]],tblNotas[[#This Row],[id__dropi]],tblNotas[[#This Row],[Notas Manuales]], “”, 0),"")</f>
        <v/>
      </c>
      <c r="Q227" t="s">
        <v>1394</v>
      </c>
      <c r="R227" t="s">
        <v>1350</v>
      </c>
      <c r="S227">
        <v>26779.5</v>
      </c>
      <c r="T227">
        <v>-18120.5</v>
      </c>
      <c r="U227" cm="1">
        <f t="array" ref="U227">IFERROR(_xlfn.IFS(tblPedidos[[#This Row],[estado_operativo]]="ENTREGADO",tblPedidos[[#This Row],[ganancia_calc]],tblPedidos[[#This Row],[estado_operativo]]="DEVOLUCION",tblPedidos[[#This Row],[costo_devolucion_estimado]]),0)</f>
        <v>0</v>
      </c>
      <c r="V227">
        <v>0</v>
      </c>
      <c r="W227">
        <v>64900</v>
      </c>
      <c r="X227">
        <v>18120.5</v>
      </c>
      <c r="Y227">
        <v>20000</v>
      </c>
      <c r="Z227" s="11">
        <v>46043</v>
      </c>
      <c r="AA227">
        <v>1</v>
      </c>
      <c r="AB227" s="12">
        <v>0.50486111111111109</v>
      </c>
      <c r="AC227" t="s">
        <v>1039</v>
      </c>
      <c r="AD227" t="s">
        <v>709</v>
      </c>
      <c r="AE227" t="s">
        <v>386</v>
      </c>
    </row>
    <row r="228" spans="1:31">
      <c r="A228" t="s">
        <v>33</v>
      </c>
      <c r="C228">
        <v>786</v>
      </c>
      <c r="D228" t="s">
        <v>1395</v>
      </c>
      <c r="E228" s="11">
        <v>46040</v>
      </c>
      <c r="F228" t="s">
        <v>1396</v>
      </c>
      <c r="G228" t="s">
        <v>45</v>
      </c>
      <c r="J228" t="s">
        <v>939</v>
      </c>
      <c r="K228" t="s">
        <v>1397</v>
      </c>
      <c r="L228" t="s">
        <v>46</v>
      </c>
      <c r="M228" t="s">
        <v>100</v>
      </c>
      <c r="N228" t="s">
        <v>1398</v>
      </c>
      <c r="O228" t="s">
        <v>1399</v>
      </c>
      <c r="P228" s="46" t="str" cm="1">
        <f t="array" aca="1" ref="P228" ca="1">IFERROR(_xlfn.XLOOKUP(tblPedidos[[#This Row],[id_dropi]],tblNotas[[#This Row],[id__dropi]],tblNotas[[#This Row],[Notas Manuales]], “”, 0),"")</f>
        <v/>
      </c>
      <c r="R228" t="s">
        <v>1323</v>
      </c>
      <c r="S228">
        <v>26554.5</v>
      </c>
      <c r="T228">
        <v>-18345.5</v>
      </c>
      <c r="U228" cm="1">
        <f t="array" ref="U228">IFERROR(_xlfn.IFS(tblPedidos[[#This Row],[estado_operativo]]="ENTREGADO",tblPedidos[[#This Row],[ganancia_calc]],tblPedidos[[#This Row],[estado_operativo]]="DEVOLUCION",tblPedidos[[#This Row],[costo_devolucion_estimado]]),0)</f>
        <v>0</v>
      </c>
      <c r="V228">
        <v>0</v>
      </c>
      <c r="W228">
        <v>69900</v>
      </c>
      <c r="X228">
        <v>18345.5</v>
      </c>
      <c r="Y228">
        <v>25000</v>
      </c>
      <c r="Z228" s="11">
        <v>46043</v>
      </c>
      <c r="AA228">
        <v>1</v>
      </c>
      <c r="AB228" s="12">
        <v>0.67291666666666672</v>
      </c>
      <c r="AC228" t="s">
        <v>750</v>
      </c>
      <c r="AD228" t="s">
        <v>944</v>
      </c>
      <c r="AE228" t="s">
        <v>939</v>
      </c>
    </row>
    <row r="229" spans="1:31">
      <c r="A229" t="s">
        <v>33</v>
      </c>
      <c r="C229">
        <v>785</v>
      </c>
      <c r="D229" t="s">
        <v>1400</v>
      </c>
      <c r="E229" s="11">
        <v>46040</v>
      </c>
      <c r="F229" t="s">
        <v>1401</v>
      </c>
      <c r="G229" t="s">
        <v>45</v>
      </c>
      <c r="J229" t="s">
        <v>386</v>
      </c>
      <c r="K229" t="s">
        <v>1402</v>
      </c>
      <c r="L229" t="s">
        <v>111</v>
      </c>
      <c r="M229" t="s">
        <v>1403</v>
      </c>
      <c r="N229" t="s">
        <v>1404</v>
      </c>
      <c r="O229" t="s">
        <v>1405</v>
      </c>
      <c r="P229" s="46" t="str" cm="1">
        <f t="array" aca="1" ref="P229" ca="1">IFERROR(_xlfn.XLOOKUP(tblPedidos[[#This Row],[id_dropi]],tblNotas[[#This Row],[id__dropi]],tblNotas[[#This Row],[Notas Manuales]], “”, 0),"")</f>
        <v/>
      </c>
      <c r="Q229" t="s">
        <v>1406</v>
      </c>
      <c r="R229" t="s">
        <v>1316</v>
      </c>
      <c r="S229">
        <v>21201</v>
      </c>
      <c r="T229">
        <v>-18699</v>
      </c>
      <c r="U229" cm="1">
        <f t="array" ref="U229">IFERROR(_xlfn.IFS(tblPedidos[[#This Row],[estado_operativo]]="ENTREGADO",tblPedidos[[#This Row],[ganancia_calc]],tblPedidos[[#This Row],[estado_operativo]]="DEVOLUCION",tblPedidos[[#This Row],[costo_devolucion_estimado]]),0)</f>
        <v>0</v>
      </c>
      <c r="V229">
        <v>0</v>
      </c>
      <c r="W229">
        <v>49900</v>
      </c>
      <c r="X229">
        <v>18699</v>
      </c>
      <c r="Y229">
        <v>10000</v>
      </c>
      <c r="Z229" s="11">
        <v>46043</v>
      </c>
      <c r="AA229">
        <v>1</v>
      </c>
      <c r="AB229" s="12">
        <v>0.75694444444444442</v>
      </c>
      <c r="AC229" t="s">
        <v>1039</v>
      </c>
      <c r="AD229" t="s">
        <v>709</v>
      </c>
      <c r="AE229" t="s">
        <v>386</v>
      </c>
    </row>
    <row r="230" spans="1:31">
      <c r="A230" t="s">
        <v>33</v>
      </c>
      <c r="C230">
        <v>788</v>
      </c>
      <c r="D230" t="s">
        <v>1407</v>
      </c>
      <c r="E230" s="11">
        <v>46040</v>
      </c>
      <c r="F230" t="s">
        <v>1408</v>
      </c>
      <c r="G230" t="s">
        <v>45</v>
      </c>
      <c r="J230" t="s">
        <v>720</v>
      </c>
      <c r="K230" t="s">
        <v>1409</v>
      </c>
      <c r="L230" t="s">
        <v>46</v>
      </c>
      <c r="M230" t="s">
        <v>100</v>
      </c>
      <c r="N230" t="s">
        <v>1410</v>
      </c>
      <c r="O230" t="s">
        <v>1411</v>
      </c>
      <c r="P230" s="46" t="str" cm="1">
        <f t="array" aca="1" ref="P230" ca="1">IFERROR(_xlfn.XLOOKUP(tblPedidos[[#This Row],[id_dropi]],tblNotas[[#This Row],[id__dropi]],tblNotas[[#This Row],[Notas Manuales]], “”, 0),"")</f>
        <v/>
      </c>
      <c r="R230" t="s">
        <v>1323</v>
      </c>
      <c r="S230">
        <v>26554.5</v>
      </c>
      <c r="T230">
        <v>-18345.5</v>
      </c>
      <c r="U230" cm="1">
        <f t="array" ref="U230">IFERROR(_xlfn.IFS(tblPedidos[[#This Row],[estado_operativo]]="ENTREGADO",tblPedidos[[#This Row],[ganancia_calc]],tblPedidos[[#This Row],[estado_operativo]]="DEVOLUCION",tblPedidos[[#This Row],[costo_devolucion_estimado]]),0)</f>
        <v>26554.5</v>
      </c>
      <c r="V230">
        <v>0</v>
      </c>
      <c r="W230">
        <v>69900</v>
      </c>
      <c r="X230">
        <v>18345.5</v>
      </c>
      <c r="Y230">
        <v>25000</v>
      </c>
      <c r="Z230" s="11">
        <v>46043</v>
      </c>
      <c r="AA230">
        <v>1</v>
      </c>
      <c r="AB230" s="12">
        <v>0.67291666666666672</v>
      </c>
      <c r="AC230" t="s">
        <v>725</v>
      </c>
      <c r="AD230" t="s">
        <v>720</v>
      </c>
      <c r="AE230" t="s">
        <v>720</v>
      </c>
    </row>
    <row r="231" spans="1:31">
      <c r="A231" t="s">
        <v>33</v>
      </c>
      <c r="C231">
        <v>787</v>
      </c>
      <c r="D231" t="s">
        <v>1412</v>
      </c>
      <c r="E231" s="11">
        <v>46040</v>
      </c>
      <c r="F231" t="s">
        <v>1413</v>
      </c>
      <c r="G231" t="s">
        <v>36</v>
      </c>
      <c r="J231" t="s">
        <v>522</v>
      </c>
      <c r="K231" t="s">
        <v>1414</v>
      </c>
      <c r="L231" t="s">
        <v>54</v>
      </c>
      <c r="M231" t="s">
        <v>373</v>
      </c>
      <c r="N231" t="s">
        <v>1415</v>
      </c>
      <c r="O231" t="s">
        <v>1416</v>
      </c>
      <c r="P231" s="46" t="str" cm="1">
        <f t="array" aca="1" ref="P231" ca="1">IFERROR(_xlfn.XLOOKUP(tblPedidos[[#This Row],[id_dropi]],tblNotas[[#This Row],[id__dropi]],tblNotas[[#This Row],[Notas Manuales]], “”, 0),"")</f>
        <v/>
      </c>
      <c r="R231" t="s">
        <v>1417</v>
      </c>
      <c r="S231">
        <v>23686.5</v>
      </c>
      <c r="T231">
        <v>-12170.800000000001</v>
      </c>
      <c r="U231" cm="1">
        <f t="array" ref="U231">IFERROR(_xlfn.IFS(tblPedidos[[#This Row],[estado_operativo]]="ENTREGADO",tblPedidos[[#This Row],[ganancia_calc]],tblPedidos[[#This Row],[estado_operativo]]="DEVOLUCION",tblPedidos[[#This Row],[costo_devolucion_estimado]]),0)</f>
        <v>0</v>
      </c>
      <c r="V231">
        <v>0</v>
      </c>
      <c r="W231">
        <v>59900</v>
      </c>
      <c r="X231">
        <v>15213.5</v>
      </c>
      <c r="Y231">
        <v>21000</v>
      </c>
      <c r="Z231" s="11">
        <v>46042</v>
      </c>
      <c r="AA231">
        <v>2</v>
      </c>
      <c r="AB231" s="12">
        <v>0.71875</v>
      </c>
      <c r="AC231" t="s">
        <v>399</v>
      </c>
      <c r="AD231" t="s">
        <v>527</v>
      </c>
      <c r="AE231" t="s">
        <v>522</v>
      </c>
    </row>
    <row r="232" spans="1:31">
      <c r="A232" t="s">
        <v>33</v>
      </c>
      <c r="C232">
        <v>794</v>
      </c>
      <c r="D232" t="s">
        <v>1418</v>
      </c>
      <c r="E232" s="11">
        <v>46040</v>
      </c>
      <c r="F232" t="s">
        <v>1419</v>
      </c>
      <c r="G232" t="s">
        <v>45</v>
      </c>
      <c r="J232" t="s">
        <v>720</v>
      </c>
      <c r="K232" t="s">
        <v>1420</v>
      </c>
      <c r="L232" t="s">
        <v>46</v>
      </c>
      <c r="M232" t="s">
        <v>1421</v>
      </c>
      <c r="N232" t="s">
        <v>1422</v>
      </c>
      <c r="O232" t="s">
        <v>1423</v>
      </c>
      <c r="P232" s="46" t="str" cm="1">
        <f t="array" aca="1" ref="P232" ca="1">IFERROR(_xlfn.XLOOKUP(tblPedidos[[#This Row],[id_dropi]],tblNotas[[#This Row],[id__dropi]],tblNotas[[#This Row],[Notas Manuales]], “”, 0),"")</f>
        <v/>
      </c>
      <c r="R232" t="s">
        <v>1424</v>
      </c>
      <c r="S232">
        <v>28104.5</v>
      </c>
      <c r="T232">
        <v>-18345.5</v>
      </c>
      <c r="U232" cm="1">
        <f t="array" ref="U232">IFERROR(_xlfn.IFS(tblPedidos[[#This Row],[estado_operativo]]="ENTREGADO",tblPedidos[[#This Row],[ganancia_calc]],tblPedidos[[#This Row],[estado_operativo]]="DEVOLUCION",tblPedidos[[#This Row],[costo_devolucion_estimado]]),0)</f>
        <v>28104.5</v>
      </c>
      <c r="V232">
        <v>0</v>
      </c>
      <c r="W232">
        <v>69900</v>
      </c>
      <c r="X232">
        <v>18345.5</v>
      </c>
      <c r="Y232">
        <v>23450</v>
      </c>
      <c r="Z232" s="11">
        <v>46043</v>
      </c>
      <c r="AA232">
        <v>1</v>
      </c>
      <c r="AB232" s="12">
        <v>0.67222222222222228</v>
      </c>
      <c r="AC232" t="s">
        <v>725</v>
      </c>
      <c r="AD232" t="s">
        <v>720</v>
      </c>
      <c r="AE232" t="s">
        <v>720</v>
      </c>
    </row>
    <row r="233" spans="1:31">
      <c r="A233" t="s">
        <v>33</v>
      </c>
      <c r="C233">
        <v>801</v>
      </c>
      <c r="D233" t="s">
        <v>1425</v>
      </c>
      <c r="E233" s="11">
        <v>46040</v>
      </c>
      <c r="F233" t="s">
        <v>1426</v>
      </c>
      <c r="G233" t="s">
        <v>45</v>
      </c>
      <c r="J233" t="s">
        <v>522</v>
      </c>
      <c r="K233" t="s">
        <v>1427</v>
      </c>
      <c r="L233" t="s">
        <v>545</v>
      </c>
      <c r="M233" t="s">
        <v>1428</v>
      </c>
      <c r="N233" t="s">
        <v>1429</v>
      </c>
      <c r="O233" t="s">
        <v>1430</v>
      </c>
      <c r="P233" s="46" t="str" cm="1">
        <f t="array" aca="1" ref="P233" ca="1">IFERROR(_xlfn.XLOOKUP(tblPedidos[[#This Row],[id_dropi]],tblNotas[[#This Row],[id__dropi]],tblNotas[[#This Row],[Notas Manuales]], “”, 0),"")</f>
        <v/>
      </c>
      <c r="Q233" t="s">
        <v>1431</v>
      </c>
      <c r="R233" t="s">
        <v>1350</v>
      </c>
      <c r="S233">
        <v>26779.5</v>
      </c>
      <c r="T233">
        <v>-18120.5</v>
      </c>
      <c r="U233" cm="1">
        <f t="array" ref="U233">IFERROR(_xlfn.IFS(tblPedidos[[#This Row],[estado_operativo]]="ENTREGADO",tblPedidos[[#This Row],[ganancia_calc]],tblPedidos[[#This Row],[estado_operativo]]="DEVOLUCION",tblPedidos[[#This Row],[costo_devolucion_estimado]]),0)</f>
        <v>0</v>
      </c>
      <c r="V233">
        <v>0</v>
      </c>
      <c r="W233">
        <v>64900</v>
      </c>
      <c r="X233">
        <v>18120.5</v>
      </c>
      <c r="Y233">
        <v>20000</v>
      </c>
      <c r="Z233" s="11">
        <v>46043</v>
      </c>
      <c r="AA233">
        <v>1</v>
      </c>
      <c r="AB233" s="12">
        <v>0.50972222222222219</v>
      </c>
      <c r="AC233" t="s">
        <v>708</v>
      </c>
      <c r="AD233" t="s">
        <v>717</v>
      </c>
      <c r="AE233" t="s">
        <v>522</v>
      </c>
    </row>
    <row r="234" spans="1:31">
      <c r="A234" t="s">
        <v>33</v>
      </c>
      <c r="C234">
        <v>800</v>
      </c>
      <c r="D234" t="s">
        <v>1432</v>
      </c>
      <c r="E234" s="11">
        <v>46040</v>
      </c>
      <c r="F234" t="s">
        <v>1433</v>
      </c>
      <c r="G234" t="s">
        <v>45</v>
      </c>
      <c r="J234" t="s">
        <v>522</v>
      </c>
      <c r="K234" t="s">
        <v>1434</v>
      </c>
      <c r="L234" t="s">
        <v>545</v>
      </c>
      <c r="M234" t="s">
        <v>883</v>
      </c>
      <c r="N234" t="s">
        <v>1435</v>
      </c>
      <c r="O234" t="s">
        <v>1436</v>
      </c>
      <c r="P234" s="46" t="str" cm="1">
        <f t="array" aca="1" ref="P234" ca="1">IFERROR(_xlfn.XLOOKUP(tblPedidos[[#This Row],[id_dropi]],tblNotas[[#This Row],[id__dropi]],tblNotas[[#This Row],[Notas Manuales]], “”, 0),"")</f>
        <v/>
      </c>
      <c r="Q234" t="s">
        <v>1437</v>
      </c>
      <c r="R234" t="s">
        <v>1251</v>
      </c>
      <c r="S234">
        <v>22829.5</v>
      </c>
      <c r="T234">
        <v>-17670.5</v>
      </c>
      <c r="U234" cm="1">
        <f t="array" ref="U234">IFERROR(_xlfn.IFS(tblPedidos[[#This Row],[estado_operativo]]="ENTREGADO",tblPedidos[[#This Row],[ganancia_calc]],tblPedidos[[#This Row],[estado_operativo]]="DEVOLUCION",tblPedidos[[#This Row],[costo_devolucion_estimado]]),0)</f>
        <v>0</v>
      </c>
      <c r="V234">
        <v>0</v>
      </c>
      <c r="W234">
        <v>54900</v>
      </c>
      <c r="X234">
        <v>17670.5</v>
      </c>
      <c r="Y234">
        <v>14400</v>
      </c>
      <c r="Z234" s="11">
        <v>46043</v>
      </c>
      <c r="AA234">
        <v>1</v>
      </c>
      <c r="AB234" s="12">
        <v>0.42638888888888887</v>
      </c>
      <c r="AC234" t="s">
        <v>1039</v>
      </c>
      <c r="AD234" t="s">
        <v>717</v>
      </c>
      <c r="AE234" t="s">
        <v>522</v>
      </c>
    </row>
    <row r="235" spans="1:31">
      <c r="A235" t="s">
        <v>33</v>
      </c>
      <c r="C235">
        <v>803</v>
      </c>
      <c r="D235" t="s">
        <v>1438</v>
      </c>
      <c r="E235" s="11">
        <v>46040</v>
      </c>
      <c r="F235" t="s">
        <v>1439</v>
      </c>
      <c r="G235" t="s">
        <v>45</v>
      </c>
      <c r="J235" t="s">
        <v>939</v>
      </c>
      <c r="K235" t="s">
        <v>1440</v>
      </c>
      <c r="L235" t="s">
        <v>46</v>
      </c>
      <c r="M235" t="s">
        <v>1441</v>
      </c>
      <c r="N235" t="s">
        <v>1442</v>
      </c>
      <c r="O235" t="s">
        <v>1443</v>
      </c>
      <c r="P235" s="46" t="str" cm="1">
        <f t="array" aca="1" ref="P235" ca="1">IFERROR(_xlfn.XLOOKUP(tblPedidos[[#This Row],[id_dropi]],tblNotas[[#This Row],[id__dropi]],tblNotas[[#This Row],[Notas Manuales]], “”, 0),"")</f>
        <v/>
      </c>
      <c r="Q235" t="s">
        <v>1444</v>
      </c>
      <c r="R235" t="s">
        <v>1237</v>
      </c>
      <c r="S235">
        <v>22954.5</v>
      </c>
      <c r="T235">
        <v>-11945.5</v>
      </c>
      <c r="U235" cm="1">
        <f t="array" ref="U235">IFERROR(_xlfn.IFS(tblPedidos[[#This Row],[estado_operativo]]="ENTREGADO",tblPedidos[[#This Row],[ganancia_calc]],tblPedidos[[#This Row],[estado_operativo]]="DEVOLUCION",tblPedidos[[#This Row],[costo_devolucion_estimado]]),0)</f>
        <v>0</v>
      </c>
      <c r="V235">
        <v>0</v>
      </c>
      <c r="W235">
        <v>59900</v>
      </c>
      <c r="X235">
        <v>11945.5</v>
      </c>
      <c r="Y235">
        <v>25000</v>
      </c>
      <c r="Z235" s="11">
        <v>46043</v>
      </c>
      <c r="AA235">
        <v>1</v>
      </c>
      <c r="AB235" s="12">
        <v>0.67500000000000004</v>
      </c>
      <c r="AC235" t="s">
        <v>944</v>
      </c>
      <c r="AD235" t="s">
        <v>944</v>
      </c>
      <c r="AE235" t="s">
        <v>939</v>
      </c>
    </row>
    <row r="236" spans="1:31">
      <c r="A236" t="s">
        <v>33</v>
      </c>
      <c r="C236">
        <v>802</v>
      </c>
      <c r="D236" t="s">
        <v>1445</v>
      </c>
      <c r="E236" s="11">
        <v>46040</v>
      </c>
      <c r="F236" t="s">
        <v>1446</v>
      </c>
      <c r="G236" t="s">
        <v>45</v>
      </c>
      <c r="J236" t="s">
        <v>720</v>
      </c>
      <c r="K236" t="s">
        <v>1447</v>
      </c>
      <c r="L236" t="s">
        <v>545</v>
      </c>
      <c r="M236" t="s">
        <v>546</v>
      </c>
      <c r="N236" t="s">
        <v>1448</v>
      </c>
      <c r="O236" t="s">
        <v>1449</v>
      </c>
      <c r="P236" s="46" t="str" cm="1">
        <f t="array" aca="1" ref="P236" ca="1">IFERROR(_xlfn.XLOOKUP(tblPedidos[[#This Row],[id_dropi]],tblNotas[[#This Row],[id__dropi]],tblNotas[[#This Row],[Notas Manuales]], “”, 0),"")</f>
        <v/>
      </c>
      <c r="R236" t="s">
        <v>1450</v>
      </c>
      <c r="S236">
        <v>17279.5</v>
      </c>
      <c r="T236">
        <v>-17670.5</v>
      </c>
      <c r="U236" cm="1">
        <f t="array" ref="U236">IFERROR(_xlfn.IFS(tblPedidos[[#This Row],[estado_operativo]]="ENTREGADO",tblPedidos[[#This Row],[ganancia_calc]],tblPedidos[[#This Row],[estado_operativo]]="DEVOLUCION",tblPedidos[[#This Row],[costo_devolucion_estimado]]),0)</f>
        <v>17279.5</v>
      </c>
      <c r="V236">
        <v>0</v>
      </c>
      <c r="W236">
        <v>54900</v>
      </c>
      <c r="X236">
        <v>17670.5</v>
      </c>
      <c r="Y236">
        <v>19950</v>
      </c>
      <c r="Z236" s="11">
        <v>46043</v>
      </c>
      <c r="AA236">
        <v>1</v>
      </c>
      <c r="AB236" s="12">
        <v>0.50486111111111109</v>
      </c>
      <c r="AC236" t="s">
        <v>750</v>
      </c>
      <c r="AD236" t="s">
        <v>720</v>
      </c>
      <c r="AE236" t="s">
        <v>720</v>
      </c>
    </row>
    <row r="237" spans="1:31">
      <c r="A237" t="s">
        <v>33</v>
      </c>
      <c r="C237">
        <v>799</v>
      </c>
      <c r="D237" t="s">
        <v>1451</v>
      </c>
      <c r="E237" s="11">
        <v>46040</v>
      </c>
      <c r="F237" t="s">
        <v>1452</v>
      </c>
      <c r="G237" t="s">
        <v>45</v>
      </c>
      <c r="J237" t="s">
        <v>720</v>
      </c>
      <c r="K237" t="s">
        <v>1453</v>
      </c>
      <c r="L237" t="s">
        <v>46</v>
      </c>
      <c r="M237" t="s">
        <v>100</v>
      </c>
      <c r="N237" t="s">
        <v>1454</v>
      </c>
      <c r="O237" t="s">
        <v>1455</v>
      </c>
      <c r="P237" s="46" t="str" cm="1">
        <f t="array" aca="1" ref="P237" ca="1">IFERROR(_xlfn.XLOOKUP(tblPedidos[[#This Row],[id_dropi]],tblNotas[[#This Row],[id__dropi]],tblNotas[[#This Row],[Notas Manuales]], “”, 0),"")</f>
        <v/>
      </c>
      <c r="R237" t="s">
        <v>1237</v>
      </c>
      <c r="S237">
        <v>22954.5</v>
      </c>
      <c r="T237">
        <v>-11945.5</v>
      </c>
      <c r="U237" cm="1">
        <f t="array" ref="U237">IFERROR(_xlfn.IFS(tblPedidos[[#This Row],[estado_operativo]]="ENTREGADO",tblPedidos[[#This Row],[ganancia_calc]],tblPedidos[[#This Row],[estado_operativo]]="DEVOLUCION",tblPedidos[[#This Row],[costo_devolucion_estimado]]),0)</f>
        <v>22954.5</v>
      </c>
      <c r="V237">
        <v>0</v>
      </c>
      <c r="W237">
        <v>59900</v>
      </c>
      <c r="X237">
        <v>11945.5</v>
      </c>
      <c r="Y237">
        <v>25000</v>
      </c>
      <c r="Z237" s="11">
        <v>46043</v>
      </c>
      <c r="AA237">
        <v>1</v>
      </c>
      <c r="AB237" s="12">
        <v>0.75694444444444442</v>
      </c>
      <c r="AC237" t="s">
        <v>750</v>
      </c>
      <c r="AD237" t="s">
        <v>720</v>
      </c>
      <c r="AE237" t="s">
        <v>720</v>
      </c>
    </row>
    <row r="238" spans="1:31">
      <c r="A238" t="s">
        <v>1343</v>
      </c>
      <c r="C238">
        <v>796</v>
      </c>
      <c r="D238" t="s">
        <v>1456</v>
      </c>
      <c r="E238" s="11">
        <v>46040</v>
      </c>
      <c r="F238" t="s">
        <v>1457</v>
      </c>
      <c r="G238" t="s">
        <v>45</v>
      </c>
      <c r="J238" t="s">
        <v>720</v>
      </c>
      <c r="K238" t="s">
        <v>1458</v>
      </c>
      <c r="L238" t="s">
        <v>68</v>
      </c>
      <c r="M238" t="s">
        <v>1459</v>
      </c>
      <c r="N238" t="s">
        <v>1460</v>
      </c>
      <c r="O238" t="s">
        <v>1461</v>
      </c>
      <c r="P238" s="46" t="str" cm="1">
        <f t="array" aca="1" ref="P238" ca="1">IFERROR(_xlfn.XLOOKUP(tblPedidos[[#This Row],[id_dropi]],tblNotas[[#This Row],[id__dropi]],tblNotas[[#This Row],[Notas Manuales]], “”, 0),"")</f>
        <v/>
      </c>
      <c r="R238" t="s">
        <v>1424</v>
      </c>
      <c r="S238">
        <v>28104.5</v>
      </c>
      <c r="T238">
        <v>-18345.5</v>
      </c>
      <c r="U238" cm="1">
        <f t="array" ref="U238">IFERROR(_xlfn.IFS(tblPedidos[[#This Row],[estado_operativo]]="ENTREGADO",tblPedidos[[#This Row],[ganancia_calc]],tblPedidos[[#This Row],[estado_operativo]]="DEVOLUCION",tblPedidos[[#This Row],[costo_devolucion_estimado]]),0)</f>
        <v>28104.5</v>
      </c>
      <c r="V238">
        <v>28104.5</v>
      </c>
      <c r="W238">
        <v>69900</v>
      </c>
      <c r="X238">
        <v>18345.5</v>
      </c>
      <c r="Y238">
        <v>23450</v>
      </c>
      <c r="Z238" s="11">
        <v>46043</v>
      </c>
      <c r="AA238">
        <v>1</v>
      </c>
      <c r="AB238" s="12">
        <v>0.47291666666666665</v>
      </c>
      <c r="AC238" t="s">
        <v>716</v>
      </c>
      <c r="AD238" t="s">
        <v>720</v>
      </c>
      <c r="AE238" t="s">
        <v>720</v>
      </c>
    </row>
    <row r="239" spans="1:31">
      <c r="A239" t="s">
        <v>33</v>
      </c>
      <c r="C239">
        <v>795</v>
      </c>
      <c r="D239" t="s">
        <v>1462</v>
      </c>
      <c r="E239" s="11">
        <v>46040</v>
      </c>
      <c r="F239" t="s">
        <v>1463</v>
      </c>
      <c r="G239" t="s">
        <v>36</v>
      </c>
      <c r="J239" t="s">
        <v>522</v>
      </c>
      <c r="K239" t="s">
        <v>1464</v>
      </c>
      <c r="L239" t="s">
        <v>662</v>
      </c>
      <c r="M239" t="s">
        <v>663</v>
      </c>
      <c r="N239" t="s">
        <v>1465</v>
      </c>
      <c r="O239" t="s">
        <v>1466</v>
      </c>
      <c r="P239" s="46" t="str" cm="1">
        <f t="array" aca="1" ref="P239" ca="1">IFERROR(_xlfn.XLOOKUP(tblPedidos[[#This Row],[id_dropi]],tblNotas[[#This Row],[id__dropi]],tblNotas[[#This Row],[Notas Manuales]], “”, 0),"")</f>
        <v/>
      </c>
      <c r="R239" t="s">
        <v>1417</v>
      </c>
      <c r="S239">
        <v>23686.5</v>
      </c>
      <c r="T239">
        <v>-12170.800000000001</v>
      </c>
      <c r="U239" cm="1">
        <f t="array" ref="U239">IFERROR(_xlfn.IFS(tblPedidos[[#This Row],[estado_operativo]]="ENTREGADO",tblPedidos[[#This Row],[ganancia_calc]],tblPedidos[[#This Row],[estado_operativo]]="DEVOLUCION",tblPedidos[[#This Row],[costo_devolucion_estimado]]),0)</f>
        <v>0</v>
      </c>
      <c r="V239">
        <v>0</v>
      </c>
      <c r="W239">
        <v>59900</v>
      </c>
      <c r="X239">
        <v>15213.5</v>
      </c>
      <c r="Y239">
        <v>21000</v>
      </c>
      <c r="Z239" s="11">
        <v>46042</v>
      </c>
      <c r="AA239">
        <v>2</v>
      </c>
      <c r="AB239" s="12">
        <v>0.77777777777777779</v>
      </c>
      <c r="AC239" t="s">
        <v>399</v>
      </c>
      <c r="AD239" t="s">
        <v>527</v>
      </c>
      <c r="AE239" t="s">
        <v>522</v>
      </c>
    </row>
    <row r="240" spans="1:31">
      <c r="A240" t="s">
        <v>33</v>
      </c>
      <c r="C240">
        <v>798</v>
      </c>
      <c r="D240" t="s">
        <v>1467</v>
      </c>
      <c r="E240" s="11">
        <v>46040</v>
      </c>
      <c r="F240" t="s">
        <v>1468</v>
      </c>
      <c r="G240" t="s">
        <v>45</v>
      </c>
      <c r="J240" t="s">
        <v>522</v>
      </c>
      <c r="K240" t="s">
        <v>1469</v>
      </c>
      <c r="L240" t="s">
        <v>111</v>
      </c>
      <c r="M240" t="s">
        <v>112</v>
      </c>
      <c r="N240" t="s">
        <v>1470</v>
      </c>
      <c r="O240" t="s">
        <v>1471</v>
      </c>
      <c r="P240" s="46" t="str" cm="1">
        <f t="array" aca="1" ref="P240" ca="1">IFERROR(_xlfn.XLOOKUP(tblPedidos[[#This Row],[id_dropi]],tblNotas[[#This Row],[id__dropi]],tblNotas[[#This Row],[Notas Manuales]], “”, 0),"")</f>
        <v/>
      </c>
      <c r="R240" t="s">
        <v>1251</v>
      </c>
      <c r="S240">
        <v>22829.5</v>
      </c>
      <c r="T240">
        <v>-17670.5</v>
      </c>
      <c r="U240" cm="1">
        <f t="array" ref="U240">IFERROR(_xlfn.IFS(tblPedidos[[#This Row],[estado_operativo]]="ENTREGADO",tblPedidos[[#This Row],[ganancia_calc]],tblPedidos[[#This Row],[estado_operativo]]="DEVOLUCION",tblPedidos[[#This Row],[costo_devolucion_estimado]]),0)</f>
        <v>0</v>
      </c>
      <c r="V240">
        <v>0</v>
      </c>
      <c r="W240">
        <v>54900</v>
      </c>
      <c r="X240">
        <v>17670.5</v>
      </c>
      <c r="Y240">
        <v>14400</v>
      </c>
      <c r="Z240" s="11">
        <v>46043</v>
      </c>
      <c r="AA240">
        <v>1</v>
      </c>
      <c r="AB240" s="12">
        <v>0.42638888888888887</v>
      </c>
      <c r="AC240" t="s">
        <v>708</v>
      </c>
      <c r="AD240" t="s">
        <v>717</v>
      </c>
      <c r="AE240" t="s">
        <v>522</v>
      </c>
    </row>
    <row r="241" spans="1:31">
      <c r="A241" t="s">
        <v>33</v>
      </c>
      <c r="C241">
        <v>797</v>
      </c>
      <c r="D241" t="s">
        <v>1472</v>
      </c>
      <c r="E241" s="11">
        <v>46040</v>
      </c>
      <c r="F241" t="s">
        <v>1473</v>
      </c>
      <c r="G241" t="s">
        <v>36</v>
      </c>
      <c r="J241" t="s">
        <v>939</v>
      </c>
      <c r="K241" t="s">
        <v>1474</v>
      </c>
      <c r="L241" t="s">
        <v>54</v>
      </c>
      <c r="M241" t="s">
        <v>373</v>
      </c>
      <c r="N241" t="s">
        <v>1475</v>
      </c>
      <c r="O241" t="s">
        <v>1476</v>
      </c>
      <c r="P241" s="46" t="str" cm="1">
        <f t="array" aca="1" ref="P241" ca="1">IFERROR(_xlfn.XLOOKUP(tblPedidos[[#This Row],[id_dropi]],tblNotas[[#This Row],[id__dropi]],tblNotas[[#This Row],[Notas Manuales]], “”, 0),"")</f>
        <v/>
      </c>
      <c r="R241" t="s">
        <v>1450</v>
      </c>
      <c r="S241">
        <v>26896.5</v>
      </c>
      <c r="T241">
        <v>-10442.800000000001</v>
      </c>
      <c r="U241" cm="1">
        <f t="array" ref="U241">IFERROR(_xlfn.IFS(tblPedidos[[#This Row],[estado_operativo]]="ENTREGADO",tblPedidos[[#This Row],[ganancia_calc]],tblPedidos[[#This Row],[estado_operativo]]="DEVOLUCION",tblPedidos[[#This Row],[costo_devolucion_estimado]]),0)</f>
        <v>0</v>
      </c>
      <c r="V241">
        <v>0</v>
      </c>
      <c r="W241">
        <v>59900</v>
      </c>
      <c r="X241">
        <v>13053.5</v>
      </c>
      <c r="Y241">
        <v>19950</v>
      </c>
      <c r="Z241" s="11">
        <v>46041</v>
      </c>
      <c r="AA241">
        <v>3</v>
      </c>
      <c r="AB241" s="12">
        <v>0.84791666666666665</v>
      </c>
      <c r="AC241" t="s">
        <v>399</v>
      </c>
      <c r="AD241" t="s">
        <v>939</v>
      </c>
      <c r="AE241" t="s">
        <v>939</v>
      </c>
    </row>
    <row r="242" spans="1:31">
      <c r="A242" t="s">
        <v>33</v>
      </c>
      <c r="C242">
        <v>824</v>
      </c>
      <c r="D242" t="s">
        <v>1477</v>
      </c>
      <c r="E242" s="11">
        <v>46040</v>
      </c>
      <c r="F242" t="s">
        <v>1478</v>
      </c>
      <c r="G242" t="s">
        <v>45</v>
      </c>
      <c r="J242" t="s">
        <v>750</v>
      </c>
      <c r="K242" t="s">
        <v>1479</v>
      </c>
      <c r="L242" t="s">
        <v>54</v>
      </c>
      <c r="M242" t="s">
        <v>373</v>
      </c>
      <c r="N242" t="s">
        <v>1480</v>
      </c>
      <c r="O242" t="s">
        <v>1481</v>
      </c>
      <c r="P242" s="46" t="str" cm="1">
        <f t="array" aca="1" ref="P242" ca="1">IFERROR(_xlfn.XLOOKUP(tblPedidos[[#This Row],[id_dropi]],tblNotas[[#This Row],[id__dropi]],tblNotas[[#This Row],[Notas Manuales]], “”, 0),"")</f>
        <v/>
      </c>
      <c r="Q242" t="s">
        <v>1482</v>
      </c>
      <c r="R242" t="s">
        <v>1350</v>
      </c>
      <c r="S242">
        <v>26779.5</v>
      </c>
      <c r="T242">
        <v>-18120.5</v>
      </c>
      <c r="U242" cm="1">
        <f t="array" ref="U242">IFERROR(_xlfn.IFS(tblPedidos[[#This Row],[estado_operativo]]="ENTREGADO",tblPedidos[[#This Row],[ganancia_calc]],tblPedidos[[#This Row],[estado_operativo]]="DEVOLUCION",tblPedidos[[#This Row],[costo_devolucion_estimado]]),0)</f>
        <v>0</v>
      </c>
      <c r="V242">
        <v>0</v>
      </c>
      <c r="W242">
        <v>64900</v>
      </c>
      <c r="X242">
        <v>18120.5</v>
      </c>
      <c r="Y242">
        <v>20000</v>
      </c>
      <c r="Z242" s="11">
        <v>46043</v>
      </c>
      <c r="AA242">
        <v>1</v>
      </c>
      <c r="AB242" s="12">
        <v>0.42638888888888887</v>
      </c>
      <c r="AC242" t="s">
        <v>716</v>
      </c>
      <c r="AD242" t="s">
        <v>757</v>
      </c>
      <c r="AE242" t="s">
        <v>750</v>
      </c>
    </row>
    <row r="243" spans="1:31">
      <c r="A243" t="s">
        <v>33</v>
      </c>
      <c r="C243">
        <v>851</v>
      </c>
      <c r="D243" t="s">
        <v>1483</v>
      </c>
      <c r="E243" s="11">
        <v>46040</v>
      </c>
      <c r="F243" t="s">
        <v>1484</v>
      </c>
      <c r="G243" t="s">
        <v>45</v>
      </c>
      <c r="J243" t="s">
        <v>720</v>
      </c>
      <c r="K243" t="s">
        <v>1485</v>
      </c>
      <c r="L243" t="s">
        <v>125</v>
      </c>
      <c r="M243" t="s">
        <v>679</v>
      </c>
      <c r="N243" t="s">
        <v>1486</v>
      </c>
      <c r="O243" t="s">
        <v>1487</v>
      </c>
      <c r="P243" s="46" t="str" cm="1">
        <f t="array" aca="1" ref="P243" ca="1">IFERROR(_xlfn.XLOOKUP(tblPedidos[[#This Row],[id_dropi]],tblNotas[[#This Row],[id__dropi]],tblNotas[[#This Row],[Notas Manuales]], “”, 0),"")</f>
        <v/>
      </c>
      <c r="R243" t="s">
        <v>1424</v>
      </c>
      <c r="S243">
        <v>28104.5</v>
      </c>
      <c r="T243">
        <v>-18345.5</v>
      </c>
      <c r="U243" cm="1">
        <f t="array" ref="U243">IFERROR(_xlfn.IFS(tblPedidos[[#This Row],[estado_operativo]]="ENTREGADO",tblPedidos[[#This Row],[ganancia_calc]],tblPedidos[[#This Row],[estado_operativo]]="DEVOLUCION",tblPedidos[[#This Row],[costo_devolucion_estimado]]),0)</f>
        <v>28104.5</v>
      </c>
      <c r="V243">
        <v>0</v>
      </c>
      <c r="W243">
        <v>69900</v>
      </c>
      <c r="X243">
        <v>18345.5</v>
      </c>
      <c r="Y243">
        <v>23450</v>
      </c>
      <c r="Z243" s="11">
        <v>46043</v>
      </c>
      <c r="AA243">
        <v>1</v>
      </c>
      <c r="AB243" s="12">
        <v>0.43055555555555558</v>
      </c>
      <c r="AC243" t="s">
        <v>1039</v>
      </c>
      <c r="AD243" t="s">
        <v>720</v>
      </c>
      <c r="AE243" t="s">
        <v>720</v>
      </c>
    </row>
    <row r="244" spans="1:31">
      <c r="A244" t="s">
        <v>33</v>
      </c>
      <c r="C244">
        <v>850</v>
      </c>
      <c r="D244" t="s">
        <v>1488</v>
      </c>
      <c r="E244" s="11">
        <v>46040</v>
      </c>
      <c r="F244" t="s">
        <v>1489</v>
      </c>
      <c r="G244" t="s">
        <v>36</v>
      </c>
      <c r="J244" t="s">
        <v>959</v>
      </c>
      <c r="K244" t="s">
        <v>1490</v>
      </c>
      <c r="L244" t="s">
        <v>54</v>
      </c>
      <c r="M244" t="s">
        <v>1491</v>
      </c>
      <c r="N244" t="s">
        <v>1492</v>
      </c>
      <c r="O244" t="s">
        <v>1493</v>
      </c>
      <c r="P244" s="46" t="str" cm="1">
        <f t="array" aca="1" ref="P244" ca="1">IFERROR(_xlfn.XLOOKUP(tblPedidos[[#This Row],[id_dropi]],tblNotas[[#This Row],[id__dropi]],tblNotas[[#This Row],[Notas Manuales]], “”, 0),"")</f>
        <v/>
      </c>
      <c r="R244" t="s">
        <v>1424</v>
      </c>
      <c r="S244">
        <v>32946.5</v>
      </c>
      <c r="T244">
        <v>-10802.800000000001</v>
      </c>
      <c r="U244" cm="1">
        <f t="array" ref="U244">IFERROR(_xlfn.IFS(tblPedidos[[#This Row],[estado_operativo]]="ENTREGADO",tblPedidos[[#This Row],[ganancia_calc]],tblPedidos[[#This Row],[estado_operativo]]="DEVOLUCION",tblPedidos[[#This Row],[costo_devolucion_estimado]]),0)</f>
        <v>0</v>
      </c>
      <c r="V244">
        <v>0</v>
      </c>
      <c r="W244">
        <v>69900</v>
      </c>
      <c r="X244">
        <v>13503.5</v>
      </c>
      <c r="Y244">
        <v>23450</v>
      </c>
      <c r="Z244" s="11">
        <v>46041</v>
      </c>
      <c r="AA244">
        <v>3</v>
      </c>
      <c r="AB244" s="12">
        <v>0.84791666666666665</v>
      </c>
      <c r="AC244" t="s">
        <v>399</v>
      </c>
      <c r="AD244" t="s">
        <v>1103</v>
      </c>
      <c r="AE244" t="s">
        <v>959</v>
      </c>
    </row>
    <row r="245" spans="1:31">
      <c r="A245" t="s">
        <v>33</v>
      </c>
      <c r="C245">
        <v>853</v>
      </c>
      <c r="D245" t="s">
        <v>1494</v>
      </c>
      <c r="E245" s="11">
        <v>46040</v>
      </c>
      <c r="F245" t="s">
        <v>1495</v>
      </c>
      <c r="G245" t="s">
        <v>45</v>
      </c>
      <c r="J245" t="s">
        <v>750</v>
      </c>
      <c r="K245" t="s">
        <v>1496</v>
      </c>
      <c r="L245" t="s">
        <v>46</v>
      </c>
      <c r="M245" t="s">
        <v>100</v>
      </c>
      <c r="N245" t="s">
        <v>1497</v>
      </c>
      <c r="O245" t="s">
        <v>1498</v>
      </c>
      <c r="P245" s="46" t="str" cm="1">
        <f t="array" aca="1" ref="P245" ca="1">IFERROR(_xlfn.XLOOKUP(tblPedidos[[#This Row],[id_dropi]],tblNotas[[#This Row],[id__dropi]],tblNotas[[#This Row],[Notas Manuales]], “”, 0),"")</f>
        <v/>
      </c>
      <c r="R245" t="s">
        <v>1424</v>
      </c>
      <c r="S245">
        <v>28104.5</v>
      </c>
      <c r="T245">
        <v>-18345.5</v>
      </c>
      <c r="U245" cm="1">
        <f t="array" ref="U245">IFERROR(_xlfn.IFS(tblPedidos[[#This Row],[estado_operativo]]="ENTREGADO",tblPedidos[[#This Row],[ganancia_calc]],tblPedidos[[#This Row],[estado_operativo]]="DEVOLUCION",tblPedidos[[#This Row],[costo_devolucion_estimado]]),0)</f>
        <v>0</v>
      </c>
      <c r="V245">
        <v>0</v>
      </c>
      <c r="W245">
        <v>69900</v>
      </c>
      <c r="X245">
        <v>18345.5</v>
      </c>
      <c r="Y245">
        <v>23450</v>
      </c>
      <c r="Z245" s="11">
        <v>46043</v>
      </c>
      <c r="AA245">
        <v>1</v>
      </c>
      <c r="AB245" s="12">
        <v>0.42777777777777776</v>
      </c>
      <c r="AC245" t="s">
        <v>716</v>
      </c>
      <c r="AD245" t="s">
        <v>1027</v>
      </c>
      <c r="AE245" t="s">
        <v>750</v>
      </c>
    </row>
    <row r="246" spans="1:31">
      <c r="A246" t="s">
        <v>33</v>
      </c>
      <c r="C246">
        <v>852</v>
      </c>
      <c r="D246" t="s">
        <v>1499</v>
      </c>
      <c r="E246" s="11">
        <v>46040</v>
      </c>
      <c r="F246" t="s">
        <v>1500</v>
      </c>
      <c r="G246" t="s">
        <v>45</v>
      </c>
      <c r="J246" t="s">
        <v>386</v>
      </c>
      <c r="K246" t="s">
        <v>1501</v>
      </c>
      <c r="L246" t="s">
        <v>1003</v>
      </c>
      <c r="M246" t="s">
        <v>1502</v>
      </c>
      <c r="N246" t="s">
        <v>1503</v>
      </c>
      <c r="O246" t="s">
        <v>1504</v>
      </c>
      <c r="P246" s="46" t="str" cm="1">
        <f t="array" aca="1" ref="P246" ca="1">IFERROR(_xlfn.XLOOKUP(tblPedidos[[#This Row],[id_dropi]],tblNotas[[#This Row],[id__dropi]],tblNotas[[#This Row],[Notas Manuales]], “”, 0),"")</f>
        <v/>
      </c>
      <c r="R246" t="s">
        <v>1424</v>
      </c>
      <c r="S246">
        <v>28104.5</v>
      </c>
      <c r="T246">
        <v>-18345.5</v>
      </c>
      <c r="U246" cm="1">
        <f t="array" ref="U246">IFERROR(_xlfn.IFS(tblPedidos[[#This Row],[estado_operativo]]="ENTREGADO",tblPedidos[[#This Row],[ganancia_calc]],tblPedidos[[#This Row],[estado_operativo]]="DEVOLUCION",tblPedidos[[#This Row],[costo_devolucion_estimado]]),0)</f>
        <v>0</v>
      </c>
      <c r="V246">
        <v>0</v>
      </c>
      <c r="W246">
        <v>69900</v>
      </c>
      <c r="X246">
        <v>18345.5</v>
      </c>
      <c r="Y246">
        <v>23450</v>
      </c>
      <c r="Z246" s="11">
        <v>46043</v>
      </c>
      <c r="AA246">
        <v>1</v>
      </c>
      <c r="AB246" s="12">
        <v>0.44444444444444442</v>
      </c>
      <c r="AC246" t="s">
        <v>716</v>
      </c>
      <c r="AD246" t="s">
        <v>709</v>
      </c>
      <c r="AE246" t="s">
        <v>386</v>
      </c>
    </row>
    <row r="247" spans="1:31">
      <c r="A247" t="s">
        <v>33</v>
      </c>
      <c r="C247">
        <v>849</v>
      </c>
      <c r="D247" t="s">
        <v>1505</v>
      </c>
      <c r="E247" s="11">
        <v>46040</v>
      </c>
      <c r="F247" t="s">
        <v>1506</v>
      </c>
      <c r="G247" t="s">
        <v>45</v>
      </c>
      <c r="J247" t="s">
        <v>386</v>
      </c>
      <c r="K247" t="s">
        <v>1507</v>
      </c>
      <c r="L247" t="s">
        <v>328</v>
      </c>
      <c r="M247" t="s">
        <v>1508</v>
      </c>
      <c r="N247" t="s">
        <v>1509</v>
      </c>
      <c r="O247" t="s">
        <v>1510</v>
      </c>
      <c r="P247" s="46" t="str" cm="1">
        <f t="array" aca="1" ref="P247" ca="1">IFERROR(_xlfn.XLOOKUP(tblPedidos[[#This Row],[id_dropi]],tblNotas[[#This Row],[id__dropi]],tblNotas[[#This Row],[Notas Manuales]], “”, 0),"")</f>
        <v/>
      </c>
      <c r="Q247" t="s">
        <v>50</v>
      </c>
      <c r="R247" t="s">
        <v>1511</v>
      </c>
      <c r="S247">
        <v>31754.5</v>
      </c>
      <c r="T247">
        <v>-19695.5</v>
      </c>
      <c r="U247" cm="1">
        <f t="array" ref="U247">IFERROR(_xlfn.IFS(tblPedidos[[#This Row],[estado_operativo]]="ENTREGADO",tblPedidos[[#This Row],[ganancia_calc]],tblPedidos[[#This Row],[estado_operativo]]="DEVOLUCION",tblPedidos[[#This Row],[costo_devolucion_estimado]]),0)</f>
        <v>0</v>
      </c>
      <c r="V247">
        <v>0</v>
      </c>
      <c r="W247">
        <v>99900</v>
      </c>
      <c r="X247">
        <v>19695.5</v>
      </c>
      <c r="Y247">
        <v>48450</v>
      </c>
      <c r="Z247" s="11">
        <v>46043</v>
      </c>
      <c r="AA247">
        <v>1</v>
      </c>
      <c r="AB247" s="12">
        <v>0.50902777777777775</v>
      </c>
      <c r="AC247" t="s">
        <v>708</v>
      </c>
      <c r="AD247" t="s">
        <v>709</v>
      </c>
      <c r="AE247" t="s">
        <v>386</v>
      </c>
    </row>
    <row r="248" spans="1:31">
      <c r="A248" t="s">
        <v>33</v>
      </c>
      <c r="C248">
        <v>846</v>
      </c>
      <c r="D248" t="s">
        <v>1512</v>
      </c>
      <c r="E248" s="11">
        <v>46040</v>
      </c>
      <c r="F248" t="s">
        <v>1513</v>
      </c>
      <c r="G248" t="s">
        <v>45</v>
      </c>
      <c r="J248" t="s">
        <v>386</v>
      </c>
      <c r="K248" t="s">
        <v>1514</v>
      </c>
      <c r="L248" t="s">
        <v>38</v>
      </c>
      <c r="M248" t="s">
        <v>1081</v>
      </c>
      <c r="N248" t="s">
        <v>1515</v>
      </c>
      <c r="O248" t="s">
        <v>1516</v>
      </c>
      <c r="P248" s="46" t="str" cm="1">
        <f t="array" aca="1" ref="P248" ca="1">IFERROR(_xlfn.XLOOKUP(tblPedidos[[#This Row],[id_dropi]],tblNotas[[#This Row],[id__dropi]],tblNotas[[#This Row],[Notas Manuales]], “”, 0),"")</f>
        <v/>
      </c>
      <c r="Q248" t="s">
        <v>50</v>
      </c>
      <c r="R248" t="s">
        <v>1517</v>
      </c>
      <c r="S248">
        <v>33304.5</v>
      </c>
      <c r="T248">
        <v>-19695.5</v>
      </c>
      <c r="U248" cm="1">
        <f t="array" ref="U248">IFERROR(_xlfn.IFS(tblPedidos[[#This Row],[estado_operativo]]="ENTREGADO",tblPedidos[[#This Row],[ganancia_calc]],tblPedidos[[#This Row],[estado_operativo]]="DEVOLUCION",tblPedidos[[#This Row],[costo_devolucion_estimado]]),0)</f>
        <v>0</v>
      </c>
      <c r="V248">
        <v>0</v>
      </c>
      <c r="W248">
        <v>99900</v>
      </c>
      <c r="X248">
        <v>19695.5</v>
      </c>
      <c r="Y248">
        <v>46900</v>
      </c>
      <c r="Z248" s="11">
        <v>46043</v>
      </c>
      <c r="AA248">
        <v>1</v>
      </c>
      <c r="AB248" s="12">
        <v>0.50902777777777775</v>
      </c>
      <c r="AC248" t="s">
        <v>708</v>
      </c>
      <c r="AD248" t="s">
        <v>709</v>
      </c>
      <c r="AE248" t="s">
        <v>386</v>
      </c>
    </row>
    <row r="249" spans="1:31">
      <c r="A249" t="s">
        <v>33</v>
      </c>
      <c r="C249">
        <v>845</v>
      </c>
      <c r="D249" t="s">
        <v>1518</v>
      </c>
      <c r="E249" s="11">
        <v>46040</v>
      </c>
      <c r="F249" t="s">
        <v>1519</v>
      </c>
      <c r="G249" t="s">
        <v>45</v>
      </c>
      <c r="J249" t="s">
        <v>522</v>
      </c>
      <c r="K249" t="s">
        <v>1520</v>
      </c>
      <c r="L249" t="s">
        <v>54</v>
      </c>
      <c r="M249" t="s">
        <v>1521</v>
      </c>
      <c r="N249" t="s">
        <v>1522</v>
      </c>
      <c r="O249" t="s">
        <v>1523</v>
      </c>
      <c r="P249" s="46" t="str" cm="1">
        <f t="array" aca="1" ref="P249" ca="1">IFERROR(_xlfn.XLOOKUP(tblPedidos[[#This Row],[id_dropi]],tblNotas[[#This Row],[id__dropi]],tblNotas[[#This Row],[Notas Manuales]], “”, 0),"")</f>
        <v/>
      </c>
      <c r="Q249" t="s">
        <v>50</v>
      </c>
      <c r="R249" t="s">
        <v>1524</v>
      </c>
      <c r="S249">
        <v>20654.5</v>
      </c>
      <c r="T249">
        <v>-19245.5</v>
      </c>
      <c r="U249" cm="1">
        <f t="array" ref="U249">IFERROR(_xlfn.IFS(tblPedidos[[#This Row],[estado_operativo]]="ENTREGADO",tblPedidos[[#This Row],[ganancia_calc]],tblPedidos[[#This Row],[estado_operativo]]="DEVOLUCION",tblPedidos[[#This Row],[costo_devolucion_estimado]]),0)</f>
        <v>0</v>
      </c>
      <c r="V249">
        <v>0</v>
      </c>
      <c r="W249">
        <v>89900</v>
      </c>
      <c r="X249">
        <v>19245.5</v>
      </c>
      <c r="Y249">
        <v>50000</v>
      </c>
      <c r="Z249" s="11">
        <v>46043</v>
      </c>
      <c r="AA249">
        <v>1</v>
      </c>
      <c r="AB249" s="12">
        <v>0.42638888888888887</v>
      </c>
      <c r="AC249" t="s">
        <v>708</v>
      </c>
      <c r="AD249" t="s">
        <v>717</v>
      </c>
      <c r="AE249" t="s">
        <v>522</v>
      </c>
    </row>
    <row r="250" spans="1:31">
      <c r="A250" t="s">
        <v>33</v>
      </c>
      <c r="C250">
        <v>848</v>
      </c>
      <c r="D250" t="s">
        <v>1525</v>
      </c>
      <c r="E250" s="11">
        <v>46040</v>
      </c>
      <c r="F250" t="s">
        <v>1526</v>
      </c>
      <c r="G250" t="s">
        <v>45</v>
      </c>
      <c r="J250" t="s">
        <v>720</v>
      </c>
      <c r="K250" t="s">
        <v>1527</v>
      </c>
      <c r="L250" t="s">
        <v>68</v>
      </c>
      <c r="M250" t="s">
        <v>69</v>
      </c>
      <c r="N250" t="s">
        <v>1528</v>
      </c>
      <c r="O250" t="s">
        <v>1529</v>
      </c>
      <c r="P250" s="46" t="str" cm="1">
        <f t="array" aca="1" ref="P250" ca="1">IFERROR(_xlfn.XLOOKUP(tblPedidos[[#This Row],[id_dropi]],tblNotas[[#This Row],[id__dropi]],tblNotas[[#This Row],[Notas Manuales]], “”, 0),"")</f>
        <v/>
      </c>
      <c r="R250" t="s">
        <v>1524</v>
      </c>
      <c r="S250">
        <v>25204.5</v>
      </c>
      <c r="T250">
        <v>-14695.5</v>
      </c>
      <c r="U250" cm="1">
        <f t="array" ref="U250">IFERROR(_xlfn.IFS(tblPedidos[[#This Row],[estado_operativo]]="ENTREGADO",tblPedidos[[#This Row],[ganancia_calc]],tblPedidos[[#This Row],[estado_operativo]]="DEVOLUCION",tblPedidos[[#This Row],[costo_devolucion_estimado]]),0)</f>
        <v>25204.5</v>
      </c>
      <c r="V250">
        <v>0</v>
      </c>
      <c r="W250">
        <v>89900</v>
      </c>
      <c r="X250">
        <v>14695.5</v>
      </c>
      <c r="Y250">
        <v>50000</v>
      </c>
      <c r="Z250" s="11">
        <v>46043</v>
      </c>
      <c r="AA250">
        <v>1</v>
      </c>
      <c r="AB250" s="12">
        <v>0.5395833333333333</v>
      </c>
      <c r="AC250" t="s">
        <v>716</v>
      </c>
      <c r="AD250" t="s">
        <v>720</v>
      </c>
      <c r="AE250" t="s">
        <v>720</v>
      </c>
    </row>
    <row r="251" spans="1:31">
      <c r="A251" t="s">
        <v>33</v>
      </c>
      <c r="C251">
        <v>847</v>
      </c>
      <c r="D251" t="s">
        <v>1530</v>
      </c>
      <c r="E251" s="11">
        <v>46040</v>
      </c>
      <c r="F251" t="s">
        <v>1531</v>
      </c>
      <c r="G251" t="s">
        <v>36</v>
      </c>
      <c r="J251" t="s">
        <v>522</v>
      </c>
      <c r="K251" t="s">
        <v>1532</v>
      </c>
      <c r="L251" t="s">
        <v>166</v>
      </c>
      <c r="M251" t="s">
        <v>167</v>
      </c>
      <c r="N251" t="s">
        <v>1533</v>
      </c>
      <c r="O251" t="s">
        <v>1534</v>
      </c>
      <c r="P251" s="46" t="str" cm="1">
        <f t="array" aca="1" ref="P251" ca="1">IFERROR(_xlfn.XLOOKUP(tblPedidos[[#This Row],[id_dropi]],tblNotas[[#This Row],[id__dropi]],tblNotas[[#This Row],[Notas Manuales]], “”, 0),"")</f>
        <v/>
      </c>
      <c r="R251" t="s">
        <v>1535</v>
      </c>
      <c r="S251">
        <v>19686.5</v>
      </c>
      <c r="T251">
        <v>-12170.800000000001</v>
      </c>
      <c r="U251" cm="1">
        <f t="array" ref="U251">IFERROR(_xlfn.IFS(tblPedidos[[#This Row],[estado_operativo]]="ENTREGADO",tblPedidos[[#This Row],[ganancia_calc]],tblPedidos[[#This Row],[estado_operativo]]="DEVOLUCION",tblPedidos[[#This Row],[costo_devolucion_estimado]]),0)</f>
        <v>0</v>
      </c>
      <c r="V251">
        <v>0</v>
      </c>
      <c r="W251">
        <v>59900</v>
      </c>
      <c r="X251">
        <v>15213.5</v>
      </c>
      <c r="Y251">
        <v>25000</v>
      </c>
      <c r="Z251" s="11">
        <v>46041</v>
      </c>
      <c r="AA251">
        <v>3</v>
      </c>
      <c r="AB251" s="12">
        <v>0.89722222222222225</v>
      </c>
      <c r="AC251" t="s">
        <v>399</v>
      </c>
      <c r="AD251" t="s">
        <v>527</v>
      </c>
      <c r="AE251" t="s">
        <v>522</v>
      </c>
    </row>
    <row r="252" spans="1:31">
      <c r="A252" t="s">
        <v>33</v>
      </c>
      <c r="C252">
        <v>854</v>
      </c>
      <c r="D252" t="s">
        <v>1536</v>
      </c>
      <c r="E252" s="11">
        <v>46040</v>
      </c>
      <c r="F252" t="s">
        <v>1537</v>
      </c>
      <c r="G252" t="s">
        <v>45</v>
      </c>
      <c r="J252" t="s">
        <v>720</v>
      </c>
      <c r="K252" t="s">
        <v>1538</v>
      </c>
      <c r="L252" t="s">
        <v>212</v>
      </c>
      <c r="M252" t="s">
        <v>1539</v>
      </c>
      <c r="N252" t="s">
        <v>1540</v>
      </c>
      <c r="O252" t="s">
        <v>1541</v>
      </c>
      <c r="P252" s="46" t="str" cm="1">
        <f t="array" aca="1" ref="P252" ca="1">IFERROR(_xlfn.XLOOKUP(tblPedidos[[#This Row],[id_dropi]],tblNotas[[#This Row],[id__dropi]],tblNotas[[#This Row],[Notas Manuales]], “”, 0),"")</f>
        <v/>
      </c>
      <c r="R252" t="s">
        <v>1524</v>
      </c>
      <c r="S252">
        <v>20654.5</v>
      </c>
      <c r="T252">
        <v>-19245.5</v>
      </c>
      <c r="U252" cm="1">
        <f t="array" ref="U252">IFERROR(_xlfn.IFS(tblPedidos[[#This Row],[estado_operativo]]="ENTREGADO",tblPedidos[[#This Row],[ganancia_calc]],tblPedidos[[#This Row],[estado_operativo]]="DEVOLUCION",tblPedidos[[#This Row],[costo_devolucion_estimado]]),0)</f>
        <v>20654.5</v>
      </c>
      <c r="V252">
        <v>0</v>
      </c>
      <c r="W252">
        <v>89900</v>
      </c>
      <c r="X252">
        <v>19245.5</v>
      </c>
      <c r="Y252">
        <v>50000</v>
      </c>
      <c r="Z252" s="11">
        <v>46043</v>
      </c>
      <c r="AA252">
        <v>1</v>
      </c>
      <c r="AB252" s="12">
        <v>0.75694444444444442</v>
      </c>
      <c r="AC252" t="s">
        <v>725</v>
      </c>
      <c r="AD252" t="s">
        <v>720</v>
      </c>
      <c r="AE252" t="s">
        <v>720</v>
      </c>
    </row>
    <row r="253" spans="1:31">
      <c r="A253" t="s">
        <v>33</v>
      </c>
      <c r="C253">
        <v>861</v>
      </c>
      <c r="D253" t="s">
        <v>1542</v>
      </c>
      <c r="E253" s="11">
        <v>46040</v>
      </c>
      <c r="F253" t="s">
        <v>1543</v>
      </c>
      <c r="G253" t="s">
        <v>36</v>
      </c>
      <c r="J253" t="s">
        <v>720</v>
      </c>
      <c r="K253" t="s">
        <v>1544</v>
      </c>
      <c r="L253" t="s">
        <v>590</v>
      </c>
      <c r="M253" t="s">
        <v>783</v>
      </c>
      <c r="N253" t="s">
        <v>1545</v>
      </c>
      <c r="O253" t="s">
        <v>1546</v>
      </c>
      <c r="P253" s="46" t="str" cm="1">
        <f t="array" aca="1" ref="P253" ca="1">IFERROR(_xlfn.XLOOKUP(tblPedidos[[#This Row],[id_dropi]],tblNotas[[#This Row],[id__dropi]],tblNotas[[#This Row],[Notas Manuales]], “”, 0),"")</f>
        <v/>
      </c>
      <c r="R253" t="s">
        <v>1535</v>
      </c>
      <c r="S253">
        <v>19686.5</v>
      </c>
      <c r="T253">
        <v>-12170.800000000001</v>
      </c>
      <c r="U253" cm="1">
        <f t="array" ref="U253">IFERROR(_xlfn.IFS(tblPedidos[[#This Row],[estado_operativo]]="ENTREGADO",tblPedidos[[#This Row],[ganancia_calc]],tblPedidos[[#This Row],[estado_operativo]]="DEVOLUCION",tblPedidos[[#This Row],[costo_devolucion_estimado]]),0)</f>
        <v>19686.5</v>
      </c>
      <c r="V253">
        <v>0</v>
      </c>
      <c r="W253">
        <v>59900</v>
      </c>
      <c r="X253">
        <v>15213.5</v>
      </c>
      <c r="Y253">
        <v>25000</v>
      </c>
      <c r="Z253" s="11">
        <v>46041</v>
      </c>
      <c r="AA253">
        <v>3</v>
      </c>
      <c r="AB253" s="12">
        <v>0.89722222222222225</v>
      </c>
      <c r="AC253" t="s">
        <v>399</v>
      </c>
      <c r="AD253" t="s">
        <v>720</v>
      </c>
      <c r="AE253" t="s">
        <v>720</v>
      </c>
    </row>
    <row r="254" spans="1:31">
      <c r="A254" t="s">
        <v>33</v>
      </c>
      <c r="C254">
        <v>860</v>
      </c>
      <c r="D254" t="s">
        <v>1547</v>
      </c>
      <c r="E254" s="11">
        <v>46040</v>
      </c>
      <c r="F254" t="s">
        <v>1548</v>
      </c>
      <c r="G254" t="s">
        <v>45</v>
      </c>
      <c r="J254" t="s">
        <v>386</v>
      </c>
      <c r="K254" t="s">
        <v>1549</v>
      </c>
      <c r="L254" t="s">
        <v>152</v>
      </c>
      <c r="M254" t="s">
        <v>153</v>
      </c>
      <c r="N254" t="s">
        <v>1550</v>
      </c>
      <c r="O254" t="s">
        <v>1551</v>
      </c>
      <c r="P254" s="46" t="str" cm="1">
        <f t="array" aca="1" ref="P254" ca="1">IFERROR(_xlfn.XLOOKUP(tblPedidos[[#This Row],[id_dropi]],tblNotas[[#This Row],[id__dropi]],tblNotas[[#This Row],[Notas Manuales]], “”, 0),"")</f>
        <v/>
      </c>
      <c r="Q254" t="s">
        <v>50</v>
      </c>
      <c r="R254" t="s">
        <v>1524</v>
      </c>
      <c r="S254">
        <v>20654.5</v>
      </c>
      <c r="T254">
        <v>-19245.5</v>
      </c>
      <c r="U254" cm="1">
        <f t="array" ref="U254">IFERROR(_xlfn.IFS(tblPedidos[[#This Row],[estado_operativo]]="ENTREGADO",tblPedidos[[#This Row],[ganancia_calc]],tblPedidos[[#This Row],[estado_operativo]]="DEVOLUCION",tblPedidos[[#This Row],[costo_devolucion_estimado]]),0)</f>
        <v>0</v>
      </c>
      <c r="V254">
        <v>0</v>
      </c>
      <c r="W254">
        <v>89900</v>
      </c>
      <c r="X254">
        <v>19245.5</v>
      </c>
      <c r="Y254">
        <v>50000</v>
      </c>
      <c r="Z254" s="11">
        <v>46043</v>
      </c>
      <c r="AA254">
        <v>1</v>
      </c>
      <c r="AB254" s="12">
        <v>0.50694444444444442</v>
      </c>
      <c r="AC254" t="s">
        <v>982</v>
      </c>
      <c r="AD254" t="s">
        <v>709</v>
      </c>
      <c r="AE254" t="s">
        <v>386</v>
      </c>
    </row>
    <row r="255" spans="1:31">
      <c r="A255" t="s">
        <v>33</v>
      </c>
      <c r="C255">
        <v>863</v>
      </c>
      <c r="D255" t="s">
        <v>1552</v>
      </c>
      <c r="E255" s="11">
        <v>46040</v>
      </c>
      <c r="F255" t="s">
        <v>1553</v>
      </c>
      <c r="G255" t="s">
        <v>45</v>
      </c>
      <c r="J255" t="s">
        <v>386</v>
      </c>
      <c r="K255" t="s">
        <v>1554</v>
      </c>
      <c r="L255" t="s">
        <v>74</v>
      </c>
      <c r="M255" t="s">
        <v>1555</v>
      </c>
      <c r="N255" t="s">
        <v>1556</v>
      </c>
      <c r="O255" t="s">
        <v>1557</v>
      </c>
      <c r="P255" s="46" t="str" cm="1">
        <f t="array" aca="1" ref="P255" ca="1">IFERROR(_xlfn.XLOOKUP(tblPedidos[[#This Row],[id_dropi]],tblNotas[[#This Row],[id__dropi]],tblNotas[[#This Row],[Notas Manuales]], “”, 0),"")</f>
        <v/>
      </c>
      <c r="R255" t="s">
        <v>1524</v>
      </c>
      <c r="S255">
        <v>20654.5</v>
      </c>
      <c r="T255">
        <v>-19245.5</v>
      </c>
      <c r="U255" cm="1">
        <f t="array" ref="U255">IFERROR(_xlfn.IFS(tblPedidos[[#This Row],[estado_operativo]]="ENTREGADO",tblPedidos[[#This Row],[ganancia_calc]],tblPedidos[[#This Row],[estado_operativo]]="DEVOLUCION",tblPedidos[[#This Row],[costo_devolucion_estimado]]),0)</f>
        <v>0</v>
      </c>
      <c r="V255">
        <v>0</v>
      </c>
      <c r="W255">
        <v>89900</v>
      </c>
      <c r="X255">
        <v>19245.5</v>
      </c>
      <c r="Y255">
        <v>50000</v>
      </c>
      <c r="Z255" s="11">
        <v>46043</v>
      </c>
      <c r="AA255">
        <v>1</v>
      </c>
      <c r="AB255" s="12">
        <v>0.42986111111111114</v>
      </c>
      <c r="AC255" t="s">
        <v>708</v>
      </c>
      <c r="AD255" t="s">
        <v>709</v>
      </c>
      <c r="AE255" t="s">
        <v>386</v>
      </c>
    </row>
    <row r="256" spans="1:31">
      <c r="A256" t="s">
        <v>33</v>
      </c>
      <c r="C256">
        <v>862</v>
      </c>
      <c r="D256" t="s">
        <v>1558</v>
      </c>
      <c r="E256" s="11">
        <v>46040</v>
      </c>
      <c r="F256" t="s">
        <v>1559</v>
      </c>
      <c r="G256" t="s">
        <v>45</v>
      </c>
      <c r="J256" t="s">
        <v>939</v>
      </c>
      <c r="K256" t="s">
        <v>1560</v>
      </c>
      <c r="L256" t="s">
        <v>212</v>
      </c>
      <c r="M256" t="s">
        <v>1561</v>
      </c>
      <c r="N256" t="s">
        <v>1562</v>
      </c>
      <c r="O256" t="s">
        <v>1563</v>
      </c>
      <c r="P256" s="46" t="str" cm="1">
        <f t="array" aca="1" ref="P256" ca="1">IFERROR(_xlfn.XLOOKUP(tblPedidos[[#This Row],[id_dropi]],tblNotas[[#This Row],[id__dropi]],tblNotas[[#This Row],[Notas Manuales]], “”, 0),"")</f>
        <v/>
      </c>
      <c r="R256" t="s">
        <v>1535</v>
      </c>
      <c r="S256">
        <v>17004.5</v>
      </c>
      <c r="T256">
        <v>-17895.5</v>
      </c>
      <c r="U256" cm="1">
        <f t="array" ref="U256">IFERROR(_xlfn.IFS(tblPedidos[[#This Row],[estado_operativo]]="ENTREGADO",tblPedidos[[#This Row],[ganancia_calc]],tblPedidos[[#This Row],[estado_operativo]]="DEVOLUCION",tblPedidos[[#This Row],[costo_devolucion_estimado]]),0)</f>
        <v>0</v>
      </c>
      <c r="V256">
        <v>0</v>
      </c>
      <c r="W256">
        <v>59900</v>
      </c>
      <c r="X256">
        <v>17895.5</v>
      </c>
      <c r="Y256">
        <v>25000</v>
      </c>
      <c r="Z256" s="11">
        <v>46043</v>
      </c>
      <c r="AA256">
        <v>1</v>
      </c>
      <c r="AB256" s="12">
        <v>0.67222222222222228</v>
      </c>
      <c r="AC256" t="s">
        <v>756</v>
      </c>
      <c r="AD256" t="s">
        <v>944</v>
      </c>
      <c r="AE256" t="s">
        <v>939</v>
      </c>
    </row>
    <row r="257" spans="1:31">
      <c r="A257" t="s">
        <v>33</v>
      </c>
      <c r="C257">
        <v>859</v>
      </c>
      <c r="D257" t="s">
        <v>1564</v>
      </c>
      <c r="E257" s="11">
        <v>46040</v>
      </c>
      <c r="F257" t="s">
        <v>1565</v>
      </c>
      <c r="G257" t="s">
        <v>36</v>
      </c>
      <c r="J257" t="s">
        <v>522</v>
      </c>
      <c r="K257" t="s">
        <v>1566</v>
      </c>
      <c r="L257" t="s">
        <v>38</v>
      </c>
      <c r="M257" t="s">
        <v>39</v>
      </c>
      <c r="N257" t="s">
        <v>1567</v>
      </c>
      <c r="O257" t="s">
        <v>1568</v>
      </c>
      <c r="P257" s="46" t="str" cm="1">
        <f t="array" aca="1" ref="P257" ca="1">IFERROR(_xlfn.XLOOKUP(tblPedidos[[#This Row],[id_dropi]],tblNotas[[#This Row],[id__dropi]],tblNotas[[#This Row],[Notas Manuales]], “”, 0),"")</f>
        <v/>
      </c>
      <c r="Q257" t="s">
        <v>1569</v>
      </c>
      <c r="R257" t="s">
        <v>1524</v>
      </c>
      <c r="S257">
        <v>23336.5</v>
      </c>
      <c r="T257">
        <v>-13250.800000000001</v>
      </c>
      <c r="U257" cm="1">
        <f t="array" ref="U257">IFERROR(_xlfn.IFS(tblPedidos[[#This Row],[estado_operativo]]="ENTREGADO",tblPedidos[[#This Row],[ganancia_calc]],tblPedidos[[#This Row],[estado_operativo]]="DEVOLUCION",tblPedidos[[#This Row],[costo_devolucion_estimado]]),0)</f>
        <v>0</v>
      </c>
      <c r="V257">
        <v>0</v>
      </c>
      <c r="W257">
        <v>89900</v>
      </c>
      <c r="X257">
        <v>16563.5</v>
      </c>
      <c r="Y257">
        <v>50000</v>
      </c>
      <c r="Z257" s="11">
        <v>46041</v>
      </c>
      <c r="AA257">
        <v>3</v>
      </c>
      <c r="AB257" s="12">
        <v>0.89722222222222225</v>
      </c>
      <c r="AC257" t="s">
        <v>399</v>
      </c>
      <c r="AD257" t="s">
        <v>527</v>
      </c>
      <c r="AE257" t="s">
        <v>522</v>
      </c>
    </row>
    <row r="258" spans="1:31">
      <c r="A258" t="s">
        <v>33</v>
      </c>
      <c r="C258">
        <v>856</v>
      </c>
      <c r="D258" t="s">
        <v>1570</v>
      </c>
      <c r="E258" s="11">
        <v>46040</v>
      </c>
      <c r="F258" t="s">
        <v>1571</v>
      </c>
      <c r="G258" t="s">
        <v>36</v>
      </c>
      <c r="J258" t="s">
        <v>522</v>
      </c>
      <c r="K258" t="s">
        <v>1572</v>
      </c>
      <c r="L258" t="s">
        <v>166</v>
      </c>
      <c r="M258" t="s">
        <v>468</v>
      </c>
      <c r="N258" t="s">
        <v>1573</v>
      </c>
      <c r="O258" t="s">
        <v>1574</v>
      </c>
      <c r="P258" s="46" t="str" cm="1">
        <f t="array" aca="1" ref="P258" ca="1">IFERROR(_xlfn.XLOOKUP(tblPedidos[[#This Row],[id_dropi]],tblNotas[[#This Row],[id__dropi]],tblNotas[[#This Row],[Notas Manuales]], “”, 0),"")</f>
        <v/>
      </c>
      <c r="R258" t="s">
        <v>1535</v>
      </c>
      <c r="S258">
        <v>19686.5</v>
      </c>
      <c r="T258">
        <v>-12170.800000000001</v>
      </c>
      <c r="U258" cm="1">
        <f t="array" ref="U258">IFERROR(_xlfn.IFS(tblPedidos[[#This Row],[estado_operativo]]="ENTREGADO",tblPedidos[[#This Row],[ganancia_calc]],tblPedidos[[#This Row],[estado_operativo]]="DEVOLUCION",tblPedidos[[#This Row],[costo_devolucion_estimado]]),0)</f>
        <v>0</v>
      </c>
      <c r="V258">
        <v>0</v>
      </c>
      <c r="W258">
        <v>59900</v>
      </c>
      <c r="X258">
        <v>15213.5</v>
      </c>
      <c r="Y258">
        <v>25000</v>
      </c>
      <c r="Z258" s="11">
        <v>46041</v>
      </c>
      <c r="AA258">
        <v>3</v>
      </c>
      <c r="AB258" s="12">
        <v>0.89722222222222225</v>
      </c>
      <c r="AC258" t="s">
        <v>399</v>
      </c>
      <c r="AD258" t="s">
        <v>527</v>
      </c>
      <c r="AE258" t="s">
        <v>522</v>
      </c>
    </row>
    <row r="259" spans="1:31">
      <c r="A259" t="s">
        <v>33</v>
      </c>
      <c r="C259">
        <v>855</v>
      </c>
      <c r="D259" t="s">
        <v>1575</v>
      </c>
      <c r="E259" s="11">
        <v>46040</v>
      </c>
      <c r="F259" t="s">
        <v>1576</v>
      </c>
      <c r="G259" t="s">
        <v>45</v>
      </c>
      <c r="J259" t="s">
        <v>522</v>
      </c>
      <c r="K259" t="s">
        <v>1577</v>
      </c>
      <c r="L259" t="s">
        <v>54</v>
      </c>
      <c r="M259" t="s">
        <v>610</v>
      </c>
      <c r="N259" t="s">
        <v>1578</v>
      </c>
      <c r="O259" t="s">
        <v>1579</v>
      </c>
      <c r="P259" s="46" t="str" cm="1">
        <f t="array" aca="1" ref="P259" ca="1">IFERROR(_xlfn.XLOOKUP(tblPedidos[[#This Row],[id_dropi]],tblNotas[[#This Row],[id__dropi]],tblNotas[[#This Row],[Notas Manuales]], “”, 0),"")</f>
        <v/>
      </c>
      <c r="R259" t="s">
        <v>1535</v>
      </c>
      <c r="S259">
        <v>12229.5</v>
      </c>
      <c r="T259">
        <v>-17670.5</v>
      </c>
      <c r="U259" cm="1">
        <f t="array" ref="U259">IFERROR(_xlfn.IFS(tblPedidos[[#This Row],[estado_operativo]]="ENTREGADO",tblPedidos[[#This Row],[ganancia_calc]],tblPedidos[[#This Row],[estado_operativo]]="DEVOLUCION",tblPedidos[[#This Row],[costo_devolucion_estimado]]),0)</f>
        <v>0</v>
      </c>
      <c r="V259">
        <v>0</v>
      </c>
      <c r="W259">
        <v>54900</v>
      </c>
      <c r="X259">
        <v>17670.5</v>
      </c>
      <c r="Y259">
        <v>25000</v>
      </c>
      <c r="Z259" s="11">
        <v>46043</v>
      </c>
      <c r="AA259">
        <v>1</v>
      </c>
      <c r="AB259" s="12">
        <v>0.50694444444444442</v>
      </c>
      <c r="AC259" t="s">
        <v>716</v>
      </c>
      <c r="AD259" t="s">
        <v>717</v>
      </c>
      <c r="AE259" t="s">
        <v>522</v>
      </c>
    </row>
    <row r="260" spans="1:31">
      <c r="A260" t="s">
        <v>1343</v>
      </c>
      <c r="C260">
        <v>858</v>
      </c>
      <c r="D260" t="s">
        <v>1580</v>
      </c>
      <c r="E260" s="11">
        <v>46040</v>
      </c>
      <c r="F260" t="s">
        <v>1581</v>
      </c>
      <c r="G260" t="s">
        <v>45</v>
      </c>
      <c r="J260" t="s">
        <v>720</v>
      </c>
      <c r="K260" t="s">
        <v>1582</v>
      </c>
      <c r="L260" t="s">
        <v>328</v>
      </c>
      <c r="M260" t="s">
        <v>329</v>
      </c>
      <c r="N260" t="s">
        <v>1583</v>
      </c>
      <c r="O260" t="s">
        <v>1584</v>
      </c>
      <c r="P260" s="46" t="str" cm="1">
        <f t="array" aca="1" ref="P260" ca="1">IFERROR(_xlfn.XLOOKUP(tblPedidos[[#This Row],[id_dropi]],tblNotas[[#This Row],[id__dropi]],tblNotas[[#This Row],[Notas Manuales]], “”, 0),"")</f>
        <v/>
      </c>
      <c r="R260" t="s">
        <v>1524</v>
      </c>
      <c r="S260">
        <v>20654.5</v>
      </c>
      <c r="T260">
        <v>-19245.5</v>
      </c>
      <c r="U260" cm="1">
        <f t="array" ref="U260">IFERROR(_xlfn.IFS(tblPedidos[[#This Row],[estado_operativo]]="ENTREGADO",tblPedidos[[#This Row],[ganancia_calc]],tblPedidos[[#This Row],[estado_operativo]]="DEVOLUCION",tblPedidos[[#This Row],[costo_devolucion_estimado]]),0)</f>
        <v>20654.5</v>
      </c>
      <c r="V260">
        <v>20654.5</v>
      </c>
      <c r="W260">
        <v>89900</v>
      </c>
      <c r="X260">
        <v>19245.5</v>
      </c>
      <c r="Y260">
        <v>50000</v>
      </c>
      <c r="Z260" s="11">
        <v>46043</v>
      </c>
      <c r="AA260">
        <v>1</v>
      </c>
      <c r="AB260" s="12">
        <v>0.43402777777777779</v>
      </c>
      <c r="AC260" t="s">
        <v>716</v>
      </c>
      <c r="AD260" t="s">
        <v>720</v>
      </c>
      <c r="AE260" t="s">
        <v>720</v>
      </c>
    </row>
    <row r="261" spans="1:31">
      <c r="A261" t="s">
        <v>33</v>
      </c>
      <c r="C261">
        <v>857</v>
      </c>
      <c r="D261" t="s">
        <v>1585</v>
      </c>
      <c r="E261" s="11">
        <v>46040</v>
      </c>
      <c r="F261" t="s">
        <v>1586</v>
      </c>
      <c r="G261" t="s">
        <v>36</v>
      </c>
      <c r="J261" t="s">
        <v>939</v>
      </c>
      <c r="K261" t="s">
        <v>1587</v>
      </c>
      <c r="L261" t="s">
        <v>81</v>
      </c>
      <c r="M261" t="s">
        <v>118</v>
      </c>
      <c r="N261" t="s">
        <v>1588</v>
      </c>
      <c r="O261" t="s">
        <v>1589</v>
      </c>
      <c r="P261" s="46" t="str" cm="1">
        <f t="array" aca="1" ref="P261" ca="1">IFERROR(_xlfn.XLOOKUP(tblPedidos[[#This Row],[id_dropi]],tblNotas[[#This Row],[id__dropi]],tblNotas[[#This Row],[Notas Manuales]], “”, 0),"")</f>
        <v/>
      </c>
      <c r="R261" t="s">
        <v>1524</v>
      </c>
      <c r="S261">
        <v>26792.5</v>
      </c>
      <c r="T261">
        <v>-10486</v>
      </c>
      <c r="U261" cm="1">
        <f t="array" ref="U261">IFERROR(_xlfn.IFS(tblPedidos[[#This Row],[estado_operativo]]="ENTREGADO",tblPedidos[[#This Row],[ganancia_calc]],tblPedidos[[#This Row],[estado_operativo]]="DEVOLUCION",tblPedidos[[#This Row],[costo_devolucion_estimado]]),0)</f>
        <v>0</v>
      </c>
      <c r="V261">
        <v>0</v>
      </c>
      <c r="W261">
        <v>89900</v>
      </c>
      <c r="X261">
        <v>13107.5</v>
      </c>
      <c r="Y261">
        <v>50000</v>
      </c>
      <c r="Z261" s="11">
        <v>46041</v>
      </c>
      <c r="AA261">
        <v>3</v>
      </c>
      <c r="AB261" s="12">
        <v>0.89583333333333337</v>
      </c>
      <c r="AC261" t="s">
        <v>399</v>
      </c>
      <c r="AD261" t="s">
        <v>939</v>
      </c>
      <c r="AE261" t="s">
        <v>939</v>
      </c>
    </row>
    <row r="262" spans="1:31">
      <c r="A262" t="s">
        <v>33</v>
      </c>
      <c r="C262">
        <v>844</v>
      </c>
      <c r="D262" t="s">
        <v>1590</v>
      </c>
      <c r="E262" s="11">
        <v>46040</v>
      </c>
      <c r="F262" t="s">
        <v>1591</v>
      </c>
      <c r="G262" t="s">
        <v>45</v>
      </c>
      <c r="J262" t="s">
        <v>720</v>
      </c>
      <c r="K262" t="s">
        <v>1592</v>
      </c>
      <c r="L262" t="s">
        <v>46</v>
      </c>
      <c r="M262" t="s">
        <v>100</v>
      </c>
      <c r="N262" t="s">
        <v>1593</v>
      </c>
      <c r="O262" t="s">
        <v>1594</v>
      </c>
      <c r="P262" s="46" t="str" cm="1">
        <f t="array" aca="1" ref="P262" ca="1">IFERROR(_xlfn.XLOOKUP(tblPedidos[[#This Row],[id_dropi]],tblNotas[[#This Row],[id__dropi]],tblNotas[[#This Row],[Notas Manuales]], “”, 0),"")</f>
        <v/>
      </c>
      <c r="R262" t="s">
        <v>1524</v>
      </c>
      <c r="S262">
        <v>20654.5</v>
      </c>
      <c r="T262">
        <v>-19245.5</v>
      </c>
      <c r="U262" cm="1">
        <f t="array" ref="U262">IFERROR(_xlfn.IFS(tblPedidos[[#This Row],[estado_operativo]]="ENTREGADO",tblPedidos[[#This Row],[ganancia_calc]],tblPedidos[[#This Row],[estado_operativo]]="DEVOLUCION",tblPedidos[[#This Row],[costo_devolucion_estimado]]),0)</f>
        <v>20654.5</v>
      </c>
      <c r="V262">
        <v>0</v>
      </c>
      <c r="W262">
        <v>89900</v>
      </c>
      <c r="X262">
        <v>19245.5</v>
      </c>
      <c r="Y262">
        <v>50000</v>
      </c>
      <c r="Z262" s="11">
        <v>46043</v>
      </c>
      <c r="AA262">
        <v>1</v>
      </c>
      <c r="AB262" s="12">
        <v>0.67500000000000004</v>
      </c>
      <c r="AC262" t="s">
        <v>725</v>
      </c>
      <c r="AD262" t="s">
        <v>720</v>
      </c>
      <c r="AE262" t="s">
        <v>720</v>
      </c>
    </row>
    <row r="263" spans="1:31">
      <c r="A263" t="s">
        <v>33</v>
      </c>
      <c r="C263">
        <v>831</v>
      </c>
      <c r="D263" t="s">
        <v>1595</v>
      </c>
      <c r="E263" s="11">
        <v>46040</v>
      </c>
      <c r="F263" t="s">
        <v>1596</v>
      </c>
      <c r="G263" t="s">
        <v>45</v>
      </c>
      <c r="J263" t="s">
        <v>720</v>
      </c>
      <c r="K263" t="s">
        <v>1597</v>
      </c>
      <c r="L263" t="s">
        <v>46</v>
      </c>
      <c r="M263" t="s">
        <v>100</v>
      </c>
      <c r="N263" t="s">
        <v>1598</v>
      </c>
      <c r="O263" t="s">
        <v>1599</v>
      </c>
      <c r="P263" s="46" t="str" cm="1">
        <f t="array" aca="1" ref="P263" ca="1">IFERROR(_xlfn.XLOOKUP(tblPedidos[[#This Row],[id_dropi]],tblNotas[[#This Row],[id__dropi]],tblNotas[[#This Row],[Notas Manuales]], “”, 0),"")</f>
        <v/>
      </c>
      <c r="R263" t="s">
        <v>1524</v>
      </c>
      <c r="S263">
        <v>20654.5</v>
      </c>
      <c r="T263">
        <v>-19245.5</v>
      </c>
      <c r="U263" cm="1">
        <f t="array" ref="U263">IFERROR(_xlfn.IFS(tblPedidos[[#This Row],[estado_operativo]]="ENTREGADO",tblPedidos[[#This Row],[ganancia_calc]],tblPedidos[[#This Row],[estado_operativo]]="DEVOLUCION",tblPedidos[[#This Row],[costo_devolucion_estimado]]),0)</f>
        <v>20654.5</v>
      </c>
      <c r="V263">
        <v>0</v>
      </c>
      <c r="W263">
        <v>89900</v>
      </c>
      <c r="X263">
        <v>19245.5</v>
      </c>
      <c r="Y263">
        <v>50000</v>
      </c>
      <c r="Z263" s="11">
        <v>46043</v>
      </c>
      <c r="AA263">
        <v>1</v>
      </c>
      <c r="AB263" s="12">
        <v>0.43888888888888888</v>
      </c>
      <c r="AC263" t="s">
        <v>716</v>
      </c>
      <c r="AD263" t="s">
        <v>720</v>
      </c>
      <c r="AE263" t="s">
        <v>720</v>
      </c>
    </row>
    <row r="264" spans="1:31">
      <c r="A264" t="s">
        <v>33</v>
      </c>
      <c r="C264">
        <v>830</v>
      </c>
      <c r="D264" t="s">
        <v>1600</v>
      </c>
      <c r="E264" s="11">
        <v>46040</v>
      </c>
      <c r="F264" t="s">
        <v>1601</v>
      </c>
      <c r="G264" t="s">
        <v>45</v>
      </c>
      <c r="J264" t="s">
        <v>939</v>
      </c>
      <c r="K264" t="s">
        <v>1602</v>
      </c>
      <c r="L264" t="s">
        <v>159</v>
      </c>
      <c r="M264" t="s">
        <v>160</v>
      </c>
      <c r="N264" t="s">
        <v>1603</v>
      </c>
      <c r="O264" t="s">
        <v>1604</v>
      </c>
      <c r="P264" s="46" t="str" cm="1">
        <f t="array" aca="1" ref="P264" ca="1">IFERROR(_xlfn.XLOOKUP(tblPedidos[[#This Row],[id_dropi]],tblNotas[[#This Row],[id__dropi]],tblNotas[[#This Row],[Notas Manuales]], “”, 0),"")</f>
        <v/>
      </c>
      <c r="R264" t="s">
        <v>1524</v>
      </c>
      <c r="S264">
        <v>20429.5</v>
      </c>
      <c r="T264">
        <v>-14470.5</v>
      </c>
      <c r="U264" cm="1">
        <f t="array" ref="U264">IFERROR(_xlfn.IFS(tblPedidos[[#This Row],[estado_operativo]]="ENTREGADO",tblPedidos[[#This Row],[ganancia_calc]],tblPedidos[[#This Row],[estado_operativo]]="DEVOLUCION",tblPedidos[[#This Row],[costo_devolucion_estimado]]),0)</f>
        <v>0</v>
      </c>
      <c r="V264">
        <v>0</v>
      </c>
      <c r="W264">
        <v>84900</v>
      </c>
      <c r="X264">
        <v>14470.5</v>
      </c>
      <c r="Y264">
        <v>50000</v>
      </c>
      <c r="Z264" s="11">
        <v>46043</v>
      </c>
      <c r="AA264">
        <v>1</v>
      </c>
      <c r="AB264" s="12">
        <v>0.67500000000000004</v>
      </c>
      <c r="AC264" t="s">
        <v>756</v>
      </c>
      <c r="AD264" t="s">
        <v>944</v>
      </c>
      <c r="AE264" t="s">
        <v>939</v>
      </c>
    </row>
    <row r="265" spans="1:31">
      <c r="A265" t="s">
        <v>33</v>
      </c>
      <c r="C265">
        <v>833</v>
      </c>
      <c r="D265" t="s">
        <v>1605</v>
      </c>
      <c r="E265" s="11">
        <v>46040</v>
      </c>
      <c r="F265" t="s">
        <v>1606</v>
      </c>
      <c r="G265" t="s">
        <v>45</v>
      </c>
      <c r="J265" t="s">
        <v>939</v>
      </c>
      <c r="K265" t="s">
        <v>1607</v>
      </c>
      <c r="L265" t="s">
        <v>46</v>
      </c>
      <c r="M265" t="s">
        <v>100</v>
      </c>
      <c r="N265" t="s">
        <v>1608</v>
      </c>
      <c r="O265" t="s">
        <v>1609</v>
      </c>
      <c r="P265" s="46" t="str" cm="1">
        <f t="array" aca="1" ref="P265" ca="1">IFERROR(_xlfn.XLOOKUP(tblPedidos[[#This Row],[id_dropi]],tblNotas[[#This Row],[id__dropi]],tblNotas[[#This Row],[Notas Manuales]], “”, 0),"")</f>
        <v/>
      </c>
      <c r="R265" t="s">
        <v>1524</v>
      </c>
      <c r="S265">
        <v>20654.5</v>
      </c>
      <c r="T265">
        <v>-19245.5</v>
      </c>
      <c r="U265" cm="1">
        <f t="array" ref="U265">IFERROR(_xlfn.IFS(tblPedidos[[#This Row],[estado_operativo]]="ENTREGADO",tblPedidos[[#This Row],[ganancia_calc]],tblPedidos[[#This Row],[estado_operativo]]="DEVOLUCION",tblPedidos[[#This Row],[costo_devolucion_estimado]]),0)</f>
        <v>0</v>
      </c>
      <c r="V265">
        <v>0</v>
      </c>
      <c r="W265">
        <v>89900</v>
      </c>
      <c r="X265">
        <v>19245.5</v>
      </c>
      <c r="Y265">
        <v>50000</v>
      </c>
      <c r="Z265" s="11">
        <v>46043</v>
      </c>
      <c r="AA265">
        <v>1</v>
      </c>
      <c r="AB265" s="12">
        <v>0.75624999999999998</v>
      </c>
      <c r="AC265" t="s">
        <v>944</v>
      </c>
      <c r="AD265" t="s">
        <v>944</v>
      </c>
      <c r="AE265" t="s">
        <v>939</v>
      </c>
    </row>
    <row r="266" spans="1:31">
      <c r="A266" t="s">
        <v>33</v>
      </c>
      <c r="C266">
        <v>832</v>
      </c>
      <c r="D266" t="s">
        <v>1610</v>
      </c>
      <c r="E266" s="11">
        <v>46040</v>
      </c>
      <c r="F266" t="s">
        <v>1611</v>
      </c>
      <c r="G266" t="s">
        <v>45</v>
      </c>
      <c r="J266" t="s">
        <v>386</v>
      </c>
      <c r="K266" t="s">
        <v>1612</v>
      </c>
      <c r="L266" t="s">
        <v>54</v>
      </c>
      <c r="M266" t="s">
        <v>1613</v>
      </c>
      <c r="N266" t="s">
        <v>1614</v>
      </c>
      <c r="O266" t="s">
        <v>1615</v>
      </c>
      <c r="P266" s="46" t="str" cm="1">
        <f t="array" aca="1" ref="P266" ca="1">IFERROR(_xlfn.XLOOKUP(tblPedidos[[#This Row],[id_dropi]],tblNotas[[#This Row],[id__dropi]],tblNotas[[#This Row],[Notas Manuales]], “”, 0),"")</f>
        <v/>
      </c>
      <c r="R266" t="s">
        <v>1535</v>
      </c>
      <c r="S266">
        <v>17004.5</v>
      </c>
      <c r="T266">
        <v>-17895.5</v>
      </c>
      <c r="U266" cm="1">
        <f t="array" ref="U266">IFERROR(_xlfn.IFS(tblPedidos[[#This Row],[estado_operativo]]="ENTREGADO",tblPedidos[[#This Row],[ganancia_calc]],tblPedidos[[#This Row],[estado_operativo]]="DEVOLUCION",tblPedidos[[#This Row],[costo_devolucion_estimado]]),0)</f>
        <v>0</v>
      </c>
      <c r="V266">
        <v>0</v>
      </c>
      <c r="W266">
        <v>59900</v>
      </c>
      <c r="X266">
        <v>17895.5</v>
      </c>
      <c r="Y266">
        <v>25000</v>
      </c>
      <c r="Z266" s="11">
        <v>46043</v>
      </c>
      <c r="AA266">
        <v>1</v>
      </c>
      <c r="AB266" s="12">
        <v>0.67291666666666672</v>
      </c>
      <c r="AC266" t="s">
        <v>1039</v>
      </c>
      <c r="AD266" t="s">
        <v>709</v>
      </c>
      <c r="AE266" t="s">
        <v>386</v>
      </c>
    </row>
    <row r="267" spans="1:31">
      <c r="A267" t="s">
        <v>33</v>
      </c>
      <c r="C267">
        <v>829</v>
      </c>
      <c r="D267" t="s">
        <v>1616</v>
      </c>
      <c r="E267" s="11">
        <v>46040</v>
      </c>
      <c r="F267" t="s">
        <v>1617</v>
      </c>
      <c r="G267" t="s">
        <v>36</v>
      </c>
      <c r="J267" t="s">
        <v>750</v>
      </c>
      <c r="K267" t="s">
        <v>1618</v>
      </c>
      <c r="L267" t="s">
        <v>590</v>
      </c>
      <c r="M267" t="s">
        <v>1619</v>
      </c>
      <c r="N267" t="s">
        <v>1620</v>
      </c>
      <c r="O267" t="s">
        <v>1621</v>
      </c>
      <c r="P267" s="46" t="str" cm="1">
        <f t="array" aca="1" ref="P267" ca="1">IFERROR(_xlfn.XLOOKUP(tblPedidos[[#This Row],[id_dropi]],tblNotas[[#This Row],[id__dropi]],tblNotas[[#This Row],[Notas Manuales]], “”, 0),"")</f>
        <v/>
      </c>
      <c r="R267" t="s">
        <v>1524</v>
      </c>
      <c r="S267">
        <v>23336.5</v>
      </c>
      <c r="T267">
        <v>-13250.800000000001</v>
      </c>
      <c r="U267" cm="1">
        <f t="array" ref="U267">IFERROR(_xlfn.IFS(tblPedidos[[#This Row],[estado_operativo]]="ENTREGADO",tblPedidos[[#This Row],[ganancia_calc]],tblPedidos[[#This Row],[estado_operativo]]="DEVOLUCION",tblPedidos[[#This Row],[costo_devolucion_estimado]]),0)</f>
        <v>0</v>
      </c>
      <c r="V267">
        <v>0</v>
      </c>
      <c r="W267">
        <v>89900</v>
      </c>
      <c r="X267">
        <v>16563.5</v>
      </c>
      <c r="Y267">
        <v>50000</v>
      </c>
      <c r="Z267" s="11">
        <v>46041</v>
      </c>
      <c r="AA267">
        <v>3</v>
      </c>
      <c r="AB267" s="12">
        <v>0.89583333333333337</v>
      </c>
      <c r="AC267" t="s">
        <v>399</v>
      </c>
      <c r="AD267" t="s">
        <v>1027</v>
      </c>
      <c r="AE267" t="s">
        <v>750</v>
      </c>
    </row>
    <row r="268" spans="1:31">
      <c r="A268" t="s">
        <v>33</v>
      </c>
      <c r="C268">
        <v>826</v>
      </c>
      <c r="D268" t="s">
        <v>1622</v>
      </c>
      <c r="E268" s="11">
        <v>46040</v>
      </c>
      <c r="F268" t="s">
        <v>1623</v>
      </c>
      <c r="G268" t="s">
        <v>36</v>
      </c>
      <c r="J268" t="s">
        <v>720</v>
      </c>
      <c r="K268" t="s">
        <v>1624</v>
      </c>
      <c r="L268" t="s">
        <v>54</v>
      </c>
      <c r="M268" t="s">
        <v>373</v>
      </c>
      <c r="N268" t="s">
        <v>1625</v>
      </c>
      <c r="O268" t="s">
        <v>1626</v>
      </c>
      <c r="P268" s="46" t="str" cm="1">
        <f t="array" aca="1" ref="P268" ca="1">IFERROR(_xlfn.XLOOKUP(tblPedidos[[#This Row],[id_dropi]],tblNotas[[#This Row],[id__dropi]],tblNotas[[#This Row],[Notas Manuales]], “”, 0),"")</f>
        <v/>
      </c>
      <c r="Q268" t="s">
        <v>1627</v>
      </c>
      <c r="R268" t="s">
        <v>1524</v>
      </c>
      <c r="S268">
        <v>23336.5</v>
      </c>
      <c r="T268">
        <v>-13250.800000000001</v>
      </c>
      <c r="U268" cm="1">
        <f t="array" ref="U268">IFERROR(_xlfn.IFS(tblPedidos[[#This Row],[estado_operativo]]="ENTREGADO",tblPedidos[[#This Row],[ganancia_calc]],tblPedidos[[#This Row],[estado_operativo]]="DEVOLUCION",tblPedidos[[#This Row],[costo_devolucion_estimado]]),0)</f>
        <v>23336.5</v>
      </c>
      <c r="V268">
        <v>0</v>
      </c>
      <c r="W268">
        <v>89900</v>
      </c>
      <c r="X268">
        <v>16563.5</v>
      </c>
      <c r="Y268">
        <v>50000</v>
      </c>
      <c r="Z268" s="11">
        <v>46041</v>
      </c>
      <c r="AA268">
        <v>3</v>
      </c>
      <c r="AB268" s="12">
        <v>0.91041666666666665</v>
      </c>
      <c r="AC268" t="s">
        <v>399</v>
      </c>
      <c r="AD268" t="s">
        <v>720</v>
      </c>
      <c r="AE268" t="s">
        <v>720</v>
      </c>
    </row>
    <row r="269" spans="1:31">
      <c r="A269" t="s">
        <v>33</v>
      </c>
      <c r="C269">
        <v>825</v>
      </c>
      <c r="D269" t="s">
        <v>1628</v>
      </c>
      <c r="E269" s="11">
        <v>46040</v>
      </c>
      <c r="F269" t="s">
        <v>1629</v>
      </c>
      <c r="G269" t="s">
        <v>45</v>
      </c>
      <c r="J269" t="s">
        <v>750</v>
      </c>
      <c r="K269" t="s">
        <v>1630</v>
      </c>
      <c r="L269" t="s">
        <v>545</v>
      </c>
      <c r="M269" t="s">
        <v>1631</v>
      </c>
      <c r="N269" t="s">
        <v>1632</v>
      </c>
      <c r="O269" t="s">
        <v>1633</v>
      </c>
      <c r="P269" s="46" t="str" cm="1">
        <f t="array" aca="1" ref="P269" ca="1">IFERROR(_xlfn.XLOOKUP(tblPedidos[[#This Row],[id_dropi]],tblNotas[[#This Row],[id__dropi]],tblNotas[[#This Row],[Notas Manuales]], “”, 0),"")</f>
        <v/>
      </c>
      <c r="R269" t="s">
        <v>1535</v>
      </c>
      <c r="S269">
        <v>17004.5</v>
      </c>
      <c r="T269">
        <v>-17895.5</v>
      </c>
      <c r="U269" cm="1">
        <f t="array" ref="U269">IFERROR(_xlfn.IFS(tblPedidos[[#This Row],[estado_operativo]]="ENTREGADO",tblPedidos[[#This Row],[ganancia_calc]],tblPedidos[[#This Row],[estado_operativo]]="DEVOLUCION",tblPedidos[[#This Row],[costo_devolucion_estimado]]),0)</f>
        <v>0</v>
      </c>
      <c r="V269">
        <v>0</v>
      </c>
      <c r="W269">
        <v>59900</v>
      </c>
      <c r="X269">
        <v>17895.5</v>
      </c>
      <c r="Y269">
        <v>25000</v>
      </c>
      <c r="Z269" s="11">
        <v>46043</v>
      </c>
      <c r="AA269">
        <v>1</v>
      </c>
      <c r="AB269" s="12">
        <v>0.67222222222222228</v>
      </c>
      <c r="AC269" t="s">
        <v>750</v>
      </c>
      <c r="AD269" t="s">
        <v>1027</v>
      </c>
      <c r="AE269" t="s">
        <v>750</v>
      </c>
    </row>
    <row r="270" spans="1:31">
      <c r="A270" t="s">
        <v>33</v>
      </c>
      <c r="C270">
        <v>828</v>
      </c>
      <c r="D270" t="s">
        <v>1634</v>
      </c>
      <c r="E270" s="11">
        <v>46040</v>
      </c>
      <c r="F270" t="s">
        <v>1635</v>
      </c>
      <c r="G270" t="s">
        <v>45</v>
      </c>
      <c r="J270" t="s">
        <v>939</v>
      </c>
      <c r="K270" t="s">
        <v>1636</v>
      </c>
      <c r="L270" t="s">
        <v>545</v>
      </c>
      <c r="M270" t="s">
        <v>546</v>
      </c>
      <c r="N270" t="s">
        <v>1637</v>
      </c>
      <c r="O270" t="s">
        <v>1638</v>
      </c>
      <c r="P270" s="46" t="str" cm="1">
        <f t="array" aca="1" ref="P270" ca="1">IFERROR(_xlfn.XLOOKUP(tblPedidos[[#This Row],[id_dropi]],tblNotas[[#This Row],[id__dropi]],tblNotas[[#This Row],[Notas Manuales]], “”, 0),"")</f>
        <v/>
      </c>
      <c r="R270" t="s">
        <v>1524</v>
      </c>
      <c r="S270">
        <v>20654.5</v>
      </c>
      <c r="T270">
        <v>-19245.5</v>
      </c>
      <c r="U270" cm="1">
        <f t="array" ref="U270">IFERROR(_xlfn.IFS(tblPedidos[[#This Row],[estado_operativo]]="ENTREGADO",tblPedidos[[#This Row],[ganancia_calc]],tblPedidos[[#This Row],[estado_operativo]]="DEVOLUCION",tblPedidos[[#This Row],[costo_devolucion_estimado]]),0)</f>
        <v>0</v>
      </c>
      <c r="V270">
        <v>0</v>
      </c>
      <c r="W270">
        <v>89900</v>
      </c>
      <c r="X270">
        <v>19245.5</v>
      </c>
      <c r="Y270">
        <v>50000</v>
      </c>
      <c r="Z270" s="11">
        <v>46043</v>
      </c>
      <c r="AA270">
        <v>1</v>
      </c>
      <c r="AB270" s="12">
        <v>0.50486111111111109</v>
      </c>
      <c r="AC270" t="s">
        <v>750</v>
      </c>
      <c r="AD270" t="s">
        <v>944</v>
      </c>
      <c r="AE270" t="s">
        <v>939</v>
      </c>
    </row>
    <row r="271" spans="1:31">
      <c r="A271" t="s">
        <v>1343</v>
      </c>
      <c r="C271">
        <v>827</v>
      </c>
      <c r="D271" t="s">
        <v>1639</v>
      </c>
      <c r="E271" s="11">
        <v>46040</v>
      </c>
      <c r="F271" t="s">
        <v>1640</v>
      </c>
      <c r="G271" t="s">
        <v>36</v>
      </c>
      <c r="J271" t="s">
        <v>720</v>
      </c>
      <c r="K271" t="s">
        <v>1641</v>
      </c>
      <c r="L271" t="s">
        <v>54</v>
      </c>
      <c r="M271" t="s">
        <v>373</v>
      </c>
      <c r="N271" t="s">
        <v>1642</v>
      </c>
      <c r="O271" t="s">
        <v>1643</v>
      </c>
      <c r="P271" s="46" t="str" cm="1">
        <f t="array" aca="1" ref="P271" ca="1">IFERROR(_xlfn.XLOOKUP(tblPedidos[[#This Row],[id_dropi]],tblNotas[[#This Row],[id__dropi]],tblNotas[[#This Row],[Notas Manuales]], “”, 0),"")</f>
        <v/>
      </c>
      <c r="R271" t="s">
        <v>1535</v>
      </c>
      <c r="S271">
        <v>19686.5</v>
      </c>
      <c r="T271">
        <v>-12170.800000000001</v>
      </c>
      <c r="U271" cm="1">
        <f t="array" ref="U271">IFERROR(_xlfn.IFS(tblPedidos[[#This Row],[estado_operativo]]="ENTREGADO",tblPedidos[[#This Row],[ganancia_calc]],tblPedidos[[#This Row],[estado_operativo]]="DEVOLUCION",tblPedidos[[#This Row],[costo_devolucion_estimado]]),0)</f>
        <v>19686.5</v>
      </c>
      <c r="V271">
        <v>19686.5</v>
      </c>
      <c r="W271">
        <v>59900</v>
      </c>
      <c r="X271">
        <v>15213.5</v>
      </c>
      <c r="Y271">
        <v>25000</v>
      </c>
      <c r="Z271" s="11">
        <v>46041</v>
      </c>
      <c r="AA271">
        <v>3</v>
      </c>
      <c r="AB271" s="12">
        <v>0.89583333333333337</v>
      </c>
      <c r="AC271" t="s">
        <v>399</v>
      </c>
      <c r="AD271" t="s">
        <v>720</v>
      </c>
      <c r="AE271" t="s">
        <v>720</v>
      </c>
    </row>
    <row r="272" spans="1:31">
      <c r="A272" t="s">
        <v>33</v>
      </c>
      <c r="C272">
        <v>834</v>
      </c>
      <c r="D272" t="s">
        <v>1644</v>
      </c>
      <c r="E272" s="11">
        <v>46040</v>
      </c>
      <c r="F272" t="s">
        <v>1645</v>
      </c>
      <c r="G272" t="s">
        <v>45</v>
      </c>
      <c r="J272" t="s">
        <v>720</v>
      </c>
      <c r="K272" t="s">
        <v>1646</v>
      </c>
      <c r="L272" t="s">
        <v>46</v>
      </c>
      <c r="M272" t="s">
        <v>263</v>
      </c>
      <c r="N272" t="s">
        <v>1647</v>
      </c>
      <c r="O272" t="s">
        <v>1648</v>
      </c>
      <c r="P272" s="46" t="str" cm="1">
        <f t="array" aca="1" ref="P272" ca="1">IFERROR(_xlfn.XLOOKUP(tblPedidos[[#This Row],[id_dropi]],tblNotas[[#This Row],[id__dropi]],tblNotas[[#This Row],[Notas Manuales]], “”, 0),"")</f>
        <v/>
      </c>
      <c r="R272" t="s">
        <v>1524</v>
      </c>
      <c r="S272">
        <v>20654.5</v>
      </c>
      <c r="T272">
        <v>-19245.5</v>
      </c>
      <c r="U272" cm="1">
        <f t="array" ref="U272">IFERROR(_xlfn.IFS(tblPedidos[[#This Row],[estado_operativo]]="ENTREGADO",tblPedidos[[#This Row],[ganancia_calc]],tblPedidos[[#This Row],[estado_operativo]]="DEVOLUCION",tblPedidos[[#This Row],[costo_devolucion_estimado]]),0)</f>
        <v>20654.5</v>
      </c>
      <c r="V272">
        <v>0</v>
      </c>
      <c r="W272">
        <v>89900</v>
      </c>
      <c r="X272">
        <v>19245.5</v>
      </c>
      <c r="Y272">
        <v>50000</v>
      </c>
      <c r="Z272" s="11">
        <v>46043</v>
      </c>
      <c r="AA272">
        <v>1</v>
      </c>
      <c r="AB272" s="12">
        <v>0.57638888888888884</v>
      </c>
      <c r="AC272" t="s">
        <v>716</v>
      </c>
      <c r="AD272" t="s">
        <v>720</v>
      </c>
      <c r="AE272" t="s">
        <v>720</v>
      </c>
    </row>
    <row r="273" spans="1:31">
      <c r="A273" t="s">
        <v>33</v>
      </c>
      <c r="C273">
        <v>841</v>
      </c>
      <c r="D273" t="s">
        <v>1649</v>
      </c>
      <c r="E273" s="11">
        <v>46040</v>
      </c>
      <c r="F273" t="s">
        <v>1650</v>
      </c>
      <c r="G273" t="s">
        <v>45</v>
      </c>
      <c r="J273" t="s">
        <v>386</v>
      </c>
      <c r="K273" t="s">
        <v>1651</v>
      </c>
      <c r="L273" t="s">
        <v>166</v>
      </c>
      <c r="M273" t="s">
        <v>1652</v>
      </c>
      <c r="N273" t="s">
        <v>1653</v>
      </c>
      <c r="O273" t="s">
        <v>1654</v>
      </c>
      <c r="P273" s="46" t="str" cm="1">
        <f t="array" aca="1" ref="P273" ca="1">IFERROR(_xlfn.XLOOKUP(tblPedidos[[#This Row],[id_dropi]],tblNotas[[#This Row],[id__dropi]],tblNotas[[#This Row],[Notas Manuales]], “”, 0),"")</f>
        <v/>
      </c>
      <c r="Q273" t="s">
        <v>50</v>
      </c>
      <c r="R273" t="s">
        <v>1524</v>
      </c>
      <c r="S273">
        <v>20654.5</v>
      </c>
      <c r="T273">
        <v>-19245.5</v>
      </c>
      <c r="U273" cm="1">
        <f t="array" ref="U273">IFERROR(_xlfn.IFS(tblPedidos[[#This Row],[estado_operativo]]="ENTREGADO",tblPedidos[[#This Row],[ganancia_calc]],tblPedidos[[#This Row],[estado_operativo]]="DEVOLUCION",tblPedidos[[#This Row],[costo_devolucion_estimado]]),0)</f>
        <v>0</v>
      </c>
      <c r="V273">
        <v>0</v>
      </c>
      <c r="W273">
        <v>89900</v>
      </c>
      <c r="X273">
        <v>19245.5</v>
      </c>
      <c r="Y273">
        <v>50000</v>
      </c>
      <c r="Z273" s="11">
        <v>46043</v>
      </c>
      <c r="AA273">
        <v>1</v>
      </c>
      <c r="AB273" s="12">
        <v>0.50694444444444442</v>
      </c>
      <c r="AC273" t="s">
        <v>1039</v>
      </c>
      <c r="AD273" t="s">
        <v>709</v>
      </c>
      <c r="AE273" t="s">
        <v>386</v>
      </c>
    </row>
    <row r="274" spans="1:31">
      <c r="A274" t="s">
        <v>1343</v>
      </c>
      <c r="C274">
        <v>840</v>
      </c>
      <c r="D274" t="s">
        <v>1655</v>
      </c>
      <c r="E274" s="11">
        <v>46040</v>
      </c>
      <c r="F274" t="s">
        <v>1656</v>
      </c>
      <c r="G274" t="s">
        <v>45</v>
      </c>
      <c r="J274" t="s">
        <v>1657</v>
      </c>
      <c r="K274" t="s">
        <v>1658</v>
      </c>
      <c r="L274" t="s">
        <v>81</v>
      </c>
      <c r="M274" t="s">
        <v>118</v>
      </c>
      <c r="N274" t="s">
        <v>1659</v>
      </c>
      <c r="O274" t="s">
        <v>1660</v>
      </c>
      <c r="P274" s="46" t="str" cm="1">
        <f t="array" aca="1" ref="P274" ca="1">IFERROR(_xlfn.XLOOKUP(tblPedidos[[#This Row],[id_dropi]],tblNotas[[#This Row],[id__dropi]],tblNotas[[#This Row],[Notas Manuales]], “”, 0),"")</f>
        <v/>
      </c>
      <c r="Q274" t="s">
        <v>50</v>
      </c>
      <c r="R274" t="s">
        <v>1524</v>
      </c>
      <c r="S274">
        <v>26604.5</v>
      </c>
      <c r="T274">
        <v>-13295.5</v>
      </c>
      <c r="U274" cm="1">
        <f t="array" ref="U274">IFERROR(_xlfn.IFS(tblPedidos[[#This Row],[estado_operativo]]="ENTREGADO",tblPedidos[[#This Row],[ganancia_calc]],tblPedidos[[#This Row],[estado_operativo]]="DEVOLUCION",tblPedidos[[#This Row],[costo_devolucion_estimado]]),0)</f>
        <v>-13295.5</v>
      </c>
      <c r="V274">
        <v>-26591</v>
      </c>
      <c r="W274">
        <v>89900</v>
      </c>
      <c r="X274">
        <v>13295.5</v>
      </c>
      <c r="Y274">
        <v>50000</v>
      </c>
      <c r="Z274" s="11">
        <v>46042</v>
      </c>
      <c r="AA274">
        <v>2</v>
      </c>
      <c r="AB274" s="12">
        <v>0.67361111111111116</v>
      </c>
      <c r="AC274" t="s">
        <v>1657</v>
      </c>
      <c r="AD274" t="s">
        <v>1657</v>
      </c>
      <c r="AE274" t="s">
        <v>1657</v>
      </c>
    </row>
    <row r="275" spans="1:31">
      <c r="A275" t="s">
        <v>33</v>
      </c>
      <c r="C275">
        <v>843</v>
      </c>
      <c r="D275" t="s">
        <v>1661</v>
      </c>
      <c r="E275" s="11">
        <v>46040</v>
      </c>
      <c r="F275" t="s">
        <v>1662</v>
      </c>
      <c r="G275" t="s">
        <v>45</v>
      </c>
      <c r="J275" t="s">
        <v>386</v>
      </c>
      <c r="K275" t="s">
        <v>1663</v>
      </c>
      <c r="L275" t="s">
        <v>87</v>
      </c>
      <c r="M275" t="s">
        <v>1664</v>
      </c>
      <c r="N275" t="s">
        <v>1665</v>
      </c>
      <c r="O275" t="s">
        <v>1666</v>
      </c>
      <c r="P275" s="46" t="str" cm="1">
        <f t="array" aca="1" ref="P275" ca="1">IFERROR(_xlfn.XLOOKUP(tblPedidos[[#This Row],[id_dropi]],tblNotas[[#This Row],[id__dropi]],tblNotas[[#This Row],[Notas Manuales]], “”, 0),"")</f>
        <v/>
      </c>
      <c r="Q275" t="s">
        <v>50</v>
      </c>
      <c r="R275" t="s">
        <v>1535</v>
      </c>
      <c r="S275">
        <v>17004.5</v>
      </c>
      <c r="T275">
        <v>-17895.5</v>
      </c>
      <c r="U275" cm="1">
        <f t="array" ref="U275">IFERROR(_xlfn.IFS(tblPedidos[[#This Row],[estado_operativo]]="ENTREGADO",tblPedidos[[#This Row],[ganancia_calc]],tblPedidos[[#This Row],[estado_operativo]]="DEVOLUCION",tblPedidos[[#This Row],[costo_devolucion_estimado]]),0)</f>
        <v>0</v>
      </c>
      <c r="V275">
        <v>0</v>
      </c>
      <c r="W275">
        <v>59900</v>
      </c>
      <c r="X275">
        <v>17895.5</v>
      </c>
      <c r="Y275">
        <v>25000</v>
      </c>
      <c r="Z275" s="11">
        <v>46043</v>
      </c>
      <c r="AA275">
        <v>1</v>
      </c>
      <c r="AB275" s="12">
        <v>0.50694444444444442</v>
      </c>
      <c r="AC275" t="s">
        <v>708</v>
      </c>
      <c r="AD275" t="s">
        <v>709</v>
      </c>
      <c r="AE275" t="s">
        <v>386</v>
      </c>
    </row>
    <row r="276" spans="1:31">
      <c r="A276" t="s">
        <v>33</v>
      </c>
      <c r="C276">
        <v>842</v>
      </c>
      <c r="D276" t="s">
        <v>1667</v>
      </c>
      <c r="E276" s="11">
        <v>46040</v>
      </c>
      <c r="F276" t="s">
        <v>1668</v>
      </c>
      <c r="G276" t="s">
        <v>45</v>
      </c>
      <c r="J276" t="s">
        <v>720</v>
      </c>
      <c r="K276" t="s">
        <v>1669</v>
      </c>
      <c r="L276" t="s">
        <v>46</v>
      </c>
      <c r="M276" t="s">
        <v>100</v>
      </c>
      <c r="N276" t="s">
        <v>1670</v>
      </c>
      <c r="O276" t="s">
        <v>1671</v>
      </c>
      <c r="P276" s="46" t="str" cm="1">
        <f t="array" aca="1" ref="P276" ca="1">IFERROR(_xlfn.XLOOKUP(tblPedidos[[#This Row],[id_dropi]],tblNotas[[#This Row],[id__dropi]],tblNotas[[#This Row],[Notas Manuales]], “”, 0),"")</f>
        <v/>
      </c>
      <c r="R276" t="s">
        <v>1524</v>
      </c>
      <c r="S276">
        <v>20654.5</v>
      </c>
      <c r="T276">
        <v>-19245.5</v>
      </c>
      <c r="U276" cm="1">
        <f t="array" ref="U276">IFERROR(_xlfn.IFS(tblPedidos[[#This Row],[estado_operativo]]="ENTREGADO",tblPedidos[[#This Row],[ganancia_calc]],tblPedidos[[#This Row],[estado_operativo]]="DEVOLUCION",tblPedidos[[#This Row],[costo_devolucion_estimado]]),0)</f>
        <v>20654.5</v>
      </c>
      <c r="V276">
        <v>0</v>
      </c>
      <c r="W276">
        <v>89900</v>
      </c>
      <c r="X276">
        <v>19245.5</v>
      </c>
      <c r="Y276">
        <v>50000</v>
      </c>
      <c r="Z276" s="11">
        <v>46043</v>
      </c>
      <c r="AA276">
        <v>1</v>
      </c>
      <c r="AB276" s="12">
        <v>0.4236111111111111</v>
      </c>
      <c r="AC276" t="s">
        <v>720</v>
      </c>
      <c r="AD276" t="s">
        <v>720</v>
      </c>
      <c r="AE276" t="s">
        <v>720</v>
      </c>
    </row>
    <row r="277" spans="1:31">
      <c r="A277" t="s">
        <v>33</v>
      </c>
      <c r="C277">
        <v>839</v>
      </c>
      <c r="D277" t="s">
        <v>1672</v>
      </c>
      <c r="E277" s="11">
        <v>46040</v>
      </c>
      <c r="F277" t="s">
        <v>1673</v>
      </c>
      <c r="G277" t="s">
        <v>45</v>
      </c>
      <c r="J277" t="s">
        <v>720</v>
      </c>
      <c r="K277" t="s">
        <v>1674</v>
      </c>
      <c r="L277" t="s">
        <v>212</v>
      </c>
      <c r="M277" t="s">
        <v>1561</v>
      </c>
      <c r="N277" t="s">
        <v>1675</v>
      </c>
      <c r="O277" t="s">
        <v>1676</v>
      </c>
      <c r="P277" s="46" t="str" cm="1">
        <f t="array" aca="1" ref="P277" ca="1">IFERROR(_xlfn.XLOOKUP(tblPedidos[[#This Row],[id_dropi]],tblNotas[[#This Row],[id__dropi]],tblNotas[[#This Row],[Notas Manuales]], “”, 0),"")</f>
        <v/>
      </c>
      <c r="R277" t="s">
        <v>1524</v>
      </c>
      <c r="S277">
        <v>20654.5</v>
      </c>
      <c r="T277">
        <v>-19245.5</v>
      </c>
      <c r="U277" cm="1">
        <f t="array" ref="U277">IFERROR(_xlfn.IFS(tblPedidos[[#This Row],[estado_operativo]]="ENTREGADO",tblPedidos[[#This Row],[ganancia_calc]],tblPedidos[[#This Row],[estado_operativo]]="DEVOLUCION",tblPedidos[[#This Row],[costo_devolucion_estimado]]),0)</f>
        <v>20654.5</v>
      </c>
      <c r="V277">
        <v>0</v>
      </c>
      <c r="W277">
        <v>89900</v>
      </c>
      <c r="X277">
        <v>19245.5</v>
      </c>
      <c r="Y277">
        <v>50000</v>
      </c>
      <c r="Z277" s="11">
        <v>46043</v>
      </c>
      <c r="AA277">
        <v>1</v>
      </c>
      <c r="AB277" s="12">
        <v>0.67222222222222228</v>
      </c>
      <c r="AC277" t="s">
        <v>725</v>
      </c>
      <c r="AD277" t="s">
        <v>720</v>
      </c>
      <c r="AE277" t="s">
        <v>720</v>
      </c>
    </row>
    <row r="278" spans="1:31">
      <c r="A278" t="s">
        <v>33</v>
      </c>
      <c r="C278">
        <v>836</v>
      </c>
      <c r="D278" t="s">
        <v>1677</v>
      </c>
      <c r="E278" s="11">
        <v>46040</v>
      </c>
      <c r="F278" t="s">
        <v>1678</v>
      </c>
      <c r="G278" t="s">
        <v>45</v>
      </c>
      <c r="J278" t="s">
        <v>522</v>
      </c>
      <c r="K278" t="s">
        <v>1679</v>
      </c>
      <c r="L278" t="s">
        <v>74</v>
      </c>
      <c r="M278" t="s">
        <v>1680</v>
      </c>
      <c r="N278" t="s">
        <v>1681</v>
      </c>
      <c r="O278" t="s">
        <v>1682</v>
      </c>
      <c r="P278" s="46" t="str" cm="1">
        <f t="array" aca="1" ref="P278" ca="1">IFERROR(_xlfn.XLOOKUP(tblPedidos[[#This Row],[id_dropi]],tblNotas[[#This Row],[id__dropi]],tblNotas[[#This Row],[Notas Manuales]], “”, 0),"")</f>
        <v/>
      </c>
      <c r="R278" t="s">
        <v>1524</v>
      </c>
      <c r="S278">
        <v>20654.5</v>
      </c>
      <c r="T278">
        <v>-19245.5</v>
      </c>
      <c r="U278" cm="1">
        <f t="array" ref="U278">IFERROR(_xlfn.IFS(tblPedidos[[#This Row],[estado_operativo]]="ENTREGADO",tblPedidos[[#This Row],[ganancia_calc]],tblPedidos[[#This Row],[estado_operativo]]="DEVOLUCION",tblPedidos[[#This Row],[costo_devolucion_estimado]]),0)</f>
        <v>0</v>
      </c>
      <c r="V278">
        <v>0</v>
      </c>
      <c r="W278">
        <v>89900</v>
      </c>
      <c r="X278">
        <v>19245.5</v>
      </c>
      <c r="Y278">
        <v>50000</v>
      </c>
      <c r="Z278" s="11">
        <v>46043</v>
      </c>
      <c r="AA278">
        <v>1</v>
      </c>
      <c r="AB278" s="12">
        <v>0.42986111111111114</v>
      </c>
      <c r="AC278" t="s">
        <v>708</v>
      </c>
      <c r="AD278" t="s">
        <v>717</v>
      </c>
      <c r="AE278" t="s">
        <v>522</v>
      </c>
    </row>
    <row r="279" spans="1:31">
      <c r="A279" t="s">
        <v>33</v>
      </c>
      <c r="C279">
        <v>835</v>
      </c>
      <c r="D279" t="s">
        <v>1683</v>
      </c>
      <c r="E279" s="11">
        <v>46040</v>
      </c>
      <c r="F279" t="s">
        <v>1684</v>
      </c>
      <c r="G279" t="s">
        <v>45</v>
      </c>
      <c r="J279" t="s">
        <v>522</v>
      </c>
      <c r="K279" t="s">
        <v>1685</v>
      </c>
      <c r="L279" t="s">
        <v>427</v>
      </c>
      <c r="M279" t="s">
        <v>1686</v>
      </c>
      <c r="N279" t="s">
        <v>1687</v>
      </c>
      <c r="O279" t="s">
        <v>1688</v>
      </c>
      <c r="P279" s="46" t="str" cm="1">
        <f t="array" aca="1" ref="P279" ca="1">IFERROR(_xlfn.XLOOKUP(tblPedidos[[#This Row],[id_dropi]],tblNotas[[#This Row],[id__dropi]],tblNotas[[#This Row],[Notas Manuales]], “”, 0),"")</f>
        <v/>
      </c>
      <c r="Q279" t="s">
        <v>50</v>
      </c>
      <c r="R279" t="s">
        <v>1535</v>
      </c>
      <c r="S279">
        <v>17004.5</v>
      </c>
      <c r="T279">
        <v>-17895.5</v>
      </c>
      <c r="U279" cm="1">
        <f t="array" ref="U279">IFERROR(_xlfn.IFS(tblPedidos[[#This Row],[estado_operativo]]="ENTREGADO",tblPedidos[[#This Row],[ganancia_calc]],tblPedidos[[#This Row],[estado_operativo]]="DEVOLUCION",tblPedidos[[#This Row],[costo_devolucion_estimado]]),0)</f>
        <v>0</v>
      </c>
      <c r="V279">
        <v>0</v>
      </c>
      <c r="W279">
        <v>59900</v>
      </c>
      <c r="X279">
        <v>17895.5</v>
      </c>
      <c r="Y279">
        <v>25000</v>
      </c>
      <c r="Z279" s="11">
        <v>46043</v>
      </c>
      <c r="AA279">
        <v>1</v>
      </c>
      <c r="AB279" s="12">
        <v>0.50763888888888886</v>
      </c>
      <c r="AC279" t="s">
        <v>982</v>
      </c>
      <c r="AD279" t="s">
        <v>717</v>
      </c>
      <c r="AE279" t="s">
        <v>522</v>
      </c>
    </row>
    <row r="280" spans="1:31">
      <c r="A280" t="s">
        <v>1343</v>
      </c>
      <c r="C280">
        <v>838</v>
      </c>
      <c r="D280" t="s">
        <v>1689</v>
      </c>
      <c r="E280" s="11">
        <v>46040</v>
      </c>
      <c r="F280" t="s">
        <v>1690</v>
      </c>
      <c r="G280" t="s">
        <v>36</v>
      </c>
      <c r="J280" t="s">
        <v>720</v>
      </c>
      <c r="K280" t="s">
        <v>1691</v>
      </c>
      <c r="L280" t="s">
        <v>81</v>
      </c>
      <c r="M280" t="s">
        <v>914</v>
      </c>
      <c r="N280" t="s">
        <v>1692</v>
      </c>
      <c r="O280" t="s">
        <v>1693</v>
      </c>
      <c r="P280" s="46" t="str" cm="1">
        <f t="array" aca="1" ref="P280" ca="1">IFERROR(_xlfn.XLOOKUP(tblPedidos[[#This Row],[id_dropi]],tblNotas[[#This Row],[id__dropi]],tblNotas[[#This Row],[Notas Manuales]], “”, 0),"")</f>
        <v/>
      </c>
      <c r="R280" t="s">
        <v>1524</v>
      </c>
      <c r="S280">
        <v>25496.5</v>
      </c>
      <c r="T280">
        <v>-11522.800000000001</v>
      </c>
      <c r="U280" cm="1">
        <f t="array" ref="U280">IFERROR(_xlfn.IFS(tblPedidos[[#This Row],[estado_operativo]]="ENTREGADO",tblPedidos[[#This Row],[ganancia_calc]],tblPedidos[[#This Row],[estado_operativo]]="DEVOLUCION",tblPedidos[[#This Row],[costo_devolucion_estimado]]),0)</f>
        <v>25496.5</v>
      </c>
      <c r="V280">
        <v>25496.5</v>
      </c>
      <c r="W280">
        <v>89900</v>
      </c>
      <c r="X280">
        <v>14403.5</v>
      </c>
      <c r="Y280">
        <v>50000</v>
      </c>
      <c r="Z280" s="11">
        <v>46041</v>
      </c>
      <c r="AA280">
        <v>3</v>
      </c>
      <c r="AB280" s="12">
        <v>0.89583333333333337</v>
      </c>
      <c r="AC280" t="s">
        <v>399</v>
      </c>
      <c r="AD280" t="s">
        <v>720</v>
      </c>
      <c r="AE280" t="s">
        <v>720</v>
      </c>
    </row>
    <row r="281" spans="1:31">
      <c r="A281" t="s">
        <v>33</v>
      </c>
      <c r="C281">
        <v>837</v>
      </c>
      <c r="D281" t="s">
        <v>1694</v>
      </c>
      <c r="E281" s="11">
        <v>46040</v>
      </c>
      <c r="F281" t="s">
        <v>1695</v>
      </c>
      <c r="G281" t="s">
        <v>45</v>
      </c>
      <c r="J281" t="s">
        <v>386</v>
      </c>
      <c r="K281" t="s">
        <v>1696</v>
      </c>
      <c r="L281" t="s">
        <v>590</v>
      </c>
      <c r="M281" t="s">
        <v>1697</v>
      </c>
      <c r="N281" t="s">
        <v>1698</v>
      </c>
      <c r="O281" t="s">
        <v>1699</v>
      </c>
      <c r="P281" s="46" t="str" cm="1">
        <f t="array" aca="1" ref="P281" ca="1">IFERROR(_xlfn.XLOOKUP(tblPedidos[[#This Row],[id_dropi]],tblNotas[[#This Row],[id__dropi]],tblNotas[[#This Row],[Notas Manuales]], “”, 0),"")</f>
        <v/>
      </c>
      <c r="Q281" t="s">
        <v>50</v>
      </c>
      <c r="R281" t="s">
        <v>1535</v>
      </c>
      <c r="S281">
        <v>17004.5</v>
      </c>
      <c r="T281">
        <v>-17895.5</v>
      </c>
      <c r="U281" cm="1">
        <f t="array" ref="U281">IFERROR(_xlfn.IFS(tblPedidos[[#This Row],[estado_operativo]]="ENTREGADO",tblPedidos[[#This Row],[ganancia_calc]],tblPedidos[[#This Row],[estado_operativo]]="DEVOLUCION",tblPedidos[[#This Row],[costo_devolucion_estimado]]),0)</f>
        <v>0</v>
      </c>
      <c r="V281">
        <v>0</v>
      </c>
      <c r="W281">
        <v>59900</v>
      </c>
      <c r="X281">
        <v>17895.5</v>
      </c>
      <c r="Y281">
        <v>25000</v>
      </c>
      <c r="Z281" s="11">
        <v>46043</v>
      </c>
      <c r="AA281">
        <v>1</v>
      </c>
      <c r="AB281" s="12">
        <v>0.44027777777777777</v>
      </c>
      <c r="AC281" t="s">
        <v>716</v>
      </c>
      <c r="AD281" t="s">
        <v>709</v>
      </c>
      <c r="AE281" t="s">
        <v>386</v>
      </c>
    </row>
    <row r="282" spans="1:31">
      <c r="A282" t="s">
        <v>33</v>
      </c>
      <c r="C282">
        <v>731</v>
      </c>
      <c r="D282" t="s">
        <v>1700</v>
      </c>
      <c r="E282" s="11">
        <v>46039</v>
      </c>
      <c r="F282" t="s">
        <v>1701</v>
      </c>
      <c r="G282" t="s">
        <v>45</v>
      </c>
      <c r="J282" t="s">
        <v>720</v>
      </c>
      <c r="K282" t="s">
        <v>1702</v>
      </c>
      <c r="L282" t="s">
        <v>111</v>
      </c>
      <c r="M282" t="s">
        <v>695</v>
      </c>
      <c r="N282" t="s">
        <v>1703</v>
      </c>
      <c r="O282" t="s">
        <v>1704</v>
      </c>
      <c r="P282" s="46" t="str" cm="1">
        <f t="array" aca="1" ref="P282" ca="1">IFERROR(_xlfn.XLOOKUP(tblPedidos[[#This Row],[id_dropi]],tblNotas[[#This Row],[id__dropi]],tblNotas[[#This Row],[Notas Manuales]], “”, 0),"")</f>
        <v/>
      </c>
      <c r="R282" t="s">
        <v>1705</v>
      </c>
      <c r="S282">
        <v>12229.5</v>
      </c>
      <c r="T282">
        <v>-17670.5</v>
      </c>
      <c r="U282" cm="1">
        <f t="array" ref="U282">IFERROR(_xlfn.IFS(tblPedidos[[#This Row],[estado_operativo]]="ENTREGADO",tblPedidos[[#This Row],[ganancia_calc]],tblPedidos[[#This Row],[estado_operativo]]="DEVOLUCION",tblPedidos[[#This Row],[costo_devolucion_estimado]]),0)</f>
        <v>12229.5</v>
      </c>
      <c r="V282">
        <v>0</v>
      </c>
      <c r="W282">
        <v>54900</v>
      </c>
      <c r="X282">
        <v>17670.5</v>
      </c>
      <c r="Y282">
        <v>25000</v>
      </c>
      <c r="Z282" s="11">
        <v>46043</v>
      </c>
      <c r="AA282">
        <v>1</v>
      </c>
      <c r="AB282" s="12">
        <v>0.42638888888888887</v>
      </c>
      <c r="AC282" t="s">
        <v>708</v>
      </c>
      <c r="AD282" t="s">
        <v>720</v>
      </c>
      <c r="AE282" t="s">
        <v>720</v>
      </c>
    </row>
    <row r="283" spans="1:31">
      <c r="A283" t="s">
        <v>33</v>
      </c>
      <c r="C283">
        <v>730</v>
      </c>
      <c r="D283" t="s">
        <v>1706</v>
      </c>
      <c r="E283" s="11">
        <v>46039</v>
      </c>
      <c r="F283" t="s">
        <v>1707</v>
      </c>
      <c r="G283" t="s">
        <v>36</v>
      </c>
      <c r="J283" t="s">
        <v>522</v>
      </c>
      <c r="K283" t="s">
        <v>1708</v>
      </c>
      <c r="L283" t="s">
        <v>38</v>
      </c>
      <c r="M283" t="s">
        <v>39</v>
      </c>
      <c r="N283" t="s">
        <v>1709</v>
      </c>
      <c r="O283" t="s">
        <v>1710</v>
      </c>
      <c r="P283" s="46" t="str" cm="1">
        <f t="array" aca="1" ref="P283" ca="1">IFERROR(_xlfn.XLOOKUP(tblPedidos[[#This Row],[id_dropi]],tblNotas[[#This Row],[id__dropi]],tblNotas[[#This Row],[Notas Manuales]], “”, 0),"")</f>
        <v/>
      </c>
      <c r="R283" t="s">
        <v>1711</v>
      </c>
      <c r="S283">
        <v>19136.5</v>
      </c>
      <c r="T283">
        <v>-11810.800000000001</v>
      </c>
      <c r="U283" cm="1">
        <f t="array" ref="U283">IFERROR(_xlfn.IFS(tblPedidos[[#This Row],[estado_operativo]]="ENTREGADO",tblPedidos[[#This Row],[ganancia_calc]],tblPedidos[[#This Row],[estado_operativo]]="DEVOLUCION",tblPedidos[[#This Row],[costo_devolucion_estimado]]),0)</f>
        <v>0</v>
      </c>
      <c r="V283">
        <v>0</v>
      </c>
      <c r="W283">
        <v>49900</v>
      </c>
      <c r="X283">
        <v>14763.5</v>
      </c>
      <c r="Y283">
        <v>16000</v>
      </c>
      <c r="Z283" s="11">
        <v>46041</v>
      </c>
      <c r="AA283">
        <v>3</v>
      </c>
      <c r="AB283" s="12">
        <v>0.69444444444444442</v>
      </c>
      <c r="AC283" t="s">
        <v>788</v>
      </c>
      <c r="AD283" t="s">
        <v>527</v>
      </c>
      <c r="AE283" t="s">
        <v>522</v>
      </c>
    </row>
    <row r="284" spans="1:31">
      <c r="A284" t="s">
        <v>33</v>
      </c>
      <c r="C284">
        <v>732</v>
      </c>
      <c r="D284" t="s">
        <v>1712</v>
      </c>
      <c r="E284" s="11">
        <v>46039</v>
      </c>
      <c r="F284" t="s">
        <v>1707</v>
      </c>
      <c r="G284" t="s">
        <v>36</v>
      </c>
      <c r="J284" t="s">
        <v>1090</v>
      </c>
      <c r="L284" t="s">
        <v>38</v>
      </c>
      <c r="M284" t="s">
        <v>39</v>
      </c>
      <c r="N284" t="s">
        <v>1713</v>
      </c>
      <c r="O284" t="s">
        <v>1710</v>
      </c>
      <c r="P284" s="46" t="str" cm="1">
        <f t="array" aca="1" ref="P284" ca="1">IFERROR(_xlfn.XLOOKUP(tblPedidos[[#This Row],[id_dropi]],tblNotas[[#This Row],[id__dropi]],tblNotas[[#This Row],[Notas Manuales]], “”, 0),"")</f>
        <v/>
      </c>
      <c r="R284" t="s">
        <v>1711</v>
      </c>
      <c r="S284">
        <v>28686.5</v>
      </c>
      <c r="T284">
        <v>-12170.800000000001</v>
      </c>
      <c r="U284" cm="1">
        <f t="array" ref="U284">IFERROR(_xlfn.IFS(tblPedidos[[#This Row],[estado_operativo]]="ENTREGADO",tblPedidos[[#This Row],[ganancia_calc]],tblPedidos[[#This Row],[estado_operativo]]="DEVOLUCION",tblPedidos[[#This Row],[costo_devolucion_estimado]]),0)</f>
        <v>0</v>
      </c>
      <c r="V284">
        <v>0</v>
      </c>
      <c r="W284">
        <v>59900</v>
      </c>
      <c r="X284">
        <v>15213.5</v>
      </c>
      <c r="Y284">
        <v>16000</v>
      </c>
      <c r="Z284" s="11">
        <v>46039</v>
      </c>
      <c r="AA284">
        <v>5</v>
      </c>
      <c r="AB284" s="12">
        <v>0.95694444444444449</v>
      </c>
      <c r="AC284" t="s">
        <v>1090</v>
      </c>
      <c r="AD284" t="s">
        <v>1090</v>
      </c>
      <c r="AE284" t="s">
        <v>1090</v>
      </c>
    </row>
    <row r="285" spans="1:31">
      <c r="A285" t="s">
        <v>33</v>
      </c>
      <c r="C285">
        <v>734</v>
      </c>
      <c r="D285" t="s">
        <v>1714</v>
      </c>
      <c r="E285" s="11">
        <v>46039</v>
      </c>
      <c r="F285" t="s">
        <v>1715</v>
      </c>
      <c r="G285" t="s">
        <v>36</v>
      </c>
      <c r="J285" t="s">
        <v>522</v>
      </c>
      <c r="K285" t="s">
        <v>1716</v>
      </c>
      <c r="L285" t="s">
        <v>590</v>
      </c>
      <c r="M285" t="s">
        <v>783</v>
      </c>
      <c r="N285" t="s">
        <v>1717</v>
      </c>
      <c r="O285" t="s">
        <v>1718</v>
      </c>
      <c r="P285" s="46" t="str" cm="1">
        <f t="array" aca="1" ref="P285" ca="1">IFERROR(_xlfn.XLOOKUP(tblPedidos[[#This Row],[id_dropi]],tblNotas[[#This Row],[id__dropi]],tblNotas[[#This Row],[Notas Manuales]], “”, 0),"")</f>
        <v/>
      </c>
      <c r="R285" t="s">
        <v>1719</v>
      </c>
      <c r="S285">
        <v>30786.5</v>
      </c>
      <c r="T285">
        <v>-12530.800000000001</v>
      </c>
      <c r="U285" cm="1">
        <f t="array" ref="U285">IFERROR(_xlfn.IFS(tblPedidos[[#This Row],[estado_operativo]]="ENTREGADO",tblPedidos[[#This Row],[ganancia_calc]],tblPedidos[[#This Row],[estado_operativo]]="DEVOLUCION",tblPedidos[[#This Row],[costo_devolucion_estimado]]),0)</f>
        <v>0</v>
      </c>
      <c r="V285">
        <v>0</v>
      </c>
      <c r="W285">
        <v>69900</v>
      </c>
      <c r="X285">
        <v>15663.5</v>
      </c>
      <c r="Y285">
        <v>23450</v>
      </c>
      <c r="Z285" s="11">
        <v>46041</v>
      </c>
      <c r="AA285">
        <v>3</v>
      </c>
      <c r="AB285" s="12">
        <v>0.84791666666666665</v>
      </c>
      <c r="AC285" t="s">
        <v>399</v>
      </c>
      <c r="AD285" t="s">
        <v>527</v>
      </c>
      <c r="AE285" t="s">
        <v>522</v>
      </c>
    </row>
    <row r="286" spans="1:31">
      <c r="A286" t="s">
        <v>33</v>
      </c>
      <c r="C286">
        <v>733</v>
      </c>
      <c r="D286" t="s">
        <v>1720</v>
      </c>
      <c r="E286" s="11">
        <v>46039</v>
      </c>
      <c r="F286" t="s">
        <v>1721</v>
      </c>
      <c r="G286" t="s">
        <v>45</v>
      </c>
      <c r="J286" t="s">
        <v>720</v>
      </c>
      <c r="K286" t="s">
        <v>1722</v>
      </c>
      <c r="L286" t="s">
        <v>74</v>
      </c>
      <c r="M286" t="s">
        <v>1723</v>
      </c>
      <c r="N286" t="s">
        <v>1724</v>
      </c>
      <c r="O286" t="s">
        <v>1725</v>
      </c>
      <c r="P286" s="46" t="str" cm="1">
        <f t="array" aca="1" ref="P286" ca="1">IFERROR(_xlfn.XLOOKUP(tblPedidos[[#This Row],[id_dropi]],tblNotas[[#This Row],[id__dropi]],tblNotas[[#This Row],[Notas Manuales]], “”, 0),"")</f>
        <v/>
      </c>
      <c r="R286" t="s">
        <v>1726</v>
      </c>
      <c r="S286">
        <v>17004.5</v>
      </c>
      <c r="T286">
        <v>-17895.5</v>
      </c>
      <c r="U286" cm="1">
        <f t="array" ref="U286">IFERROR(_xlfn.IFS(tblPedidos[[#This Row],[estado_operativo]]="ENTREGADO",tblPedidos[[#This Row],[ganancia_calc]],tblPedidos[[#This Row],[estado_operativo]]="DEVOLUCION",tblPedidos[[#This Row],[costo_devolucion_estimado]]),0)</f>
        <v>17004.5</v>
      </c>
      <c r="V286">
        <v>0</v>
      </c>
      <c r="W286">
        <v>59900</v>
      </c>
      <c r="X286">
        <v>17895.5</v>
      </c>
      <c r="Y286">
        <v>25000</v>
      </c>
      <c r="Z286" s="11">
        <v>46043</v>
      </c>
      <c r="AA286">
        <v>1</v>
      </c>
      <c r="AB286" s="12">
        <v>0.67222222222222228</v>
      </c>
      <c r="AC286" t="s">
        <v>725</v>
      </c>
      <c r="AD286" t="s">
        <v>720</v>
      </c>
      <c r="AE286" t="s">
        <v>720</v>
      </c>
    </row>
    <row r="287" spans="1:31">
      <c r="A287" t="s">
        <v>33</v>
      </c>
      <c r="C287">
        <v>726</v>
      </c>
      <c r="D287" t="s">
        <v>1727</v>
      </c>
      <c r="E287" s="11">
        <v>46039</v>
      </c>
      <c r="F287" t="s">
        <v>1728</v>
      </c>
      <c r="G287" t="s">
        <v>45</v>
      </c>
      <c r="J287" t="s">
        <v>750</v>
      </c>
      <c r="K287" t="s">
        <v>1729</v>
      </c>
      <c r="L287" t="s">
        <v>46</v>
      </c>
      <c r="M287" t="s">
        <v>100</v>
      </c>
      <c r="N287" t="s">
        <v>1730</v>
      </c>
      <c r="O287" t="s">
        <v>1731</v>
      </c>
      <c r="P287" s="46" t="str" cm="1">
        <f t="array" aca="1" ref="P287" ca="1">IFERROR(_xlfn.XLOOKUP(tblPedidos[[#This Row],[id_dropi]],tblNotas[[#This Row],[id__dropi]],tblNotas[[#This Row],[Notas Manuales]], “”, 0),"")</f>
        <v/>
      </c>
      <c r="R287" t="s">
        <v>1732</v>
      </c>
      <c r="S287">
        <v>24004.5</v>
      </c>
      <c r="T287">
        <v>-17895.5</v>
      </c>
      <c r="U287" cm="1">
        <f t="array" ref="U287">IFERROR(_xlfn.IFS(tblPedidos[[#This Row],[estado_operativo]]="ENTREGADO",tblPedidos[[#This Row],[ganancia_calc]],tblPedidos[[#This Row],[estado_operativo]]="DEVOLUCION",tblPedidos[[#This Row],[costo_devolucion_estimado]]),0)</f>
        <v>0</v>
      </c>
      <c r="V287">
        <v>0</v>
      </c>
      <c r="W287">
        <v>59900</v>
      </c>
      <c r="X287">
        <v>17895.5</v>
      </c>
      <c r="Y287">
        <v>18000</v>
      </c>
      <c r="Z287" s="11">
        <v>46043</v>
      </c>
      <c r="AA287">
        <v>1</v>
      </c>
      <c r="AB287" s="12">
        <v>0.75624999999999998</v>
      </c>
      <c r="AC287" t="s">
        <v>756</v>
      </c>
      <c r="AD287" t="s">
        <v>757</v>
      </c>
      <c r="AE287" t="s">
        <v>750</v>
      </c>
    </row>
    <row r="288" spans="1:31">
      <c r="A288" t="s">
        <v>33</v>
      </c>
      <c r="C288">
        <v>725</v>
      </c>
      <c r="D288" t="s">
        <v>1733</v>
      </c>
      <c r="E288" s="11">
        <v>46039</v>
      </c>
      <c r="F288" t="s">
        <v>1734</v>
      </c>
      <c r="G288" t="s">
        <v>36</v>
      </c>
      <c r="J288" t="s">
        <v>522</v>
      </c>
      <c r="K288" t="s">
        <v>1735</v>
      </c>
      <c r="L288" t="s">
        <v>81</v>
      </c>
      <c r="M288" t="s">
        <v>118</v>
      </c>
      <c r="N288" t="s">
        <v>1736</v>
      </c>
      <c r="O288" t="s">
        <v>1737</v>
      </c>
      <c r="P288" s="46" t="str" cm="1">
        <f t="array" aca="1" ref="P288" ca="1">IFERROR(_xlfn.XLOOKUP(tblPedidos[[#This Row],[id_dropi]],tblNotas[[#This Row],[id__dropi]],tblNotas[[#This Row],[Notas Manuales]], “”, 0),"")</f>
        <v/>
      </c>
      <c r="R288" t="s">
        <v>1738</v>
      </c>
      <c r="S288">
        <v>25511.5</v>
      </c>
      <c r="T288">
        <v>-11990.800000000001</v>
      </c>
      <c r="U288" cm="1">
        <f t="array" ref="U288">IFERROR(_xlfn.IFS(tblPedidos[[#This Row],[estado_operativo]]="ENTREGADO",tblPedidos[[#This Row],[ganancia_calc]],tblPedidos[[#This Row],[estado_operativo]]="DEVOLUCION",tblPedidos[[#This Row],[costo_devolucion_estimado]]),0)</f>
        <v>0</v>
      </c>
      <c r="V288">
        <v>0</v>
      </c>
      <c r="W288">
        <v>54900</v>
      </c>
      <c r="X288">
        <v>14988.5</v>
      </c>
      <c r="Y288">
        <v>14400</v>
      </c>
      <c r="Z288" s="11">
        <v>46041</v>
      </c>
      <c r="AA288">
        <v>3</v>
      </c>
      <c r="AB288" s="12">
        <v>0.7631944444444444</v>
      </c>
      <c r="AC288" t="s">
        <v>399</v>
      </c>
      <c r="AD288" t="s">
        <v>527</v>
      </c>
      <c r="AE288" t="s">
        <v>522</v>
      </c>
    </row>
    <row r="289" spans="1:31">
      <c r="A289" t="s">
        <v>33</v>
      </c>
      <c r="C289">
        <v>727</v>
      </c>
      <c r="D289" t="s">
        <v>1739</v>
      </c>
      <c r="E289" s="11">
        <v>46039</v>
      </c>
      <c r="F289" t="s">
        <v>1740</v>
      </c>
      <c r="G289" t="s">
        <v>45</v>
      </c>
      <c r="J289" t="s">
        <v>522</v>
      </c>
      <c r="K289" t="s">
        <v>1741</v>
      </c>
      <c r="L289" t="s">
        <v>54</v>
      </c>
      <c r="M289" t="s">
        <v>844</v>
      </c>
      <c r="N289" t="s">
        <v>1742</v>
      </c>
      <c r="O289" t="s">
        <v>1743</v>
      </c>
      <c r="P289" s="46" t="str" cm="1">
        <f t="array" aca="1" ref="P289" ca="1">IFERROR(_xlfn.XLOOKUP(tblPedidos[[#This Row],[id_dropi]],tblNotas[[#This Row],[id__dropi]],tblNotas[[#This Row],[Notas Manuales]], “”, 0),"")</f>
        <v/>
      </c>
      <c r="Q289" t="s">
        <v>1744</v>
      </c>
      <c r="R289" t="s">
        <v>1726</v>
      </c>
      <c r="S289">
        <v>21554.5</v>
      </c>
      <c r="T289">
        <v>-13345.5</v>
      </c>
      <c r="U289" cm="1">
        <f t="array" ref="U289">IFERROR(_xlfn.IFS(tblPedidos[[#This Row],[estado_operativo]]="ENTREGADO",tblPedidos[[#This Row],[ganancia_calc]],tblPedidos[[#This Row],[estado_operativo]]="DEVOLUCION",tblPedidos[[#This Row],[costo_devolucion_estimado]]),0)</f>
        <v>0</v>
      </c>
      <c r="V289">
        <v>0</v>
      </c>
      <c r="W289">
        <v>59900</v>
      </c>
      <c r="X289">
        <v>13345.5</v>
      </c>
      <c r="Y289">
        <v>25000</v>
      </c>
      <c r="Z289" s="11">
        <v>46043</v>
      </c>
      <c r="AA289">
        <v>1</v>
      </c>
      <c r="AB289" s="12">
        <v>0.49930555555555556</v>
      </c>
      <c r="AC289" t="s">
        <v>716</v>
      </c>
      <c r="AD289" t="s">
        <v>717</v>
      </c>
      <c r="AE289" t="s">
        <v>522</v>
      </c>
    </row>
    <row r="290" spans="1:31">
      <c r="A290" t="s">
        <v>33</v>
      </c>
      <c r="C290">
        <v>729</v>
      </c>
      <c r="D290" t="s">
        <v>1745</v>
      </c>
      <c r="E290" s="11">
        <v>46039</v>
      </c>
      <c r="F290" t="s">
        <v>1746</v>
      </c>
      <c r="G290" t="s">
        <v>45</v>
      </c>
      <c r="J290" t="s">
        <v>522</v>
      </c>
      <c r="K290" t="s">
        <v>1747</v>
      </c>
      <c r="L290" t="s">
        <v>166</v>
      </c>
      <c r="M290" t="s">
        <v>1748</v>
      </c>
      <c r="N290" t="s">
        <v>1749</v>
      </c>
      <c r="O290" t="s">
        <v>1750</v>
      </c>
      <c r="P290" s="46" t="str" cm="1">
        <f t="array" aca="1" ref="P290" ca="1">IFERROR(_xlfn.XLOOKUP(tblPedidos[[#This Row],[id_dropi]],tblNotas[[#This Row],[id__dropi]],tblNotas[[#This Row],[Notas Manuales]], “”, 0),"")</f>
        <v/>
      </c>
      <c r="R290" t="s">
        <v>1751</v>
      </c>
      <c r="S290">
        <v>27529.5</v>
      </c>
      <c r="T290">
        <v>-18570.5</v>
      </c>
      <c r="U290" cm="1">
        <f t="array" ref="U290">IFERROR(_xlfn.IFS(tblPedidos[[#This Row],[estado_operativo]]="ENTREGADO",tblPedidos[[#This Row],[ganancia_calc]],tblPedidos[[#This Row],[estado_operativo]]="DEVOLUCION",tblPedidos[[#This Row],[costo_devolucion_estimado]]),0)</f>
        <v>0</v>
      </c>
      <c r="V290">
        <v>0</v>
      </c>
      <c r="W290">
        <v>74900</v>
      </c>
      <c r="X290">
        <v>18570.5</v>
      </c>
      <c r="Y290">
        <v>28800</v>
      </c>
      <c r="Z290" s="11">
        <v>46043</v>
      </c>
      <c r="AA290">
        <v>1</v>
      </c>
      <c r="AB290" s="12">
        <v>0.4284722222222222</v>
      </c>
      <c r="AC290" t="s">
        <v>716</v>
      </c>
      <c r="AD290" t="s">
        <v>717</v>
      </c>
      <c r="AE290" t="s">
        <v>522</v>
      </c>
    </row>
    <row r="291" spans="1:31">
      <c r="A291" t="s">
        <v>33</v>
      </c>
      <c r="C291">
        <v>728</v>
      </c>
      <c r="D291" t="s">
        <v>1752</v>
      </c>
      <c r="E291" s="11">
        <v>46039</v>
      </c>
      <c r="F291" t="s">
        <v>1753</v>
      </c>
      <c r="G291" t="s">
        <v>45</v>
      </c>
      <c r="J291" t="s">
        <v>720</v>
      </c>
      <c r="K291" t="s">
        <v>1754</v>
      </c>
      <c r="L291" t="s">
        <v>159</v>
      </c>
      <c r="M291" t="s">
        <v>907</v>
      </c>
      <c r="N291" t="s">
        <v>1755</v>
      </c>
      <c r="O291" t="s">
        <v>1756</v>
      </c>
      <c r="P291" s="46" t="str" cm="1">
        <f t="array" aca="1" ref="P291" ca="1">IFERROR(_xlfn.XLOOKUP(tblPedidos[[#This Row],[id_dropi]],tblNotas[[#This Row],[id__dropi]],tblNotas[[#This Row],[Notas Manuales]], “”, 0),"")</f>
        <v/>
      </c>
      <c r="Q291" t="s">
        <v>1757</v>
      </c>
      <c r="R291" t="s">
        <v>1738</v>
      </c>
      <c r="S291">
        <v>22829.5</v>
      </c>
      <c r="T291">
        <v>-17670.5</v>
      </c>
      <c r="U291" cm="1">
        <f t="array" ref="U291">IFERROR(_xlfn.IFS(tblPedidos[[#This Row],[estado_operativo]]="ENTREGADO",tblPedidos[[#This Row],[ganancia_calc]],tblPedidos[[#This Row],[estado_operativo]]="DEVOLUCION",tblPedidos[[#This Row],[costo_devolucion_estimado]]),0)</f>
        <v>22829.5</v>
      </c>
      <c r="V291">
        <v>0</v>
      </c>
      <c r="W291">
        <v>54900</v>
      </c>
      <c r="X291">
        <v>17670.5</v>
      </c>
      <c r="Y291">
        <v>14400</v>
      </c>
      <c r="Z291" s="11">
        <v>46043</v>
      </c>
      <c r="AA291">
        <v>1</v>
      </c>
      <c r="AB291" s="12">
        <v>0.82430555555555551</v>
      </c>
      <c r="AC291" t="s">
        <v>716</v>
      </c>
      <c r="AD291" t="s">
        <v>720</v>
      </c>
      <c r="AE291" t="s">
        <v>720</v>
      </c>
    </row>
    <row r="292" spans="1:31">
      <c r="A292" t="s">
        <v>33</v>
      </c>
      <c r="C292">
        <v>741</v>
      </c>
      <c r="D292" t="s">
        <v>1758</v>
      </c>
      <c r="E292" s="11">
        <v>46039</v>
      </c>
      <c r="F292" t="s">
        <v>1759</v>
      </c>
      <c r="G292" t="s">
        <v>45</v>
      </c>
      <c r="J292" t="s">
        <v>720</v>
      </c>
      <c r="K292" t="s">
        <v>1760</v>
      </c>
      <c r="L292" t="s">
        <v>427</v>
      </c>
      <c r="M292" t="s">
        <v>634</v>
      </c>
      <c r="N292" t="s">
        <v>1761</v>
      </c>
      <c r="O292" t="s">
        <v>1762</v>
      </c>
      <c r="P292" s="46" t="str" cm="1">
        <f t="array" aca="1" ref="P292" ca="1">IFERROR(_xlfn.XLOOKUP(tblPedidos[[#This Row],[id_dropi]],tblNotas[[#This Row],[id__dropi]],tblNotas[[#This Row],[Notas Manuales]], “”, 0),"")</f>
        <v/>
      </c>
      <c r="R292" t="s">
        <v>1763</v>
      </c>
      <c r="S292">
        <v>20654.5</v>
      </c>
      <c r="T292">
        <v>-19245.5</v>
      </c>
      <c r="U292" cm="1">
        <f t="array" ref="U292">IFERROR(_xlfn.IFS(tblPedidos[[#This Row],[estado_operativo]]="ENTREGADO",tblPedidos[[#This Row],[ganancia_calc]],tblPedidos[[#This Row],[estado_operativo]]="DEVOLUCION",tblPedidos[[#This Row],[costo_devolucion_estimado]]),0)</f>
        <v>20654.5</v>
      </c>
      <c r="V292">
        <v>0</v>
      </c>
      <c r="W292">
        <v>89900</v>
      </c>
      <c r="X292">
        <v>19245.5</v>
      </c>
      <c r="Y292">
        <v>50000</v>
      </c>
      <c r="Z292" s="11">
        <v>46043</v>
      </c>
      <c r="AA292">
        <v>1</v>
      </c>
      <c r="AB292" s="12">
        <v>0.75624999999999998</v>
      </c>
      <c r="AC292" t="s">
        <v>725</v>
      </c>
      <c r="AD292" t="s">
        <v>720</v>
      </c>
      <c r="AE292" t="s">
        <v>720</v>
      </c>
    </row>
    <row r="293" spans="1:31">
      <c r="A293" t="s">
        <v>33</v>
      </c>
      <c r="C293">
        <v>740</v>
      </c>
      <c r="D293" t="s">
        <v>1764</v>
      </c>
      <c r="E293" s="11">
        <v>46039</v>
      </c>
      <c r="F293" t="s">
        <v>1765</v>
      </c>
      <c r="G293" t="s">
        <v>36</v>
      </c>
      <c r="J293" t="s">
        <v>522</v>
      </c>
      <c r="K293" t="s">
        <v>1766</v>
      </c>
      <c r="L293" t="s">
        <v>38</v>
      </c>
      <c r="M293" t="s">
        <v>39</v>
      </c>
      <c r="N293" t="s">
        <v>1767</v>
      </c>
      <c r="O293" t="s">
        <v>1768</v>
      </c>
      <c r="P293" s="46" t="str" cm="1">
        <f t="array" aca="1" ref="P293" ca="1">IFERROR(_xlfn.XLOOKUP(tblPedidos[[#This Row],[id_dropi]],tblNotas[[#This Row],[id__dropi]],tblNotas[[#This Row],[Notas Manuales]], “”, 0),"")</f>
        <v/>
      </c>
      <c r="Q293" t="s">
        <v>1769</v>
      </c>
      <c r="R293" t="s">
        <v>1751</v>
      </c>
      <c r="S293">
        <v>25436.5</v>
      </c>
      <c r="T293">
        <v>-12530.800000000001</v>
      </c>
      <c r="U293" cm="1">
        <f t="array" ref="U293">IFERROR(_xlfn.IFS(tblPedidos[[#This Row],[estado_operativo]]="ENTREGADO",tblPedidos[[#This Row],[ganancia_calc]],tblPedidos[[#This Row],[estado_operativo]]="DEVOLUCION",tblPedidos[[#This Row],[costo_devolucion_estimado]]),0)</f>
        <v>0</v>
      </c>
      <c r="V293">
        <v>0</v>
      </c>
      <c r="W293">
        <v>69900</v>
      </c>
      <c r="X293">
        <v>15663.5</v>
      </c>
      <c r="Y293">
        <v>28800</v>
      </c>
      <c r="Z293" s="11">
        <v>46042</v>
      </c>
      <c r="AA293">
        <v>2</v>
      </c>
      <c r="AB293" s="12">
        <v>0.53749999999999998</v>
      </c>
      <c r="AC293" t="s">
        <v>399</v>
      </c>
      <c r="AD293" t="s">
        <v>527</v>
      </c>
      <c r="AE293" t="s">
        <v>522</v>
      </c>
    </row>
    <row r="294" spans="1:31" s="44" customFormat="1">
      <c r="A294" t="s">
        <v>1343</v>
      </c>
      <c r="B294"/>
      <c r="C294">
        <v>742</v>
      </c>
      <c r="D294" t="s">
        <v>1770</v>
      </c>
      <c r="E294" s="11">
        <v>46039</v>
      </c>
      <c r="F294" t="s">
        <v>1771</v>
      </c>
      <c r="G294" t="s">
        <v>45</v>
      </c>
      <c r="H294"/>
      <c r="I294"/>
      <c r="J294" t="s">
        <v>720</v>
      </c>
      <c r="K294" t="s">
        <v>1772</v>
      </c>
      <c r="L294" t="s">
        <v>46</v>
      </c>
      <c r="M294" t="s">
        <v>263</v>
      </c>
      <c r="N294" t="s">
        <v>1773</v>
      </c>
      <c r="O294" t="s">
        <v>1774</v>
      </c>
      <c r="P294" s="46" t="str" cm="1">
        <f t="array" aca="1" ref="P294" ca="1">IFERROR(_xlfn.XLOOKUP(tblPedidos[[#This Row],[id_dropi]],tblNotas[[#This Row],[id__dropi]],tblNotas[[#This Row],[Notas Manuales]], “”, 0),"")</f>
        <v/>
      </c>
      <c r="Q294"/>
      <c r="R294" t="s">
        <v>1763</v>
      </c>
      <c r="S294">
        <v>20654.5</v>
      </c>
      <c r="T294">
        <v>-19245.5</v>
      </c>
      <c r="U294" cm="1">
        <f t="array" ref="U294">IFERROR(_xlfn.IFS(tblPedidos[[#This Row],[estado_operativo]]="ENTREGADO",tblPedidos[[#This Row],[ganancia_calc]],tblPedidos[[#This Row],[estado_operativo]]="DEVOLUCION",tblPedidos[[#This Row],[costo_devolucion_estimado]]),0)</f>
        <v>20654.5</v>
      </c>
      <c r="V294">
        <v>20654.5</v>
      </c>
      <c r="W294">
        <v>89900</v>
      </c>
      <c r="X294">
        <v>19245.5</v>
      </c>
      <c r="Y294">
        <v>50000</v>
      </c>
      <c r="Z294" s="11">
        <v>46043</v>
      </c>
      <c r="AA294">
        <v>1</v>
      </c>
      <c r="AB294" s="12">
        <v>0.49305555555555558</v>
      </c>
      <c r="AC294" t="s">
        <v>750</v>
      </c>
      <c r="AD294" t="s">
        <v>720</v>
      </c>
      <c r="AE294" t="s">
        <v>720</v>
      </c>
    </row>
    <row r="295" spans="1:31">
      <c r="A295" t="s">
        <v>33</v>
      </c>
      <c r="C295">
        <v>744</v>
      </c>
      <c r="D295" t="s">
        <v>1775</v>
      </c>
      <c r="E295" s="11">
        <v>46039</v>
      </c>
      <c r="F295" t="s">
        <v>1776</v>
      </c>
      <c r="G295" t="s">
        <v>36</v>
      </c>
      <c r="J295" t="s">
        <v>522</v>
      </c>
      <c r="K295" t="s">
        <v>1777</v>
      </c>
      <c r="L295" t="s">
        <v>427</v>
      </c>
      <c r="M295" t="s">
        <v>628</v>
      </c>
      <c r="N295" t="s">
        <v>1778</v>
      </c>
      <c r="O295" t="s">
        <v>1779</v>
      </c>
      <c r="P295" s="46" t="str" cm="1">
        <f t="array" aca="1" ref="P295" ca="1">IFERROR(_xlfn.XLOOKUP(tblPedidos[[#This Row],[id_dropi]],tblNotas[[#This Row],[id__dropi]],tblNotas[[#This Row],[Notas Manuales]], “”, 0),"")</f>
        <v/>
      </c>
      <c r="R295" t="s">
        <v>1780</v>
      </c>
      <c r="S295">
        <v>78032</v>
      </c>
      <c r="T295">
        <v>-20814.400000000001</v>
      </c>
      <c r="U295" cm="1">
        <f t="array" ref="U295">IFERROR(_xlfn.IFS(tblPedidos[[#This Row],[estado_operativo]]="ENTREGADO",tblPedidos[[#This Row],[ganancia_calc]],tblPedidos[[#This Row],[estado_operativo]]="DEVOLUCION",tblPedidos[[#This Row],[costo_devolucion_estimado]]),0)</f>
        <v>0</v>
      </c>
      <c r="V295">
        <v>0</v>
      </c>
      <c r="W295">
        <v>300000</v>
      </c>
      <c r="X295">
        <v>26018</v>
      </c>
      <c r="Y295">
        <v>195950</v>
      </c>
      <c r="Z295" s="11">
        <v>46041</v>
      </c>
      <c r="AA295">
        <v>3</v>
      </c>
      <c r="AB295" s="12">
        <v>0.84791666666666665</v>
      </c>
      <c r="AC295" t="s">
        <v>399</v>
      </c>
      <c r="AD295" t="s">
        <v>527</v>
      </c>
      <c r="AE295" t="s">
        <v>522</v>
      </c>
    </row>
    <row r="296" spans="1:31" s="44" customFormat="1">
      <c r="A296" t="s">
        <v>33</v>
      </c>
      <c r="B296"/>
      <c r="C296">
        <v>743</v>
      </c>
      <c r="D296" t="s">
        <v>1781</v>
      </c>
      <c r="E296" s="11">
        <v>46039</v>
      </c>
      <c r="F296" t="s">
        <v>1782</v>
      </c>
      <c r="G296" t="s">
        <v>45</v>
      </c>
      <c r="H296"/>
      <c r="I296"/>
      <c r="J296" t="s">
        <v>720</v>
      </c>
      <c r="K296" t="s">
        <v>1783</v>
      </c>
      <c r="L296" t="s">
        <v>136</v>
      </c>
      <c r="M296" t="s">
        <v>137</v>
      </c>
      <c r="N296" t="s">
        <v>1784</v>
      </c>
      <c r="O296" t="s">
        <v>1785</v>
      </c>
      <c r="P296" s="46" t="str" cm="1">
        <f t="array" aca="1" ref="P296" ca="1">IFERROR(_xlfn.XLOOKUP(tblPedidos[[#This Row],[id_dropi]],tblNotas[[#This Row],[id__dropi]],tblNotas[[#This Row],[Notas Manuales]], “”, 0),"")</f>
        <v/>
      </c>
      <c r="Q296" t="s">
        <v>1786</v>
      </c>
      <c r="R296" t="s">
        <v>1738</v>
      </c>
      <c r="S296">
        <v>22829.5</v>
      </c>
      <c r="T296">
        <v>-17670.5</v>
      </c>
      <c r="U296" cm="1">
        <f t="array" ref="U296">IFERROR(_xlfn.IFS(tblPedidos[[#This Row],[estado_operativo]]="ENTREGADO",tblPedidos[[#This Row],[ganancia_calc]],tblPedidos[[#This Row],[estado_operativo]]="DEVOLUCION",tblPedidos[[#This Row],[costo_devolucion_estimado]]),0)</f>
        <v>22829.5</v>
      </c>
      <c r="V296">
        <v>0</v>
      </c>
      <c r="W296">
        <v>54900</v>
      </c>
      <c r="X296">
        <v>17670.5</v>
      </c>
      <c r="Y296">
        <v>14400</v>
      </c>
      <c r="Z296" s="11">
        <v>46043</v>
      </c>
      <c r="AA296">
        <v>1</v>
      </c>
      <c r="AB296" s="12">
        <v>0.4284722222222222</v>
      </c>
      <c r="AC296" t="s">
        <v>725</v>
      </c>
      <c r="AD296" t="s">
        <v>720</v>
      </c>
      <c r="AE296" t="s">
        <v>720</v>
      </c>
    </row>
    <row r="297" spans="1:31">
      <c r="A297" t="s">
        <v>33</v>
      </c>
      <c r="C297">
        <v>736</v>
      </c>
      <c r="D297" t="s">
        <v>1787</v>
      </c>
      <c r="E297" s="11">
        <v>46039</v>
      </c>
      <c r="F297" t="s">
        <v>1788</v>
      </c>
      <c r="G297" t="s">
        <v>45</v>
      </c>
      <c r="J297" t="s">
        <v>386</v>
      </c>
      <c r="K297" t="s">
        <v>1789</v>
      </c>
      <c r="L297" t="s">
        <v>87</v>
      </c>
      <c r="M297" t="s">
        <v>1248</v>
      </c>
      <c r="N297" t="s">
        <v>1790</v>
      </c>
      <c r="O297" t="s">
        <v>1791</v>
      </c>
      <c r="P297" s="46" t="str" cm="1">
        <f t="array" aca="1" ref="P297" ca="1">IFERROR(_xlfn.XLOOKUP(tblPedidos[[#This Row],[id_dropi]],tblNotas[[#This Row],[id__dropi]],tblNotas[[#This Row],[Notas Manuales]], “”, 0),"")</f>
        <v/>
      </c>
      <c r="Q297" t="s">
        <v>148</v>
      </c>
      <c r="R297" t="s">
        <v>1751</v>
      </c>
      <c r="S297">
        <v>27529.5</v>
      </c>
      <c r="T297">
        <v>-18570.5</v>
      </c>
      <c r="U297" cm="1">
        <f t="array" ref="U297">IFERROR(_xlfn.IFS(tblPedidos[[#This Row],[estado_operativo]]="ENTREGADO",tblPedidos[[#This Row],[ganancia_calc]],tblPedidos[[#This Row],[estado_operativo]]="DEVOLUCION",tblPedidos[[#This Row],[costo_devolucion_estimado]]),0)</f>
        <v>0</v>
      </c>
      <c r="V297">
        <v>0</v>
      </c>
      <c r="W297">
        <v>74900</v>
      </c>
      <c r="X297">
        <v>18570.5</v>
      </c>
      <c r="Y297">
        <v>28800</v>
      </c>
      <c r="Z297" s="11">
        <v>46043</v>
      </c>
      <c r="AA297">
        <v>1</v>
      </c>
      <c r="AB297" s="12">
        <v>0.43125000000000002</v>
      </c>
      <c r="AC297" t="s">
        <v>1039</v>
      </c>
      <c r="AD297" t="s">
        <v>709</v>
      </c>
      <c r="AE297" t="s">
        <v>386</v>
      </c>
    </row>
    <row r="298" spans="1:31" s="44" customFormat="1">
      <c r="A298" t="s">
        <v>33</v>
      </c>
      <c r="B298"/>
      <c r="C298">
        <v>735</v>
      </c>
      <c r="D298" t="s">
        <v>1792</v>
      </c>
      <c r="E298" s="11">
        <v>46039</v>
      </c>
      <c r="F298" t="s">
        <v>1793</v>
      </c>
      <c r="G298" t="s">
        <v>36</v>
      </c>
      <c r="H298"/>
      <c r="I298"/>
      <c r="J298" t="s">
        <v>959</v>
      </c>
      <c r="K298" t="s">
        <v>1794</v>
      </c>
      <c r="L298" t="s">
        <v>38</v>
      </c>
      <c r="M298" t="s">
        <v>39</v>
      </c>
      <c r="N298" t="s">
        <v>1795</v>
      </c>
      <c r="O298" t="s">
        <v>1796</v>
      </c>
      <c r="P298" s="46" t="str" cm="1">
        <f t="array" aca="1" ref="P298" ca="1">IFERROR(_xlfn.XLOOKUP(tblPedidos[[#This Row],[id_dropi]],tblNotas[[#This Row],[id__dropi]],tblNotas[[#This Row],[Notas Manuales]], “”, 0),"")</f>
        <v/>
      </c>
      <c r="Q298"/>
      <c r="R298" t="s">
        <v>1751</v>
      </c>
      <c r="S298">
        <v>30211.5</v>
      </c>
      <c r="T298">
        <v>-12710.800000000001</v>
      </c>
      <c r="U298" cm="1">
        <f t="array" ref="U298">IFERROR(_xlfn.IFS(tblPedidos[[#This Row],[estado_operativo]]="ENTREGADO",tblPedidos[[#This Row],[ganancia_calc]],tblPedidos[[#This Row],[estado_operativo]]="DEVOLUCION",tblPedidos[[#This Row],[costo_devolucion_estimado]]),0)</f>
        <v>0</v>
      </c>
      <c r="V298">
        <v>0</v>
      </c>
      <c r="W298">
        <v>74900</v>
      </c>
      <c r="X298">
        <v>15888.5</v>
      </c>
      <c r="Y298">
        <v>28800</v>
      </c>
      <c r="Z298" s="11">
        <v>46042</v>
      </c>
      <c r="AA298">
        <v>2</v>
      </c>
      <c r="AB298" s="12">
        <v>0.50763888888888886</v>
      </c>
      <c r="AC298" t="s">
        <v>399</v>
      </c>
      <c r="AD298" t="s">
        <v>1103</v>
      </c>
      <c r="AE298" t="s">
        <v>959</v>
      </c>
    </row>
    <row r="299" spans="1:31" s="44" customFormat="1">
      <c r="A299" t="s">
        <v>33</v>
      </c>
      <c r="B299"/>
      <c r="C299">
        <v>737</v>
      </c>
      <c r="D299" t="s">
        <v>1797</v>
      </c>
      <c r="E299" s="11">
        <v>46039</v>
      </c>
      <c r="F299" t="s">
        <v>1798</v>
      </c>
      <c r="G299" t="s">
        <v>45</v>
      </c>
      <c r="H299"/>
      <c r="I299"/>
      <c r="J299" t="s">
        <v>522</v>
      </c>
      <c r="K299" t="s">
        <v>1799</v>
      </c>
      <c r="L299" t="s">
        <v>38</v>
      </c>
      <c r="M299" t="s">
        <v>39</v>
      </c>
      <c r="N299" t="s">
        <v>1800</v>
      </c>
      <c r="O299" t="s">
        <v>1801</v>
      </c>
      <c r="P299" s="46" t="str" cm="1">
        <f t="array" aca="1" ref="P299" ca="1">IFERROR(_xlfn.XLOOKUP(tblPedidos[[#This Row],[id_dropi]],tblNotas[[#This Row],[id__dropi]],tblNotas[[#This Row],[Notas Manuales]], “”, 0),"")</f>
        <v/>
      </c>
      <c r="Q299" t="s">
        <v>50</v>
      </c>
      <c r="R299" t="s">
        <v>1738</v>
      </c>
      <c r="S299">
        <v>22829.5</v>
      </c>
      <c r="T299">
        <v>-17670.5</v>
      </c>
      <c r="U299" cm="1">
        <f t="array" ref="U299">IFERROR(_xlfn.IFS(tblPedidos[[#This Row],[estado_operativo]]="ENTREGADO",tblPedidos[[#This Row],[ganancia_calc]],tblPedidos[[#This Row],[estado_operativo]]="DEVOLUCION",tblPedidos[[#This Row],[costo_devolucion_estimado]]),0)</f>
        <v>0</v>
      </c>
      <c r="V299">
        <v>0</v>
      </c>
      <c r="W299">
        <v>54900</v>
      </c>
      <c r="X299">
        <v>17670.5</v>
      </c>
      <c r="Y299">
        <v>14400</v>
      </c>
      <c r="Z299" s="11">
        <v>46043</v>
      </c>
      <c r="AA299">
        <v>1</v>
      </c>
      <c r="AB299" s="12">
        <v>0.67152777777777772</v>
      </c>
      <c r="AC299" t="s">
        <v>982</v>
      </c>
      <c r="AD299" t="s">
        <v>717</v>
      </c>
      <c r="AE299" t="s">
        <v>522</v>
      </c>
    </row>
    <row r="300" spans="1:31">
      <c r="A300" t="s">
        <v>33</v>
      </c>
      <c r="C300">
        <v>739</v>
      </c>
      <c r="D300" t="s">
        <v>1802</v>
      </c>
      <c r="E300" s="11">
        <v>46039</v>
      </c>
      <c r="F300" t="s">
        <v>1803</v>
      </c>
      <c r="G300" t="s">
        <v>45</v>
      </c>
      <c r="J300" t="s">
        <v>522</v>
      </c>
      <c r="K300" t="s">
        <v>1804</v>
      </c>
      <c r="L300" t="s">
        <v>81</v>
      </c>
      <c r="M300" t="s">
        <v>1805</v>
      </c>
      <c r="N300" t="s">
        <v>1806</v>
      </c>
      <c r="O300" t="s">
        <v>1807</v>
      </c>
      <c r="P300" s="46" t="str" cm="1">
        <f t="array" aca="1" ref="P300" ca="1">IFERROR(_xlfn.XLOOKUP(tblPedidos[[#This Row],[id_dropi]],tblNotas[[#This Row],[id__dropi]],tblNotas[[#This Row],[Notas Manuales]], “”, 0),"")</f>
        <v/>
      </c>
      <c r="Q300" t="s">
        <v>1808</v>
      </c>
      <c r="R300" t="s">
        <v>1738</v>
      </c>
      <c r="S300">
        <v>22829.5</v>
      </c>
      <c r="T300">
        <v>-17670.5</v>
      </c>
      <c r="U300" cm="1">
        <f t="array" ref="U300">IFERROR(_xlfn.IFS(tblPedidos[[#This Row],[estado_operativo]]="ENTREGADO",tblPedidos[[#This Row],[ganancia_calc]],tblPedidos[[#This Row],[estado_operativo]]="DEVOLUCION",tblPedidos[[#This Row],[costo_devolucion_estimado]]),0)</f>
        <v>0</v>
      </c>
      <c r="V300">
        <v>0</v>
      </c>
      <c r="W300">
        <v>54900</v>
      </c>
      <c r="X300">
        <v>17670.5</v>
      </c>
      <c r="Y300">
        <v>14400</v>
      </c>
      <c r="Z300" s="11">
        <v>46043</v>
      </c>
      <c r="AA300">
        <v>1</v>
      </c>
      <c r="AB300" s="12">
        <v>0.50972222222222219</v>
      </c>
      <c r="AC300" t="s">
        <v>716</v>
      </c>
      <c r="AD300" t="s">
        <v>717</v>
      </c>
      <c r="AE300" t="s">
        <v>522</v>
      </c>
    </row>
    <row r="301" spans="1:31" s="44" customFormat="1">
      <c r="A301" t="s">
        <v>1343</v>
      </c>
      <c r="B301"/>
      <c r="C301">
        <v>738</v>
      </c>
      <c r="D301" t="s">
        <v>1809</v>
      </c>
      <c r="E301" s="11">
        <v>46039</v>
      </c>
      <c r="F301" t="s">
        <v>1810</v>
      </c>
      <c r="G301" t="s">
        <v>45</v>
      </c>
      <c r="H301"/>
      <c r="I301"/>
      <c r="J301" t="s">
        <v>720</v>
      </c>
      <c r="K301" t="s">
        <v>1811</v>
      </c>
      <c r="L301" t="s">
        <v>46</v>
      </c>
      <c r="M301" t="s">
        <v>388</v>
      </c>
      <c r="N301" t="s">
        <v>1812</v>
      </c>
      <c r="O301" t="s">
        <v>1813</v>
      </c>
      <c r="P301" s="46" t="str" cm="1">
        <f t="array" aca="1" ref="P301" ca="1">IFERROR(_xlfn.XLOOKUP(tblPedidos[[#This Row],[id_dropi]],tblNotas[[#This Row],[id__dropi]],tblNotas[[#This Row],[Notas Manuales]], “”, 0),"")</f>
        <v/>
      </c>
      <c r="Q301"/>
      <c r="R301" t="s">
        <v>1738</v>
      </c>
      <c r="S301">
        <v>28779.5</v>
      </c>
      <c r="T301">
        <v>-11720.5</v>
      </c>
      <c r="U301" cm="1">
        <f t="array" ref="U301">IFERROR(_xlfn.IFS(tblPedidos[[#This Row],[estado_operativo]]="ENTREGADO",tblPedidos[[#This Row],[ganancia_calc]],tblPedidos[[#This Row],[estado_operativo]]="DEVOLUCION",tblPedidos[[#This Row],[costo_devolucion_estimado]]),0)</f>
        <v>28779.5</v>
      </c>
      <c r="V301">
        <v>28779.5</v>
      </c>
      <c r="W301">
        <v>54900</v>
      </c>
      <c r="X301">
        <v>11720.5</v>
      </c>
      <c r="Y301">
        <v>14400</v>
      </c>
      <c r="Z301" s="11">
        <v>46042</v>
      </c>
      <c r="AA301">
        <v>2</v>
      </c>
      <c r="AB301" s="12">
        <v>0.67222222222222228</v>
      </c>
      <c r="AC301" t="s">
        <v>720</v>
      </c>
      <c r="AD301" t="s">
        <v>720</v>
      </c>
      <c r="AE301" t="s">
        <v>720</v>
      </c>
    </row>
    <row r="302" spans="1:31" s="44" customFormat="1">
      <c r="A302" t="s">
        <v>33</v>
      </c>
      <c r="B302"/>
      <c r="C302">
        <v>711</v>
      </c>
      <c r="D302" t="s">
        <v>1814</v>
      </c>
      <c r="E302" s="11">
        <v>46039</v>
      </c>
      <c r="F302" t="s">
        <v>1815</v>
      </c>
      <c r="G302" t="s">
        <v>36</v>
      </c>
      <c r="H302"/>
      <c r="I302"/>
      <c r="J302" t="s">
        <v>522</v>
      </c>
      <c r="K302" t="s">
        <v>1816</v>
      </c>
      <c r="L302" t="s">
        <v>38</v>
      </c>
      <c r="M302" t="s">
        <v>39</v>
      </c>
      <c r="N302" t="s">
        <v>1817</v>
      </c>
      <c r="O302" t="s">
        <v>1818</v>
      </c>
      <c r="P302" s="46" t="str" cm="1">
        <f t="array" aca="1" ref="P302" ca="1">IFERROR(_xlfn.XLOOKUP(tblPedidos[[#This Row],[id_dropi]],tblNotas[[#This Row],[id__dropi]],tblNotas[[#This Row],[Notas Manuales]], “”, 0),"")</f>
        <v/>
      </c>
      <c r="Q302"/>
      <c r="R302" t="s">
        <v>1819</v>
      </c>
      <c r="S302">
        <v>29236.5</v>
      </c>
      <c r="T302">
        <v>-12530.800000000001</v>
      </c>
      <c r="U302" cm="1">
        <f t="array" ref="U302">IFERROR(_xlfn.IFS(tblPedidos[[#This Row],[estado_operativo]]="ENTREGADO",tblPedidos[[#This Row],[ganancia_calc]],tblPedidos[[#This Row],[estado_operativo]]="DEVOLUCION",tblPedidos[[#This Row],[costo_devolucion_estimado]]),0)</f>
        <v>0</v>
      </c>
      <c r="V302">
        <v>0</v>
      </c>
      <c r="W302">
        <v>69900</v>
      </c>
      <c r="X302">
        <v>15663.5</v>
      </c>
      <c r="Y302">
        <v>25000</v>
      </c>
      <c r="Z302" s="11">
        <v>46041</v>
      </c>
      <c r="AA302">
        <v>3</v>
      </c>
      <c r="AB302" s="12">
        <v>0.89722222222222225</v>
      </c>
      <c r="AC302" t="s">
        <v>399</v>
      </c>
      <c r="AD302" t="s">
        <v>527</v>
      </c>
      <c r="AE302" t="s">
        <v>522</v>
      </c>
    </row>
    <row r="303" spans="1:31" s="44" customFormat="1">
      <c r="A303" t="s">
        <v>33</v>
      </c>
      <c r="B303"/>
      <c r="C303">
        <v>710</v>
      </c>
      <c r="D303" t="s">
        <v>1820</v>
      </c>
      <c r="E303" s="11">
        <v>46039</v>
      </c>
      <c r="F303" t="s">
        <v>1821</v>
      </c>
      <c r="G303" t="s">
        <v>45</v>
      </c>
      <c r="H303"/>
      <c r="I303"/>
      <c r="J303" t="s">
        <v>750</v>
      </c>
      <c r="K303" t="s">
        <v>1822</v>
      </c>
      <c r="L303" t="s">
        <v>1003</v>
      </c>
      <c r="M303" t="s">
        <v>1823</v>
      </c>
      <c r="N303" t="s">
        <v>1824</v>
      </c>
      <c r="O303" t="s">
        <v>1825</v>
      </c>
      <c r="P303" s="46" t="str" cm="1">
        <f t="array" aca="1" ref="P303" ca="1">IFERROR(_xlfn.XLOOKUP(tblPedidos[[#This Row],[id_dropi]],tblNotas[[#This Row],[id__dropi]],tblNotas[[#This Row],[Notas Manuales]], “”, 0),"")</f>
        <v/>
      </c>
      <c r="Q303"/>
      <c r="R303" t="s">
        <v>1738</v>
      </c>
      <c r="S303">
        <v>16801</v>
      </c>
      <c r="T303">
        <v>-18699</v>
      </c>
      <c r="U303" cm="1">
        <f t="array" ref="U303">IFERROR(_xlfn.IFS(tblPedidos[[#This Row],[estado_operativo]]="ENTREGADO",tblPedidos[[#This Row],[ganancia_calc]],tblPedidos[[#This Row],[estado_operativo]]="DEVOLUCION",tblPedidos[[#This Row],[costo_devolucion_estimado]]),0)</f>
        <v>0</v>
      </c>
      <c r="V303">
        <v>0</v>
      </c>
      <c r="W303">
        <v>49900</v>
      </c>
      <c r="X303">
        <v>18699</v>
      </c>
      <c r="Y303">
        <v>14400</v>
      </c>
      <c r="Z303" s="11">
        <v>46043</v>
      </c>
      <c r="AA303">
        <v>1</v>
      </c>
      <c r="AB303" s="12">
        <v>0.50624999999999998</v>
      </c>
      <c r="AC303" t="s">
        <v>944</v>
      </c>
      <c r="AD303" t="s">
        <v>757</v>
      </c>
      <c r="AE303" t="s">
        <v>750</v>
      </c>
    </row>
    <row r="304" spans="1:31">
      <c r="A304" t="s">
        <v>33</v>
      </c>
      <c r="C304">
        <v>712</v>
      </c>
      <c r="D304" t="s">
        <v>1826</v>
      </c>
      <c r="E304" s="11">
        <v>46039</v>
      </c>
      <c r="F304" t="s">
        <v>1827</v>
      </c>
      <c r="G304" t="s">
        <v>45</v>
      </c>
      <c r="J304" t="s">
        <v>750</v>
      </c>
      <c r="K304" t="s">
        <v>1828</v>
      </c>
      <c r="L304" t="s">
        <v>234</v>
      </c>
      <c r="M304" t="s">
        <v>235</v>
      </c>
      <c r="N304" t="s">
        <v>1829</v>
      </c>
      <c r="O304" t="s">
        <v>1830</v>
      </c>
      <c r="P304" s="46" t="str" cm="1">
        <f t="array" aca="1" ref="P304" ca="1">IFERROR(_xlfn.XLOOKUP(tblPedidos[[#This Row],[id_dropi]],tblNotas[[#This Row],[id__dropi]],tblNotas[[#This Row],[Notas Manuales]], “”, 0),"")</f>
        <v/>
      </c>
      <c r="R304" t="s">
        <v>1819</v>
      </c>
      <c r="S304">
        <v>21779.5</v>
      </c>
      <c r="T304">
        <v>-18120.5</v>
      </c>
      <c r="U304" cm="1">
        <f t="array" ref="U304">IFERROR(_xlfn.IFS(tblPedidos[[#This Row],[estado_operativo]]="ENTREGADO",tblPedidos[[#This Row],[ganancia_calc]],tblPedidos[[#This Row],[estado_operativo]]="DEVOLUCION",tblPedidos[[#This Row],[costo_devolucion_estimado]]),0)</f>
        <v>0</v>
      </c>
      <c r="V304">
        <v>0</v>
      </c>
      <c r="W304">
        <v>64900</v>
      </c>
      <c r="X304">
        <v>18120.5</v>
      </c>
      <c r="Y304">
        <v>25000</v>
      </c>
      <c r="Z304" s="11">
        <v>46043</v>
      </c>
      <c r="AA304">
        <v>1</v>
      </c>
      <c r="AB304" s="12">
        <v>0.67569444444444449</v>
      </c>
      <c r="AC304" t="s">
        <v>750</v>
      </c>
      <c r="AD304" t="s">
        <v>1027</v>
      </c>
      <c r="AE304" t="s">
        <v>750</v>
      </c>
    </row>
    <row r="305" spans="1:31" s="44" customFormat="1">
      <c r="A305" t="s">
        <v>33</v>
      </c>
      <c r="B305"/>
      <c r="C305">
        <v>714</v>
      </c>
      <c r="D305" t="s">
        <v>1831</v>
      </c>
      <c r="E305" s="11">
        <v>46039</v>
      </c>
      <c r="F305" t="s">
        <v>1832</v>
      </c>
      <c r="G305" t="s">
        <v>36</v>
      </c>
      <c r="H305"/>
      <c r="I305"/>
      <c r="J305" t="s">
        <v>959</v>
      </c>
      <c r="K305" t="s">
        <v>1833</v>
      </c>
      <c r="L305" t="s">
        <v>54</v>
      </c>
      <c r="M305" t="s">
        <v>1491</v>
      </c>
      <c r="N305" t="s">
        <v>1834</v>
      </c>
      <c r="O305" t="s">
        <v>1835</v>
      </c>
      <c r="P305" s="46" t="str" cm="1">
        <f t="array" aca="1" ref="P305" ca="1">IFERROR(_xlfn.XLOOKUP(tblPedidos[[#This Row],[id_dropi]],tblNotas[[#This Row],[id__dropi]],tblNotas[[#This Row],[Notas Manuales]], “”, 0),"")</f>
        <v/>
      </c>
      <c r="Q305" t="s">
        <v>1836</v>
      </c>
      <c r="R305" t="s">
        <v>1837</v>
      </c>
      <c r="S305">
        <v>33336.5</v>
      </c>
      <c r="T305">
        <v>-13250.800000000001</v>
      </c>
      <c r="U305" cm="1">
        <f t="array" ref="U305">IFERROR(_xlfn.IFS(tblPedidos[[#This Row],[estado_operativo]]="ENTREGADO",tblPedidos[[#This Row],[ganancia_calc]],tblPedidos[[#This Row],[estado_operativo]]="DEVOLUCION",tblPedidos[[#This Row],[costo_devolucion_estimado]]),0)</f>
        <v>0</v>
      </c>
      <c r="V305">
        <v>0</v>
      </c>
      <c r="W305">
        <v>89900</v>
      </c>
      <c r="X305">
        <v>16563.5</v>
      </c>
      <c r="Y305">
        <v>40000</v>
      </c>
      <c r="Z305" s="11">
        <v>46041</v>
      </c>
      <c r="AA305">
        <v>3</v>
      </c>
      <c r="AB305" s="12">
        <v>0.89722222222222225</v>
      </c>
      <c r="AC305" t="s">
        <v>399</v>
      </c>
      <c r="AD305" t="s">
        <v>1103</v>
      </c>
      <c r="AE305" t="s">
        <v>959</v>
      </c>
    </row>
    <row r="306" spans="1:31" s="44" customFormat="1">
      <c r="A306" t="s">
        <v>33</v>
      </c>
      <c r="B306"/>
      <c r="C306">
        <v>713</v>
      </c>
      <c r="D306" t="s">
        <v>1838</v>
      </c>
      <c r="E306" s="11">
        <v>46039</v>
      </c>
      <c r="F306" t="s">
        <v>1839</v>
      </c>
      <c r="G306" t="s">
        <v>45</v>
      </c>
      <c r="H306"/>
      <c r="I306"/>
      <c r="J306" t="s">
        <v>522</v>
      </c>
      <c r="K306" t="s">
        <v>1840</v>
      </c>
      <c r="L306" t="s">
        <v>38</v>
      </c>
      <c r="M306" t="s">
        <v>1320</v>
      </c>
      <c r="N306" t="s">
        <v>1841</v>
      </c>
      <c r="O306" t="s">
        <v>1842</v>
      </c>
      <c r="P306" s="46" t="str" cm="1">
        <f t="array" aca="1" ref="P306" ca="1">IFERROR(_xlfn.XLOOKUP(tblPedidos[[#This Row],[id_dropi]],tblNotas[[#This Row],[id__dropi]],tblNotas[[#This Row],[Notas Manuales]], “”, 0),"")</f>
        <v/>
      </c>
      <c r="Q306" t="s">
        <v>50</v>
      </c>
      <c r="R306" t="s">
        <v>1751</v>
      </c>
      <c r="S306">
        <v>27529.5</v>
      </c>
      <c r="T306">
        <v>-18570.5</v>
      </c>
      <c r="U306" cm="1">
        <f t="array" ref="U306">IFERROR(_xlfn.IFS(tblPedidos[[#This Row],[estado_operativo]]="ENTREGADO",tblPedidos[[#This Row],[ganancia_calc]],tblPedidos[[#This Row],[estado_operativo]]="DEVOLUCION",tblPedidos[[#This Row],[costo_devolucion_estimado]]),0)</f>
        <v>0</v>
      </c>
      <c r="V306">
        <v>0</v>
      </c>
      <c r="W306">
        <v>74900</v>
      </c>
      <c r="X306">
        <v>18570.5</v>
      </c>
      <c r="Y306">
        <v>28800</v>
      </c>
      <c r="Z306" s="11">
        <v>46043</v>
      </c>
      <c r="AA306">
        <v>1</v>
      </c>
      <c r="AB306" s="12">
        <v>0.43125000000000002</v>
      </c>
      <c r="AC306" t="s">
        <v>716</v>
      </c>
      <c r="AD306" t="s">
        <v>717</v>
      </c>
      <c r="AE306" t="s">
        <v>522</v>
      </c>
    </row>
    <row r="307" spans="1:31" s="44" customFormat="1">
      <c r="A307" t="s">
        <v>33</v>
      </c>
      <c r="B307"/>
      <c r="C307">
        <v>706</v>
      </c>
      <c r="D307" t="s">
        <v>1843</v>
      </c>
      <c r="E307" s="11">
        <v>46039</v>
      </c>
      <c r="F307" t="s">
        <v>1844</v>
      </c>
      <c r="G307" t="s">
        <v>45</v>
      </c>
      <c r="H307"/>
      <c r="I307"/>
      <c r="J307" t="s">
        <v>386</v>
      </c>
      <c r="K307" t="s">
        <v>1845</v>
      </c>
      <c r="L307" t="s">
        <v>54</v>
      </c>
      <c r="M307" t="s">
        <v>1846</v>
      </c>
      <c r="N307" t="s">
        <v>1847</v>
      </c>
      <c r="O307" t="s">
        <v>1848</v>
      </c>
      <c r="P307" s="46" t="str" cm="1">
        <f t="array" aca="1" ref="P307" ca="1">IFERROR(_xlfn.XLOOKUP(tblPedidos[[#This Row],[id_dropi]],tblNotas[[#This Row],[id__dropi]],tblNotas[[#This Row],[Notas Manuales]], “”, 0),"")</f>
        <v/>
      </c>
      <c r="Q307" t="s">
        <v>50</v>
      </c>
      <c r="R307" t="s">
        <v>1751</v>
      </c>
      <c r="S307">
        <v>27529.5</v>
      </c>
      <c r="T307">
        <v>-18570.5</v>
      </c>
      <c r="U307" cm="1">
        <f t="array" ref="U307">IFERROR(_xlfn.IFS(tblPedidos[[#This Row],[estado_operativo]]="ENTREGADO",tblPedidos[[#This Row],[ganancia_calc]],tblPedidos[[#This Row],[estado_operativo]]="DEVOLUCION",tblPedidos[[#This Row],[costo_devolucion_estimado]]),0)</f>
        <v>0</v>
      </c>
      <c r="V307">
        <v>0</v>
      </c>
      <c r="W307">
        <v>74900</v>
      </c>
      <c r="X307">
        <v>18570.5</v>
      </c>
      <c r="Y307">
        <v>28800</v>
      </c>
      <c r="Z307" s="11">
        <v>46043</v>
      </c>
      <c r="AA307">
        <v>1</v>
      </c>
      <c r="AB307" s="12">
        <v>0.67291666666666672</v>
      </c>
      <c r="AC307" t="s">
        <v>982</v>
      </c>
      <c r="AD307" t="s">
        <v>709</v>
      </c>
      <c r="AE307" t="s">
        <v>386</v>
      </c>
    </row>
    <row r="308" spans="1:31">
      <c r="A308" t="s">
        <v>1343</v>
      </c>
      <c r="C308">
        <v>705</v>
      </c>
      <c r="D308" t="s">
        <v>1849</v>
      </c>
      <c r="E308" s="11">
        <v>46039</v>
      </c>
      <c r="F308" t="s">
        <v>1850</v>
      </c>
      <c r="G308" t="s">
        <v>45</v>
      </c>
      <c r="J308" t="s">
        <v>720</v>
      </c>
      <c r="K308" t="s">
        <v>1851</v>
      </c>
      <c r="L308" t="s">
        <v>46</v>
      </c>
      <c r="M308" t="s">
        <v>100</v>
      </c>
      <c r="N308" t="s">
        <v>1852</v>
      </c>
      <c r="O308" t="s">
        <v>1853</v>
      </c>
      <c r="P308" s="46" t="str" cm="1">
        <f t="array" aca="1" ref="P308" ca="1">IFERROR(_xlfn.XLOOKUP(tblPedidos[[#This Row],[id_dropi]],tblNotas[[#This Row],[id__dropi]],tblNotas[[#This Row],[Notas Manuales]], “”, 0),"")</f>
        <v/>
      </c>
      <c r="R308" t="s">
        <v>1738</v>
      </c>
      <c r="S308">
        <v>28779.5</v>
      </c>
      <c r="T308">
        <v>-11720.5</v>
      </c>
      <c r="U308" cm="1">
        <f t="array" ref="U308">IFERROR(_xlfn.IFS(tblPedidos[[#This Row],[estado_operativo]]="ENTREGADO",tblPedidos[[#This Row],[ganancia_calc]],tblPedidos[[#This Row],[estado_operativo]]="DEVOLUCION",tblPedidos[[#This Row],[costo_devolucion_estimado]]),0)</f>
        <v>28779.5</v>
      </c>
      <c r="V308">
        <v>28779.5</v>
      </c>
      <c r="W308">
        <v>54900</v>
      </c>
      <c r="X308">
        <v>11720.5</v>
      </c>
      <c r="Y308">
        <v>14400</v>
      </c>
      <c r="Z308" s="11">
        <v>46043</v>
      </c>
      <c r="AA308">
        <v>1</v>
      </c>
      <c r="AB308" s="12">
        <v>0.51458333333333328</v>
      </c>
      <c r="AC308" t="s">
        <v>1854</v>
      </c>
      <c r="AD308" t="s">
        <v>720</v>
      </c>
      <c r="AE308" t="s">
        <v>720</v>
      </c>
    </row>
    <row r="309" spans="1:31" s="44" customFormat="1">
      <c r="A309" t="s">
        <v>1343</v>
      </c>
      <c r="B309"/>
      <c r="C309">
        <v>707</v>
      </c>
      <c r="D309" t="s">
        <v>1855</v>
      </c>
      <c r="E309" s="11">
        <v>46039</v>
      </c>
      <c r="F309" t="s">
        <v>1856</v>
      </c>
      <c r="G309" t="s">
        <v>45</v>
      </c>
      <c r="H309"/>
      <c r="I309"/>
      <c r="J309" t="s">
        <v>1657</v>
      </c>
      <c r="K309" t="s">
        <v>1857</v>
      </c>
      <c r="L309" t="s">
        <v>234</v>
      </c>
      <c r="M309" t="s">
        <v>235</v>
      </c>
      <c r="N309" t="s">
        <v>1858</v>
      </c>
      <c r="O309" t="s">
        <v>1859</v>
      </c>
      <c r="P309" s="46" t="str" cm="1">
        <f t="array" aca="1" ref="P309" ca="1">IFERROR(_xlfn.XLOOKUP(tblPedidos[[#This Row],[id_dropi]],tblNotas[[#This Row],[id__dropi]],tblNotas[[#This Row],[Notas Manuales]], “”, 0),"")</f>
        <v/>
      </c>
      <c r="Q309"/>
      <c r="R309" t="s">
        <v>1751</v>
      </c>
      <c r="S309">
        <v>32079.5</v>
      </c>
      <c r="T309">
        <v>-14020.5</v>
      </c>
      <c r="U309" cm="1">
        <f t="array" ref="U309">IFERROR(_xlfn.IFS(tblPedidos[[#This Row],[estado_operativo]]="ENTREGADO",tblPedidos[[#This Row],[ganancia_calc]],tblPedidos[[#This Row],[estado_operativo]]="DEVOLUCION",tblPedidos[[#This Row],[costo_devolucion_estimado]]),0)</f>
        <v>-14020.5</v>
      </c>
      <c r="V309">
        <v>-14020.5</v>
      </c>
      <c r="W309">
        <v>74900</v>
      </c>
      <c r="X309">
        <v>14020.5</v>
      </c>
      <c r="Y309">
        <v>28800</v>
      </c>
      <c r="Z309" s="11">
        <v>46043</v>
      </c>
      <c r="AA309">
        <v>1</v>
      </c>
      <c r="AB309" s="12">
        <v>0.47847222222222224</v>
      </c>
      <c r="AC309" t="s">
        <v>716</v>
      </c>
      <c r="AD309" t="s">
        <v>1657</v>
      </c>
      <c r="AE309" t="s">
        <v>1657</v>
      </c>
    </row>
    <row r="310" spans="1:31" s="44" customFormat="1">
      <c r="A310" t="s">
        <v>33</v>
      </c>
      <c r="B310"/>
      <c r="C310">
        <v>709</v>
      </c>
      <c r="D310" t="s">
        <v>1860</v>
      </c>
      <c r="E310" s="11">
        <v>46039</v>
      </c>
      <c r="F310" t="s">
        <v>1861</v>
      </c>
      <c r="G310" t="s">
        <v>36</v>
      </c>
      <c r="H310"/>
      <c r="I310"/>
      <c r="J310" t="s">
        <v>720</v>
      </c>
      <c r="K310" t="s">
        <v>1862</v>
      </c>
      <c r="L310" t="s">
        <v>54</v>
      </c>
      <c r="M310" t="s">
        <v>373</v>
      </c>
      <c r="N310" t="s">
        <v>1863</v>
      </c>
      <c r="O310" t="s">
        <v>1864</v>
      </c>
      <c r="P310" s="46" t="str" cm="1">
        <f t="array" aca="1" ref="P310" ca="1">IFERROR(_xlfn.XLOOKUP(tblPedidos[[#This Row],[id_dropi]],tblNotas[[#This Row],[id__dropi]],tblNotas[[#This Row],[Notas Manuales]], “”, 0),"")</f>
        <v/>
      </c>
      <c r="Q310"/>
      <c r="R310" t="s">
        <v>1865</v>
      </c>
      <c r="S310">
        <v>28786.5</v>
      </c>
      <c r="T310">
        <v>-12890.800000000001</v>
      </c>
      <c r="U310" cm="1">
        <f t="array" ref="U310">IFERROR(_xlfn.IFS(tblPedidos[[#This Row],[estado_operativo]]="ENTREGADO",tblPedidos[[#This Row],[ganancia_calc]],tblPedidos[[#This Row],[estado_operativo]]="DEVOLUCION",tblPedidos[[#This Row],[costo_devolucion_estimado]]),0)</f>
        <v>28786.5</v>
      </c>
      <c r="V310">
        <v>0</v>
      </c>
      <c r="W310">
        <v>79900</v>
      </c>
      <c r="X310">
        <v>16113.5</v>
      </c>
      <c r="Y310">
        <v>35000</v>
      </c>
      <c r="Z310" s="11">
        <v>46041</v>
      </c>
      <c r="AA310">
        <v>3</v>
      </c>
      <c r="AB310" s="12">
        <v>0.89722222222222225</v>
      </c>
      <c r="AC310" t="s">
        <v>399</v>
      </c>
      <c r="AD310" t="s">
        <v>720</v>
      </c>
      <c r="AE310" t="s">
        <v>720</v>
      </c>
    </row>
    <row r="311" spans="1:31" s="44" customFormat="1">
      <c r="A311" t="s">
        <v>1343</v>
      </c>
      <c r="B311"/>
      <c r="C311">
        <v>708</v>
      </c>
      <c r="D311" t="s">
        <v>1866</v>
      </c>
      <c r="E311" s="11">
        <v>46039</v>
      </c>
      <c r="F311" t="s">
        <v>1867</v>
      </c>
      <c r="G311" t="s">
        <v>45</v>
      </c>
      <c r="H311"/>
      <c r="I311"/>
      <c r="J311" t="s">
        <v>1657</v>
      </c>
      <c r="K311" t="s">
        <v>1868</v>
      </c>
      <c r="L311" t="s">
        <v>125</v>
      </c>
      <c r="M311" t="s">
        <v>306</v>
      </c>
      <c r="N311" t="s">
        <v>1869</v>
      </c>
      <c r="O311" t="s">
        <v>1870</v>
      </c>
      <c r="P311" s="46" t="str" cm="1">
        <f t="array" aca="1" ref="P311" ca="1">IFERROR(_xlfn.XLOOKUP(tblPedidos[[#This Row],[id_dropi]],tblNotas[[#This Row],[id__dropi]],tblNotas[[#This Row],[Notas Manuales]], “”, 0),"")</f>
        <v/>
      </c>
      <c r="Q311"/>
      <c r="R311" t="s">
        <v>1719</v>
      </c>
      <c r="S311">
        <v>28104.5</v>
      </c>
      <c r="T311">
        <v>-18345.5</v>
      </c>
      <c r="U311" cm="1">
        <f t="array" ref="U311">IFERROR(_xlfn.IFS(tblPedidos[[#This Row],[estado_operativo]]="ENTREGADO",tblPedidos[[#This Row],[ganancia_calc]],tblPedidos[[#This Row],[estado_operativo]]="DEVOLUCION",tblPedidos[[#This Row],[costo_devolucion_estimado]]),0)</f>
        <v>-18345.5</v>
      </c>
      <c r="V311">
        <v>-18345.5</v>
      </c>
      <c r="W311">
        <v>69900</v>
      </c>
      <c r="X311">
        <v>18345.5</v>
      </c>
      <c r="Y311">
        <v>23450</v>
      </c>
      <c r="Z311" s="11">
        <v>46043</v>
      </c>
      <c r="AA311">
        <v>1</v>
      </c>
      <c r="AB311" s="12">
        <v>0.67152777777777772</v>
      </c>
      <c r="AC311" t="s">
        <v>756</v>
      </c>
      <c r="AD311" t="s">
        <v>1657</v>
      </c>
      <c r="AE311" t="s">
        <v>1657</v>
      </c>
    </row>
    <row r="312" spans="1:31" s="44" customFormat="1">
      <c r="A312" t="s">
        <v>33</v>
      </c>
      <c r="B312"/>
      <c r="C312">
        <v>721</v>
      </c>
      <c r="D312" t="s">
        <v>1871</v>
      </c>
      <c r="E312" s="11">
        <v>46039</v>
      </c>
      <c r="F312" t="s">
        <v>1872</v>
      </c>
      <c r="G312" t="s">
        <v>36</v>
      </c>
      <c r="H312"/>
      <c r="I312"/>
      <c r="J312" t="s">
        <v>750</v>
      </c>
      <c r="K312" t="s">
        <v>1873</v>
      </c>
      <c r="L312" t="s">
        <v>81</v>
      </c>
      <c r="M312" t="s">
        <v>118</v>
      </c>
      <c r="N312" t="s">
        <v>1874</v>
      </c>
      <c r="O312" t="s">
        <v>1875</v>
      </c>
      <c r="P312" s="46" t="str" cm="1">
        <f t="array" aca="1" ref="P312" ca="1">IFERROR(_xlfn.XLOOKUP(tblPedidos[[#This Row],[id_dropi]],tblNotas[[#This Row],[id__dropi]],tblNotas[[#This Row],[Notas Manuales]], “”, 0),"")</f>
        <v/>
      </c>
      <c r="Q312"/>
      <c r="R312" t="s">
        <v>1763</v>
      </c>
      <c r="S312">
        <v>26792.5</v>
      </c>
      <c r="T312">
        <v>-10486</v>
      </c>
      <c r="U312" cm="1">
        <f t="array" ref="U312">IFERROR(_xlfn.IFS(tblPedidos[[#This Row],[estado_operativo]]="ENTREGADO",tblPedidos[[#This Row],[ganancia_calc]],tblPedidos[[#This Row],[estado_operativo]]="DEVOLUCION",tblPedidos[[#This Row],[costo_devolucion_estimado]]),0)</f>
        <v>0</v>
      </c>
      <c r="V312">
        <v>0</v>
      </c>
      <c r="W312">
        <v>89900</v>
      </c>
      <c r="X312">
        <v>13107.5</v>
      </c>
      <c r="Y312">
        <v>50000</v>
      </c>
      <c r="Z312" s="11">
        <v>46041</v>
      </c>
      <c r="AA312">
        <v>3</v>
      </c>
      <c r="AB312" s="12">
        <v>0.89722222222222225</v>
      </c>
      <c r="AC312" t="s">
        <v>399</v>
      </c>
      <c r="AD312" t="s">
        <v>1027</v>
      </c>
      <c r="AE312" t="s">
        <v>750</v>
      </c>
    </row>
    <row r="313" spans="1:31">
      <c r="A313" t="s">
        <v>33</v>
      </c>
      <c r="C313">
        <v>720</v>
      </c>
      <c r="D313" t="s">
        <v>1876</v>
      </c>
      <c r="E313" s="11">
        <v>46039</v>
      </c>
      <c r="F313" t="s">
        <v>1877</v>
      </c>
      <c r="G313" t="s">
        <v>45</v>
      </c>
      <c r="J313" t="s">
        <v>522</v>
      </c>
      <c r="K313" t="s">
        <v>1878</v>
      </c>
      <c r="L313" t="s">
        <v>54</v>
      </c>
      <c r="M313" t="s">
        <v>1879</v>
      </c>
      <c r="N313" t="s">
        <v>1880</v>
      </c>
      <c r="O313" t="s">
        <v>1881</v>
      </c>
      <c r="P313" s="46" t="str" cm="1">
        <f t="array" aca="1" ref="P313" ca="1">IFERROR(_xlfn.XLOOKUP(tblPedidos[[#This Row],[id_dropi]],tblNotas[[#This Row],[id__dropi]],tblNotas[[#This Row],[Notas Manuales]], “”, 0),"")</f>
        <v/>
      </c>
      <c r="R313" t="s">
        <v>1763</v>
      </c>
      <c r="S313">
        <v>20654.5</v>
      </c>
      <c r="T313">
        <v>-19245.5</v>
      </c>
      <c r="U313" cm="1">
        <f t="array" ref="U313">IFERROR(_xlfn.IFS(tblPedidos[[#This Row],[estado_operativo]]="ENTREGADO",tblPedidos[[#This Row],[ganancia_calc]],tblPedidos[[#This Row],[estado_operativo]]="DEVOLUCION",tblPedidos[[#This Row],[costo_devolucion_estimado]]),0)</f>
        <v>0</v>
      </c>
      <c r="V313">
        <v>0</v>
      </c>
      <c r="W313">
        <v>89900</v>
      </c>
      <c r="X313">
        <v>19245.5</v>
      </c>
      <c r="Y313">
        <v>50000</v>
      </c>
      <c r="Z313" s="11">
        <v>46043</v>
      </c>
      <c r="AA313">
        <v>1</v>
      </c>
      <c r="AB313" s="12">
        <v>0.67291666666666672</v>
      </c>
      <c r="AC313" t="s">
        <v>716</v>
      </c>
      <c r="AD313" t="s">
        <v>717</v>
      </c>
      <c r="AE313" t="s">
        <v>522</v>
      </c>
    </row>
    <row r="314" spans="1:31">
      <c r="A314" t="s">
        <v>1343</v>
      </c>
      <c r="C314">
        <v>722</v>
      </c>
      <c r="D314" t="s">
        <v>1882</v>
      </c>
      <c r="E314" s="11">
        <v>46039</v>
      </c>
      <c r="F314" t="s">
        <v>1883</v>
      </c>
      <c r="G314" t="s">
        <v>45</v>
      </c>
      <c r="J314" t="s">
        <v>720</v>
      </c>
      <c r="K314" t="s">
        <v>1884</v>
      </c>
      <c r="L314" t="s">
        <v>46</v>
      </c>
      <c r="M314" t="s">
        <v>100</v>
      </c>
      <c r="N314" t="s">
        <v>1885</v>
      </c>
      <c r="O314" t="s">
        <v>1886</v>
      </c>
      <c r="P314" s="46" t="str" cm="1">
        <f t="array" aca="1" ref="P314" ca="1">IFERROR(_xlfn.XLOOKUP(tblPedidos[[#This Row],[id_dropi]],tblNotas[[#This Row],[id__dropi]],tblNotas[[#This Row],[Notas Manuales]], “”, 0),"")</f>
        <v/>
      </c>
      <c r="R314" t="s">
        <v>1726</v>
      </c>
      <c r="S314">
        <v>17004.5</v>
      </c>
      <c r="T314">
        <v>-17895.5</v>
      </c>
      <c r="U314" cm="1">
        <f t="array" ref="U314">IFERROR(_xlfn.IFS(tblPedidos[[#This Row],[estado_operativo]]="ENTREGADO",tblPedidos[[#This Row],[ganancia_calc]],tblPedidos[[#This Row],[estado_operativo]]="DEVOLUCION",tblPedidos[[#This Row],[costo_devolucion_estimado]]),0)</f>
        <v>17004.5</v>
      </c>
      <c r="V314">
        <v>17004.5</v>
      </c>
      <c r="W314">
        <v>59900</v>
      </c>
      <c r="X314">
        <v>17895.5</v>
      </c>
      <c r="Y314">
        <v>25000</v>
      </c>
      <c r="Z314" s="11">
        <v>46043</v>
      </c>
      <c r="AA314">
        <v>1</v>
      </c>
      <c r="AB314" s="12">
        <v>0.70138888888888884</v>
      </c>
      <c r="AC314" t="s">
        <v>750</v>
      </c>
      <c r="AD314" t="s">
        <v>720</v>
      </c>
      <c r="AE314" t="s">
        <v>720</v>
      </c>
    </row>
    <row r="315" spans="1:31">
      <c r="A315" t="s">
        <v>33</v>
      </c>
      <c r="C315">
        <v>724</v>
      </c>
      <c r="D315" t="s">
        <v>1887</v>
      </c>
      <c r="E315" s="11">
        <v>46039</v>
      </c>
      <c r="F315" t="s">
        <v>1888</v>
      </c>
      <c r="G315" t="s">
        <v>45</v>
      </c>
      <c r="J315" t="s">
        <v>386</v>
      </c>
      <c r="K315" t="s">
        <v>1889</v>
      </c>
      <c r="L315" t="s">
        <v>590</v>
      </c>
      <c r="M315" t="s">
        <v>1890</v>
      </c>
      <c r="N315" t="s">
        <v>1891</v>
      </c>
      <c r="O315" t="s">
        <v>1892</v>
      </c>
      <c r="P315" s="46" t="str" cm="1">
        <f t="array" aca="1" ref="P315" ca="1">IFERROR(_xlfn.XLOOKUP(tblPedidos[[#This Row],[id_dropi]],tblNotas[[#This Row],[id__dropi]],tblNotas[[#This Row],[Notas Manuales]], “”, 0),"")</f>
        <v/>
      </c>
      <c r="R315" t="s">
        <v>1719</v>
      </c>
      <c r="S315">
        <v>28104.5</v>
      </c>
      <c r="T315">
        <v>-18345.5</v>
      </c>
      <c r="U315" cm="1">
        <f t="array" ref="U315">IFERROR(_xlfn.IFS(tblPedidos[[#This Row],[estado_operativo]]="ENTREGADO",tblPedidos[[#This Row],[ganancia_calc]],tblPedidos[[#This Row],[estado_operativo]]="DEVOLUCION",tblPedidos[[#This Row],[costo_devolucion_estimado]]),0)</f>
        <v>0</v>
      </c>
      <c r="V315">
        <v>0</v>
      </c>
      <c r="W315">
        <v>69900</v>
      </c>
      <c r="X315">
        <v>18345.5</v>
      </c>
      <c r="Y315">
        <v>23450</v>
      </c>
      <c r="Z315" s="11">
        <v>46043</v>
      </c>
      <c r="AA315">
        <v>1</v>
      </c>
      <c r="AB315" s="12">
        <v>0.42638888888888887</v>
      </c>
      <c r="AC315" t="s">
        <v>708</v>
      </c>
      <c r="AD315" t="s">
        <v>709</v>
      </c>
      <c r="AE315" t="s">
        <v>386</v>
      </c>
    </row>
    <row r="316" spans="1:31">
      <c r="A316" t="s">
        <v>33</v>
      </c>
      <c r="C316">
        <v>723</v>
      </c>
      <c r="D316" t="s">
        <v>1893</v>
      </c>
      <c r="E316" s="11">
        <v>46039</v>
      </c>
      <c r="F316" t="s">
        <v>1894</v>
      </c>
      <c r="G316" t="s">
        <v>36</v>
      </c>
      <c r="J316" t="s">
        <v>720</v>
      </c>
      <c r="K316" t="s">
        <v>1895</v>
      </c>
      <c r="L316" t="s">
        <v>81</v>
      </c>
      <c r="M316" t="s">
        <v>118</v>
      </c>
      <c r="N316" t="s">
        <v>1896</v>
      </c>
      <c r="O316" t="s">
        <v>1897</v>
      </c>
      <c r="P316" s="46" t="str" cm="1">
        <f t="array" aca="1" ref="P316" ca="1">IFERROR(_xlfn.XLOOKUP(tblPedidos[[#This Row],[id_dropi]],tblNotas[[#This Row],[id__dropi]],tblNotas[[#This Row],[Notas Manuales]], “”, 0),"")</f>
        <v/>
      </c>
      <c r="R316" t="s">
        <v>1898</v>
      </c>
      <c r="S316">
        <v>29461.5</v>
      </c>
      <c r="T316">
        <v>-12350.800000000001</v>
      </c>
      <c r="U316" cm="1">
        <f t="array" ref="U316">IFERROR(_xlfn.IFS(tblPedidos[[#This Row],[estado_operativo]]="ENTREGADO",tblPedidos[[#This Row],[ganancia_calc]],tblPedidos[[#This Row],[estado_operativo]]="DEVOLUCION",tblPedidos[[#This Row],[costo_devolucion_estimado]]),0)</f>
        <v>29461.5</v>
      </c>
      <c r="V316">
        <v>0</v>
      </c>
      <c r="W316">
        <v>64900</v>
      </c>
      <c r="X316">
        <v>15438.5</v>
      </c>
      <c r="Y316">
        <v>20000</v>
      </c>
      <c r="Z316" s="11">
        <v>46041</v>
      </c>
      <c r="AA316">
        <v>3</v>
      </c>
      <c r="AB316" s="12">
        <v>0.72916666666666663</v>
      </c>
      <c r="AC316" t="s">
        <v>399</v>
      </c>
      <c r="AD316" t="s">
        <v>720</v>
      </c>
      <c r="AE316" t="s">
        <v>720</v>
      </c>
    </row>
    <row r="317" spans="1:31">
      <c r="A317" t="s">
        <v>33</v>
      </c>
      <c r="C317">
        <v>716</v>
      </c>
      <c r="D317" t="s">
        <v>1899</v>
      </c>
      <c r="E317" s="11">
        <v>46039</v>
      </c>
      <c r="F317" t="s">
        <v>1900</v>
      </c>
      <c r="G317" t="s">
        <v>45</v>
      </c>
      <c r="J317" t="s">
        <v>720</v>
      </c>
      <c r="K317" t="s">
        <v>1901</v>
      </c>
      <c r="L317" t="s">
        <v>328</v>
      </c>
      <c r="M317" t="s">
        <v>1902</v>
      </c>
      <c r="N317" t="s">
        <v>1903</v>
      </c>
      <c r="O317" t="s">
        <v>1904</v>
      </c>
      <c r="P317" s="46" t="str" cm="1">
        <f t="array" aca="1" ref="P317" ca="1">IFERROR(_xlfn.XLOOKUP(tblPedidos[[#This Row],[id_dropi]],tblNotas[[#This Row],[id__dropi]],tblNotas[[#This Row],[Notas Manuales]], “”, 0),"")</f>
        <v/>
      </c>
      <c r="R317" t="s">
        <v>1763</v>
      </c>
      <c r="S317">
        <v>20654.5</v>
      </c>
      <c r="T317">
        <v>-19245.5</v>
      </c>
      <c r="U317" cm="1">
        <f t="array" ref="U317">IFERROR(_xlfn.IFS(tblPedidos[[#This Row],[estado_operativo]]="ENTREGADO",tblPedidos[[#This Row],[ganancia_calc]],tblPedidos[[#This Row],[estado_operativo]]="DEVOLUCION",tblPedidos[[#This Row],[costo_devolucion_estimado]]),0)</f>
        <v>20654.5</v>
      </c>
      <c r="V317">
        <v>0</v>
      </c>
      <c r="W317">
        <v>89900</v>
      </c>
      <c r="X317">
        <v>19245.5</v>
      </c>
      <c r="Y317">
        <v>50000</v>
      </c>
      <c r="Z317" s="11">
        <v>46043</v>
      </c>
      <c r="AA317">
        <v>1</v>
      </c>
      <c r="AB317" s="12">
        <v>0.66874999999999996</v>
      </c>
      <c r="AC317" t="s">
        <v>716</v>
      </c>
      <c r="AD317" t="s">
        <v>720</v>
      </c>
      <c r="AE317" t="s">
        <v>720</v>
      </c>
    </row>
    <row r="318" spans="1:31">
      <c r="A318" t="s">
        <v>33</v>
      </c>
      <c r="C318">
        <v>715</v>
      </c>
      <c r="D318" t="s">
        <v>1905</v>
      </c>
      <c r="E318" s="11">
        <v>46039</v>
      </c>
      <c r="F318" t="s">
        <v>1906</v>
      </c>
      <c r="G318" t="s">
        <v>45</v>
      </c>
      <c r="J318" t="s">
        <v>522</v>
      </c>
      <c r="K318" t="s">
        <v>1907</v>
      </c>
      <c r="L318" t="s">
        <v>328</v>
      </c>
      <c r="M318" t="s">
        <v>1908</v>
      </c>
      <c r="N318" t="s">
        <v>1909</v>
      </c>
      <c r="O318" t="s">
        <v>1910</v>
      </c>
      <c r="P318" s="46" t="str" cm="1">
        <f t="array" aca="1" ref="P318" ca="1">IFERROR(_xlfn.XLOOKUP(tblPedidos[[#This Row],[id_dropi]],tblNotas[[#This Row],[id__dropi]],tblNotas[[#This Row],[Notas Manuales]], “”, 0),"")</f>
        <v/>
      </c>
      <c r="Q318" t="s">
        <v>50</v>
      </c>
      <c r="R318" t="s">
        <v>1763</v>
      </c>
      <c r="S318">
        <v>20654.5</v>
      </c>
      <c r="T318">
        <v>-19245.5</v>
      </c>
      <c r="U318" cm="1">
        <f t="array" ref="U318">IFERROR(_xlfn.IFS(tblPedidos[[#This Row],[estado_operativo]]="ENTREGADO",tblPedidos[[#This Row],[ganancia_calc]],tblPedidos[[#This Row],[estado_operativo]]="DEVOLUCION",tblPedidos[[#This Row],[costo_devolucion_estimado]]),0)</f>
        <v>0</v>
      </c>
      <c r="V318">
        <v>0</v>
      </c>
      <c r="W318">
        <v>89900</v>
      </c>
      <c r="X318">
        <v>19245.5</v>
      </c>
      <c r="Y318">
        <v>50000</v>
      </c>
      <c r="Z318" s="11">
        <v>46043</v>
      </c>
      <c r="AA318">
        <v>1</v>
      </c>
      <c r="AB318" s="12">
        <v>0.42986111111111114</v>
      </c>
      <c r="AC318" t="s">
        <v>1039</v>
      </c>
      <c r="AD318" t="s">
        <v>717</v>
      </c>
      <c r="AE318" t="s">
        <v>522</v>
      </c>
    </row>
    <row r="319" spans="1:31">
      <c r="A319" t="s">
        <v>33</v>
      </c>
      <c r="C319">
        <v>717</v>
      </c>
      <c r="D319" t="s">
        <v>1911</v>
      </c>
      <c r="E319" s="11">
        <v>46039</v>
      </c>
      <c r="F319" t="s">
        <v>1912</v>
      </c>
      <c r="G319" t="s">
        <v>36</v>
      </c>
      <c r="J319" t="s">
        <v>522</v>
      </c>
      <c r="K319" t="s">
        <v>1913</v>
      </c>
      <c r="L319" t="s">
        <v>38</v>
      </c>
      <c r="M319" t="s">
        <v>39</v>
      </c>
      <c r="N319" t="s">
        <v>1914</v>
      </c>
      <c r="O319" t="s">
        <v>1915</v>
      </c>
      <c r="P319" s="46" t="str" cm="1">
        <f t="array" aca="1" ref="P319" ca="1">IFERROR(_xlfn.XLOOKUP(tblPedidos[[#This Row],[id_dropi]],tblNotas[[#This Row],[id__dropi]],tblNotas[[#This Row],[Notas Manuales]], “”, 0),"")</f>
        <v/>
      </c>
      <c r="Q319" t="s">
        <v>1916</v>
      </c>
      <c r="R319" t="s">
        <v>1763</v>
      </c>
      <c r="S319">
        <v>23336.5</v>
      </c>
      <c r="T319">
        <v>-13250.800000000001</v>
      </c>
      <c r="U319" cm="1">
        <f t="array" ref="U319">IFERROR(_xlfn.IFS(tblPedidos[[#This Row],[estado_operativo]]="ENTREGADO",tblPedidos[[#This Row],[ganancia_calc]],tblPedidos[[#This Row],[estado_operativo]]="DEVOLUCION",tblPedidos[[#This Row],[costo_devolucion_estimado]]),0)</f>
        <v>0</v>
      </c>
      <c r="V319">
        <v>0</v>
      </c>
      <c r="W319">
        <v>89900</v>
      </c>
      <c r="X319">
        <v>16563.5</v>
      </c>
      <c r="Y319">
        <v>50000</v>
      </c>
      <c r="Z319" s="11">
        <v>46041</v>
      </c>
      <c r="AA319">
        <v>3</v>
      </c>
      <c r="AB319" s="12">
        <v>0.89722222222222225</v>
      </c>
      <c r="AC319" t="s">
        <v>399</v>
      </c>
      <c r="AD319" t="s">
        <v>527</v>
      </c>
      <c r="AE319" t="s">
        <v>522</v>
      </c>
    </row>
    <row r="320" spans="1:31">
      <c r="A320" t="s">
        <v>33</v>
      </c>
      <c r="C320">
        <v>719</v>
      </c>
      <c r="D320" t="s">
        <v>1917</v>
      </c>
      <c r="E320" s="11">
        <v>46039</v>
      </c>
      <c r="F320" t="s">
        <v>1918</v>
      </c>
      <c r="G320" t="s">
        <v>45</v>
      </c>
      <c r="J320" t="s">
        <v>720</v>
      </c>
      <c r="K320" t="s">
        <v>1919</v>
      </c>
      <c r="L320" t="s">
        <v>46</v>
      </c>
      <c r="M320" t="s">
        <v>100</v>
      </c>
      <c r="N320" t="s">
        <v>1920</v>
      </c>
      <c r="O320" t="s">
        <v>1921</v>
      </c>
      <c r="P320" s="46" t="str" cm="1">
        <f t="array" aca="1" ref="P320" ca="1">IFERROR(_xlfn.XLOOKUP(tblPedidos[[#This Row],[id_dropi]],tblNotas[[#This Row],[id__dropi]],tblNotas[[#This Row],[Notas Manuales]], “”, 0),"")</f>
        <v/>
      </c>
      <c r="R320" t="s">
        <v>1719</v>
      </c>
      <c r="S320">
        <v>28104.5</v>
      </c>
      <c r="T320">
        <v>-18345.5</v>
      </c>
      <c r="U320" cm="1">
        <f t="array" ref="U320">IFERROR(_xlfn.IFS(tblPedidos[[#This Row],[estado_operativo]]="ENTREGADO",tblPedidos[[#This Row],[ganancia_calc]],tblPedidos[[#This Row],[estado_operativo]]="DEVOLUCION",tblPedidos[[#This Row],[costo_devolucion_estimado]]),0)</f>
        <v>28104.5</v>
      </c>
      <c r="V320">
        <v>0</v>
      </c>
      <c r="W320">
        <v>69900</v>
      </c>
      <c r="X320">
        <v>18345.5</v>
      </c>
      <c r="Y320">
        <v>23450</v>
      </c>
      <c r="Z320" s="11">
        <v>46043</v>
      </c>
      <c r="AA320">
        <v>1</v>
      </c>
      <c r="AB320" s="12">
        <v>0.53333333333333333</v>
      </c>
      <c r="AC320" t="s">
        <v>716</v>
      </c>
      <c r="AD320" t="s">
        <v>720</v>
      </c>
      <c r="AE320" t="s">
        <v>720</v>
      </c>
    </row>
    <row r="321" spans="1:31">
      <c r="A321" t="s">
        <v>1343</v>
      </c>
      <c r="C321">
        <v>718</v>
      </c>
      <c r="D321" t="s">
        <v>1922</v>
      </c>
      <c r="E321" s="11">
        <v>46039</v>
      </c>
      <c r="F321" t="s">
        <v>1923</v>
      </c>
      <c r="G321" t="s">
        <v>45</v>
      </c>
      <c r="J321" t="s">
        <v>720</v>
      </c>
      <c r="K321" t="s">
        <v>1924</v>
      </c>
      <c r="L321" t="s">
        <v>136</v>
      </c>
      <c r="M321" t="s">
        <v>206</v>
      </c>
      <c r="N321" t="s">
        <v>1925</v>
      </c>
      <c r="O321" t="s">
        <v>1926</v>
      </c>
      <c r="P321" s="46" t="str" cm="1">
        <f t="array" aca="1" ref="P321" ca="1">IFERROR(_xlfn.XLOOKUP(tblPedidos[[#This Row],[id_dropi]],tblNotas[[#This Row],[id__dropi]],tblNotas[[#This Row],[Notas Manuales]], “”, 0),"")</f>
        <v/>
      </c>
      <c r="R321" t="s">
        <v>1726</v>
      </c>
      <c r="S321">
        <v>17004.5</v>
      </c>
      <c r="T321">
        <v>-17895.5</v>
      </c>
      <c r="U321" cm="1">
        <f t="array" ref="U321">IFERROR(_xlfn.IFS(tblPedidos[[#This Row],[estado_operativo]]="ENTREGADO",tblPedidos[[#This Row],[ganancia_calc]],tblPedidos[[#This Row],[estado_operativo]]="DEVOLUCION",tblPedidos[[#This Row],[costo_devolucion_estimado]]),0)</f>
        <v>17004.5</v>
      </c>
      <c r="V321">
        <v>17004.5</v>
      </c>
      <c r="W321">
        <v>59900</v>
      </c>
      <c r="X321">
        <v>17895.5</v>
      </c>
      <c r="Y321">
        <v>25000</v>
      </c>
      <c r="Z321" s="11">
        <v>46042</v>
      </c>
      <c r="AA321">
        <v>2</v>
      </c>
      <c r="AB321" s="12">
        <v>0.67361111111111116</v>
      </c>
      <c r="AC321" t="s">
        <v>720</v>
      </c>
      <c r="AD321" t="s">
        <v>720</v>
      </c>
      <c r="AE321" t="s">
        <v>720</v>
      </c>
    </row>
    <row r="322" spans="1:31">
      <c r="A322" t="s">
        <v>33</v>
      </c>
      <c r="C322">
        <v>771</v>
      </c>
      <c r="D322" t="s">
        <v>1927</v>
      </c>
      <c r="E322" s="11">
        <v>46039</v>
      </c>
      <c r="F322" t="s">
        <v>1928</v>
      </c>
      <c r="G322" t="s">
        <v>36</v>
      </c>
      <c r="J322" t="s">
        <v>720</v>
      </c>
      <c r="K322" t="s">
        <v>1929</v>
      </c>
      <c r="L322" t="s">
        <v>54</v>
      </c>
      <c r="M322" t="s">
        <v>373</v>
      </c>
      <c r="N322" t="s">
        <v>1930</v>
      </c>
      <c r="O322" t="s">
        <v>1931</v>
      </c>
      <c r="P322" s="46" t="str" cm="1">
        <f t="array" aca="1" ref="P322" ca="1">IFERROR(_xlfn.XLOOKUP(tblPedidos[[#This Row],[id_dropi]],tblNotas[[#This Row],[id__dropi]],tblNotas[[#This Row],[Notas Manuales]], “”, 0),"")</f>
        <v/>
      </c>
      <c r="R322" t="s">
        <v>1763</v>
      </c>
      <c r="S322">
        <v>23336.5</v>
      </c>
      <c r="T322">
        <v>-13250.800000000001</v>
      </c>
      <c r="U322" cm="1">
        <f t="array" ref="U322">IFERROR(_xlfn.IFS(tblPedidos[[#This Row],[estado_operativo]]="ENTREGADO",tblPedidos[[#This Row],[ganancia_calc]],tblPedidos[[#This Row],[estado_operativo]]="DEVOLUCION",tblPedidos[[#This Row],[costo_devolucion_estimado]]),0)</f>
        <v>23336.5</v>
      </c>
      <c r="V322">
        <v>0</v>
      </c>
      <c r="W322">
        <v>89900</v>
      </c>
      <c r="X322">
        <v>16563.5</v>
      </c>
      <c r="Y322">
        <v>50000</v>
      </c>
      <c r="Z322" s="11">
        <v>46041</v>
      </c>
      <c r="AA322">
        <v>3</v>
      </c>
      <c r="AB322" s="12">
        <v>0.89722222222222225</v>
      </c>
      <c r="AC322" t="s">
        <v>399</v>
      </c>
      <c r="AD322" t="s">
        <v>720</v>
      </c>
      <c r="AE322" t="s">
        <v>720</v>
      </c>
    </row>
    <row r="323" spans="1:31">
      <c r="A323" t="s">
        <v>33</v>
      </c>
      <c r="C323">
        <v>770</v>
      </c>
      <c r="D323" t="s">
        <v>1932</v>
      </c>
      <c r="E323" s="11">
        <v>46039</v>
      </c>
      <c r="F323" t="s">
        <v>1933</v>
      </c>
      <c r="G323" t="s">
        <v>45</v>
      </c>
      <c r="J323" t="s">
        <v>522</v>
      </c>
      <c r="K323" t="s">
        <v>1934</v>
      </c>
      <c r="L323" t="s">
        <v>46</v>
      </c>
      <c r="M323" t="s">
        <v>100</v>
      </c>
      <c r="N323" t="s">
        <v>1935</v>
      </c>
      <c r="O323" t="s">
        <v>1936</v>
      </c>
      <c r="P323" s="46" t="str" cm="1">
        <f t="array" aca="1" ref="P323" ca="1">IFERROR(_xlfn.XLOOKUP(tblPedidos[[#This Row],[id_dropi]],tblNotas[[#This Row],[id__dropi]],tblNotas[[#This Row],[Notas Manuales]], “”, 0),"")</f>
        <v/>
      </c>
      <c r="R323" t="s">
        <v>1763</v>
      </c>
      <c r="S323">
        <v>20654.5</v>
      </c>
      <c r="T323">
        <v>-19245.5</v>
      </c>
      <c r="U323" cm="1">
        <f t="array" ref="U323">IFERROR(_xlfn.IFS(tblPedidos[[#This Row],[estado_operativo]]="ENTREGADO",tblPedidos[[#This Row],[ganancia_calc]],tblPedidos[[#This Row],[estado_operativo]]="DEVOLUCION",tblPedidos[[#This Row],[costo_devolucion_estimado]]),0)</f>
        <v>0</v>
      </c>
      <c r="V323">
        <v>0</v>
      </c>
      <c r="W323">
        <v>89900</v>
      </c>
      <c r="X323">
        <v>19245.5</v>
      </c>
      <c r="Y323">
        <v>50000</v>
      </c>
      <c r="Z323" s="11">
        <v>46043</v>
      </c>
      <c r="AA323">
        <v>1</v>
      </c>
      <c r="AB323" s="12">
        <v>0.42638888888888887</v>
      </c>
      <c r="AC323" t="s">
        <v>716</v>
      </c>
      <c r="AD323" t="s">
        <v>717</v>
      </c>
      <c r="AE323" t="s">
        <v>522</v>
      </c>
    </row>
    <row r="324" spans="1:31">
      <c r="A324" t="s">
        <v>33</v>
      </c>
      <c r="C324">
        <v>772</v>
      </c>
      <c r="D324" t="s">
        <v>1937</v>
      </c>
      <c r="E324" s="11">
        <v>46039</v>
      </c>
      <c r="F324" t="s">
        <v>1938</v>
      </c>
      <c r="G324" t="s">
        <v>36</v>
      </c>
      <c r="J324" t="s">
        <v>750</v>
      </c>
      <c r="K324" t="s">
        <v>1939</v>
      </c>
      <c r="L324" t="s">
        <v>662</v>
      </c>
      <c r="M324" t="s">
        <v>1940</v>
      </c>
      <c r="N324" t="s">
        <v>1941</v>
      </c>
      <c r="O324" t="s">
        <v>1942</v>
      </c>
      <c r="P324" s="46" t="str" cm="1">
        <f t="array" aca="1" ref="P324" ca="1">IFERROR(_xlfn.XLOOKUP(tblPedidos[[#This Row],[id_dropi]],tblNotas[[#This Row],[id__dropi]],tblNotas[[#This Row],[Notas Manuales]], “”, 0),"")</f>
        <v/>
      </c>
      <c r="R324" t="s">
        <v>1763</v>
      </c>
      <c r="S324">
        <v>23336.5</v>
      </c>
      <c r="T324">
        <v>-13250.800000000001</v>
      </c>
      <c r="U324" cm="1">
        <f t="array" ref="U324">IFERROR(_xlfn.IFS(tblPedidos[[#This Row],[estado_operativo]]="ENTREGADO",tblPedidos[[#This Row],[ganancia_calc]],tblPedidos[[#This Row],[estado_operativo]]="DEVOLUCION",tblPedidos[[#This Row],[costo_devolucion_estimado]]),0)</f>
        <v>0</v>
      </c>
      <c r="V324">
        <v>0</v>
      </c>
      <c r="W324">
        <v>89900</v>
      </c>
      <c r="X324">
        <v>16563.5</v>
      </c>
      <c r="Y324">
        <v>50000</v>
      </c>
      <c r="Z324" s="11">
        <v>46041</v>
      </c>
      <c r="AA324">
        <v>3</v>
      </c>
      <c r="AB324" s="12">
        <v>0.89722222222222225</v>
      </c>
      <c r="AC324" t="s">
        <v>399</v>
      </c>
      <c r="AD324" t="s">
        <v>1027</v>
      </c>
      <c r="AE324" t="s">
        <v>750</v>
      </c>
    </row>
    <row r="325" spans="1:31">
      <c r="A325" t="s">
        <v>33</v>
      </c>
      <c r="C325">
        <v>774</v>
      </c>
      <c r="D325" t="s">
        <v>1943</v>
      </c>
      <c r="E325" s="11">
        <v>46039</v>
      </c>
      <c r="F325" t="s">
        <v>1944</v>
      </c>
      <c r="G325" t="s">
        <v>45</v>
      </c>
      <c r="J325" t="s">
        <v>522</v>
      </c>
      <c r="K325" t="s">
        <v>1945</v>
      </c>
      <c r="L325" t="s">
        <v>54</v>
      </c>
      <c r="M325" t="s">
        <v>1946</v>
      </c>
      <c r="N325" t="s">
        <v>1947</v>
      </c>
      <c r="O325" t="s">
        <v>1948</v>
      </c>
      <c r="P325" s="46" t="str" cm="1">
        <f t="array" aca="1" ref="P325" ca="1">IFERROR(_xlfn.XLOOKUP(tblPedidos[[#This Row],[id_dropi]],tblNotas[[#This Row],[id__dropi]],tblNotas[[#This Row],[Notas Manuales]], “”, 0),"")</f>
        <v/>
      </c>
      <c r="R325" t="s">
        <v>1763</v>
      </c>
      <c r="S325">
        <v>20654.5</v>
      </c>
      <c r="T325">
        <v>-19245.5</v>
      </c>
      <c r="U325" cm="1">
        <f t="array" ref="U325">IFERROR(_xlfn.IFS(tblPedidos[[#This Row],[estado_operativo]]="ENTREGADO",tblPedidos[[#This Row],[ganancia_calc]],tblPedidos[[#This Row],[estado_operativo]]="DEVOLUCION",tblPedidos[[#This Row],[costo_devolucion_estimado]]),0)</f>
        <v>0</v>
      </c>
      <c r="V325">
        <v>0</v>
      </c>
      <c r="W325">
        <v>89900</v>
      </c>
      <c r="X325">
        <v>19245.5</v>
      </c>
      <c r="Y325">
        <v>50000</v>
      </c>
      <c r="Z325" s="11">
        <v>46043</v>
      </c>
      <c r="AA325">
        <v>1</v>
      </c>
      <c r="AB325" s="12">
        <v>0.67291666666666672</v>
      </c>
      <c r="AC325" t="s">
        <v>716</v>
      </c>
      <c r="AD325" t="s">
        <v>717</v>
      </c>
      <c r="AE325" t="s">
        <v>522</v>
      </c>
    </row>
    <row r="326" spans="1:31">
      <c r="A326" t="s">
        <v>33</v>
      </c>
      <c r="C326">
        <v>773</v>
      </c>
      <c r="D326" t="s">
        <v>1949</v>
      </c>
      <c r="E326" s="11">
        <v>46039</v>
      </c>
      <c r="F326" t="s">
        <v>1950</v>
      </c>
      <c r="G326" t="s">
        <v>36</v>
      </c>
      <c r="J326" t="s">
        <v>939</v>
      </c>
      <c r="K326" t="s">
        <v>1951</v>
      </c>
      <c r="L326" t="s">
        <v>590</v>
      </c>
      <c r="M326" t="s">
        <v>783</v>
      </c>
      <c r="N326" t="s">
        <v>1952</v>
      </c>
      <c r="O326" t="s">
        <v>1953</v>
      </c>
      <c r="P326" s="46" t="str" cm="1">
        <f t="array" aca="1" ref="P326" ca="1">IFERROR(_xlfn.XLOOKUP(tblPedidos[[#This Row],[id_dropi]],tblNotas[[#This Row],[id__dropi]],tblNotas[[#This Row],[Notas Manuales]], “”, 0),"")</f>
        <v/>
      </c>
      <c r="R326" t="s">
        <v>1763</v>
      </c>
      <c r="S326">
        <v>23336.5</v>
      </c>
      <c r="T326">
        <v>-13250.800000000001</v>
      </c>
      <c r="U326" cm="1">
        <f t="array" ref="U326">IFERROR(_xlfn.IFS(tblPedidos[[#This Row],[estado_operativo]]="ENTREGADO",tblPedidos[[#This Row],[ganancia_calc]],tblPedidos[[#This Row],[estado_operativo]]="DEVOLUCION",tblPedidos[[#This Row],[costo_devolucion_estimado]]),0)</f>
        <v>0</v>
      </c>
      <c r="V326">
        <v>0</v>
      </c>
      <c r="W326">
        <v>89900</v>
      </c>
      <c r="X326">
        <v>16563.5</v>
      </c>
      <c r="Y326">
        <v>50000</v>
      </c>
      <c r="Z326" s="11">
        <v>46041</v>
      </c>
      <c r="AA326">
        <v>3</v>
      </c>
      <c r="AB326" s="12">
        <v>0.8979166666666667</v>
      </c>
      <c r="AC326" t="s">
        <v>399</v>
      </c>
      <c r="AD326" t="s">
        <v>939</v>
      </c>
      <c r="AE326" t="s">
        <v>939</v>
      </c>
    </row>
    <row r="327" spans="1:31">
      <c r="A327" t="s">
        <v>33</v>
      </c>
      <c r="C327">
        <v>766</v>
      </c>
      <c r="D327" t="s">
        <v>1954</v>
      </c>
      <c r="E327" s="11">
        <v>46039</v>
      </c>
      <c r="F327" t="s">
        <v>1955</v>
      </c>
      <c r="G327" t="s">
        <v>45</v>
      </c>
      <c r="J327" t="s">
        <v>522</v>
      </c>
      <c r="K327" t="s">
        <v>1956</v>
      </c>
      <c r="L327" t="s">
        <v>328</v>
      </c>
      <c r="M327" t="s">
        <v>1902</v>
      </c>
      <c r="N327" t="s">
        <v>1957</v>
      </c>
      <c r="O327" t="s">
        <v>1958</v>
      </c>
      <c r="P327" s="46" t="str" cm="1">
        <f t="array" aca="1" ref="P327" ca="1">IFERROR(_xlfn.XLOOKUP(tblPedidos[[#This Row],[id_dropi]],tblNotas[[#This Row],[id__dropi]],tblNotas[[#This Row],[Notas Manuales]], “”, 0),"")</f>
        <v/>
      </c>
      <c r="Q327" t="s">
        <v>50</v>
      </c>
      <c r="R327" t="s">
        <v>1763</v>
      </c>
      <c r="S327">
        <v>20654.5</v>
      </c>
      <c r="T327">
        <v>-19245.5</v>
      </c>
      <c r="U327" cm="1">
        <f t="array" ref="U327">IFERROR(_xlfn.IFS(tblPedidos[[#This Row],[estado_operativo]]="ENTREGADO",tblPedidos[[#This Row],[ganancia_calc]],tblPedidos[[#This Row],[estado_operativo]]="DEVOLUCION",tblPedidos[[#This Row],[costo_devolucion_estimado]]),0)</f>
        <v>0</v>
      </c>
      <c r="V327">
        <v>0</v>
      </c>
      <c r="W327">
        <v>89900</v>
      </c>
      <c r="X327">
        <v>19245.5</v>
      </c>
      <c r="Y327">
        <v>50000</v>
      </c>
      <c r="Z327" s="11">
        <v>46043</v>
      </c>
      <c r="AA327">
        <v>1</v>
      </c>
      <c r="AB327" s="12">
        <v>0.50486111111111109</v>
      </c>
      <c r="AC327" t="s">
        <v>982</v>
      </c>
      <c r="AD327" t="s">
        <v>717</v>
      </c>
      <c r="AE327" t="s">
        <v>522</v>
      </c>
    </row>
    <row r="328" spans="1:31">
      <c r="A328" t="s">
        <v>33</v>
      </c>
      <c r="C328">
        <v>765</v>
      </c>
      <c r="D328" t="s">
        <v>1959</v>
      </c>
      <c r="E328" s="11">
        <v>46039</v>
      </c>
      <c r="F328" t="s">
        <v>1960</v>
      </c>
      <c r="G328" t="s">
        <v>45</v>
      </c>
      <c r="J328" t="s">
        <v>522</v>
      </c>
      <c r="K328" t="s">
        <v>1961</v>
      </c>
      <c r="L328" t="s">
        <v>105</v>
      </c>
      <c r="M328" t="s">
        <v>106</v>
      </c>
      <c r="N328" t="s">
        <v>1962</v>
      </c>
      <c r="O328" t="s">
        <v>1963</v>
      </c>
      <c r="P328" s="46" t="str" cm="1">
        <f t="array" aca="1" ref="P328" ca="1">IFERROR(_xlfn.XLOOKUP(tblPedidos[[#This Row],[id_dropi]],tblNotas[[#This Row],[id__dropi]],tblNotas[[#This Row],[Notas Manuales]], “”, 0),"")</f>
        <v/>
      </c>
      <c r="R328" t="s">
        <v>1763</v>
      </c>
      <c r="S328">
        <v>20654.5</v>
      </c>
      <c r="T328">
        <v>-19245.5</v>
      </c>
      <c r="U328" cm="1">
        <f t="array" ref="U328">IFERROR(_xlfn.IFS(tblPedidos[[#This Row],[estado_operativo]]="ENTREGADO",tblPedidos[[#This Row],[ganancia_calc]],tblPedidos[[#This Row],[estado_operativo]]="DEVOLUCION",tblPedidos[[#This Row],[costo_devolucion_estimado]]),0)</f>
        <v>0</v>
      </c>
      <c r="V328">
        <v>0</v>
      </c>
      <c r="W328">
        <v>89900</v>
      </c>
      <c r="X328">
        <v>19245.5</v>
      </c>
      <c r="Y328">
        <v>50000</v>
      </c>
      <c r="Z328" s="11">
        <v>46043</v>
      </c>
      <c r="AA328">
        <v>1</v>
      </c>
      <c r="AB328" s="12">
        <v>0.42986111111111114</v>
      </c>
      <c r="AC328" t="s">
        <v>708</v>
      </c>
      <c r="AD328" t="s">
        <v>717</v>
      </c>
      <c r="AE328" t="s">
        <v>522</v>
      </c>
    </row>
    <row r="329" spans="1:31">
      <c r="A329" t="s">
        <v>33</v>
      </c>
      <c r="C329">
        <v>767</v>
      </c>
      <c r="D329" t="s">
        <v>1964</v>
      </c>
      <c r="E329" s="11">
        <v>46039</v>
      </c>
      <c r="F329" t="s">
        <v>1965</v>
      </c>
      <c r="G329" t="s">
        <v>36</v>
      </c>
      <c r="J329" t="s">
        <v>750</v>
      </c>
      <c r="K329" t="s">
        <v>1966</v>
      </c>
      <c r="L329" t="s">
        <v>54</v>
      </c>
      <c r="M329" t="s">
        <v>224</v>
      </c>
      <c r="N329" t="s">
        <v>1967</v>
      </c>
      <c r="O329" t="s">
        <v>1968</v>
      </c>
      <c r="P329" s="46" t="str" cm="1">
        <f t="array" aca="1" ref="P329" ca="1">IFERROR(_xlfn.XLOOKUP(tblPedidos[[#This Row],[id_dropi]],tblNotas[[#This Row],[id__dropi]],tblNotas[[#This Row],[Notas Manuales]], “”, 0),"")</f>
        <v/>
      </c>
      <c r="Q329" t="s">
        <v>1969</v>
      </c>
      <c r="R329" t="s">
        <v>1726</v>
      </c>
      <c r="S329">
        <v>19686.5</v>
      </c>
      <c r="T329">
        <v>-12170.800000000001</v>
      </c>
      <c r="U329" cm="1">
        <f t="array" ref="U329">IFERROR(_xlfn.IFS(tblPedidos[[#This Row],[estado_operativo]]="ENTREGADO",tblPedidos[[#This Row],[ganancia_calc]],tblPedidos[[#This Row],[estado_operativo]]="DEVOLUCION",tblPedidos[[#This Row],[costo_devolucion_estimado]]),0)</f>
        <v>0</v>
      </c>
      <c r="V329">
        <v>0</v>
      </c>
      <c r="W329">
        <v>59900</v>
      </c>
      <c r="X329">
        <v>15213.5</v>
      </c>
      <c r="Y329">
        <v>25000</v>
      </c>
      <c r="Z329" s="11">
        <v>46041</v>
      </c>
      <c r="AA329">
        <v>3</v>
      </c>
      <c r="AB329" s="12">
        <v>0.8979166666666667</v>
      </c>
      <c r="AC329" t="s">
        <v>399</v>
      </c>
      <c r="AD329" t="s">
        <v>1027</v>
      </c>
      <c r="AE329" t="s">
        <v>750</v>
      </c>
    </row>
    <row r="330" spans="1:31">
      <c r="A330" t="s">
        <v>33</v>
      </c>
      <c r="C330">
        <v>769</v>
      </c>
      <c r="D330" t="s">
        <v>1970</v>
      </c>
      <c r="E330" s="11">
        <v>46039</v>
      </c>
      <c r="F330" t="s">
        <v>1971</v>
      </c>
      <c r="G330" t="s">
        <v>36</v>
      </c>
      <c r="J330" t="s">
        <v>939</v>
      </c>
      <c r="K330" t="s">
        <v>1972</v>
      </c>
      <c r="L330" t="s">
        <v>81</v>
      </c>
      <c r="M330" t="s">
        <v>118</v>
      </c>
      <c r="N330" t="s">
        <v>1973</v>
      </c>
      <c r="O330" t="s">
        <v>1974</v>
      </c>
      <c r="P330" s="46" t="str" cm="1">
        <f t="array" aca="1" ref="P330" ca="1">IFERROR(_xlfn.XLOOKUP(tblPedidos[[#This Row],[id_dropi]],tblNotas[[#This Row],[id__dropi]],tblNotas[[#This Row],[Notas Manuales]], “”, 0),"")</f>
        <v/>
      </c>
      <c r="R330" t="s">
        <v>1898</v>
      </c>
      <c r="S330">
        <v>29461.5</v>
      </c>
      <c r="T330">
        <v>-12350.800000000001</v>
      </c>
      <c r="U330" cm="1">
        <f t="array" ref="U330">IFERROR(_xlfn.IFS(tblPedidos[[#This Row],[estado_operativo]]="ENTREGADO",tblPedidos[[#This Row],[ganancia_calc]],tblPedidos[[#This Row],[estado_operativo]]="DEVOLUCION",tblPedidos[[#This Row],[costo_devolucion_estimado]]),0)</f>
        <v>0</v>
      </c>
      <c r="V330">
        <v>0</v>
      </c>
      <c r="W330">
        <v>64900</v>
      </c>
      <c r="X330">
        <v>15438.5</v>
      </c>
      <c r="Y330">
        <v>20000</v>
      </c>
      <c r="Z330" s="11">
        <v>46041</v>
      </c>
      <c r="AA330">
        <v>3</v>
      </c>
      <c r="AB330" s="12">
        <v>0.71319444444444446</v>
      </c>
      <c r="AC330" t="s">
        <v>399</v>
      </c>
      <c r="AD330" t="s">
        <v>939</v>
      </c>
      <c r="AE330" t="s">
        <v>939</v>
      </c>
    </row>
    <row r="331" spans="1:31">
      <c r="A331" t="s">
        <v>33</v>
      </c>
      <c r="C331">
        <v>768</v>
      </c>
      <c r="D331" t="s">
        <v>1975</v>
      </c>
      <c r="E331" s="11">
        <v>46039</v>
      </c>
      <c r="F331" t="s">
        <v>1976</v>
      </c>
      <c r="G331" t="s">
        <v>45</v>
      </c>
      <c r="J331" t="s">
        <v>386</v>
      </c>
      <c r="K331" t="s">
        <v>1977</v>
      </c>
      <c r="L331" t="s">
        <v>125</v>
      </c>
      <c r="M331" t="s">
        <v>306</v>
      </c>
      <c r="N331" t="s">
        <v>1978</v>
      </c>
      <c r="O331" t="s">
        <v>1979</v>
      </c>
      <c r="P331" s="46" t="str" cm="1">
        <f t="array" aca="1" ref="P331" ca="1">IFERROR(_xlfn.XLOOKUP(tblPedidos[[#This Row],[id_dropi]],tblNotas[[#This Row],[id__dropi]],tblNotas[[#This Row],[Notas Manuales]], “”, 0),"")</f>
        <v/>
      </c>
      <c r="R331" t="s">
        <v>1763</v>
      </c>
      <c r="S331">
        <v>20654.5</v>
      </c>
      <c r="T331">
        <v>-19245.5</v>
      </c>
      <c r="U331" cm="1">
        <f t="array" ref="U331">IFERROR(_xlfn.IFS(tblPedidos[[#This Row],[estado_operativo]]="ENTREGADO",tblPedidos[[#This Row],[ganancia_calc]],tblPedidos[[#This Row],[estado_operativo]]="DEVOLUCION",tblPedidos[[#This Row],[costo_devolucion_estimado]]),0)</f>
        <v>0</v>
      </c>
      <c r="V331">
        <v>0</v>
      </c>
      <c r="W331">
        <v>89900</v>
      </c>
      <c r="X331">
        <v>19245.5</v>
      </c>
      <c r="Y331">
        <v>50000</v>
      </c>
      <c r="Z331" s="11">
        <v>46043</v>
      </c>
      <c r="AA331">
        <v>1</v>
      </c>
      <c r="AB331" s="12">
        <v>0.50694444444444442</v>
      </c>
      <c r="AC331" t="s">
        <v>708</v>
      </c>
      <c r="AD331" t="s">
        <v>709</v>
      </c>
      <c r="AE331" t="s">
        <v>386</v>
      </c>
    </row>
    <row r="332" spans="1:31">
      <c r="A332" t="s">
        <v>33</v>
      </c>
      <c r="C332">
        <v>781</v>
      </c>
      <c r="D332" t="s">
        <v>1980</v>
      </c>
      <c r="E332" s="11">
        <v>46039</v>
      </c>
      <c r="F332" t="s">
        <v>1981</v>
      </c>
      <c r="G332" t="s">
        <v>36</v>
      </c>
      <c r="J332" t="s">
        <v>522</v>
      </c>
      <c r="K332" t="s">
        <v>1982</v>
      </c>
      <c r="L332" t="s">
        <v>38</v>
      </c>
      <c r="M332" t="s">
        <v>1983</v>
      </c>
      <c r="N332" t="s">
        <v>1984</v>
      </c>
      <c r="O332" t="s">
        <v>1985</v>
      </c>
      <c r="P332" s="46" t="str" cm="1">
        <f t="array" aca="1" ref="P332" ca="1">IFERROR(_xlfn.XLOOKUP(tblPedidos[[#This Row],[id_dropi]],tblNotas[[#This Row],[id__dropi]],tblNotas[[#This Row],[Notas Manuales]], “”, 0),"")</f>
        <v/>
      </c>
      <c r="R332" t="s">
        <v>1726</v>
      </c>
      <c r="S332">
        <v>19686.5</v>
      </c>
      <c r="T332">
        <v>-12170.800000000001</v>
      </c>
      <c r="U332" cm="1">
        <f t="array" ref="U332">IFERROR(_xlfn.IFS(tblPedidos[[#This Row],[estado_operativo]]="ENTREGADO",tblPedidos[[#This Row],[ganancia_calc]],tblPedidos[[#This Row],[estado_operativo]]="DEVOLUCION",tblPedidos[[#This Row],[costo_devolucion_estimado]]),0)</f>
        <v>0</v>
      </c>
      <c r="V332">
        <v>0</v>
      </c>
      <c r="W332">
        <v>59900</v>
      </c>
      <c r="X332">
        <v>15213.5</v>
      </c>
      <c r="Y332">
        <v>25000</v>
      </c>
      <c r="Z332" s="11">
        <v>46041</v>
      </c>
      <c r="AA332">
        <v>3</v>
      </c>
      <c r="AB332" s="12">
        <v>0.8979166666666667</v>
      </c>
      <c r="AC332" t="s">
        <v>399</v>
      </c>
      <c r="AD332" t="s">
        <v>527</v>
      </c>
      <c r="AE332" t="s">
        <v>522</v>
      </c>
    </row>
    <row r="333" spans="1:31">
      <c r="A333" t="s">
        <v>33</v>
      </c>
      <c r="C333">
        <v>780</v>
      </c>
      <c r="D333" t="s">
        <v>1986</v>
      </c>
      <c r="E333" s="11">
        <v>46039</v>
      </c>
      <c r="F333" t="s">
        <v>1987</v>
      </c>
      <c r="G333" t="s">
        <v>36</v>
      </c>
      <c r="J333" t="s">
        <v>522</v>
      </c>
      <c r="K333" t="s">
        <v>1988</v>
      </c>
      <c r="L333" t="s">
        <v>662</v>
      </c>
      <c r="M333" t="s">
        <v>1989</v>
      </c>
      <c r="N333" t="s">
        <v>1990</v>
      </c>
      <c r="O333" t="s">
        <v>1991</v>
      </c>
      <c r="P333" s="46" t="str" cm="1">
        <f t="array" aca="1" ref="P333" ca="1">IFERROR(_xlfn.XLOOKUP(tblPedidos[[#This Row],[id_dropi]],tblNotas[[#This Row],[id__dropi]],tblNotas[[#This Row],[Notas Manuales]], “”, 0),"")</f>
        <v/>
      </c>
      <c r="R333" t="s">
        <v>1719</v>
      </c>
      <c r="S333">
        <v>30786.5</v>
      </c>
      <c r="T333">
        <v>-12530.800000000001</v>
      </c>
      <c r="U333" cm="1">
        <f t="array" ref="U333">IFERROR(_xlfn.IFS(tblPedidos[[#This Row],[estado_operativo]]="ENTREGADO",tblPedidos[[#This Row],[ganancia_calc]],tblPedidos[[#This Row],[estado_operativo]]="DEVOLUCION",tblPedidos[[#This Row],[costo_devolucion_estimado]]),0)</f>
        <v>0</v>
      </c>
      <c r="V333">
        <v>0</v>
      </c>
      <c r="W333">
        <v>69900</v>
      </c>
      <c r="X333">
        <v>15663.5</v>
      </c>
      <c r="Y333">
        <v>23450</v>
      </c>
      <c r="Z333" s="11">
        <v>46041</v>
      </c>
      <c r="AA333">
        <v>3</v>
      </c>
      <c r="AB333" s="12">
        <v>0.84791666666666665</v>
      </c>
      <c r="AC333" t="s">
        <v>399</v>
      </c>
      <c r="AD333" t="s">
        <v>527</v>
      </c>
      <c r="AE333" t="s">
        <v>522</v>
      </c>
    </row>
    <row r="334" spans="1:31">
      <c r="A334" t="s">
        <v>33</v>
      </c>
      <c r="C334">
        <v>782</v>
      </c>
      <c r="D334" t="s">
        <v>1992</v>
      </c>
      <c r="E334" s="11">
        <v>46039</v>
      </c>
      <c r="F334" t="s">
        <v>1993</v>
      </c>
      <c r="G334" t="s">
        <v>45</v>
      </c>
      <c r="J334" t="s">
        <v>386</v>
      </c>
      <c r="K334" t="s">
        <v>1994</v>
      </c>
      <c r="L334" t="s">
        <v>54</v>
      </c>
      <c r="M334" t="s">
        <v>1995</v>
      </c>
      <c r="N334" t="s">
        <v>1996</v>
      </c>
      <c r="O334" t="s">
        <v>1997</v>
      </c>
      <c r="P334" s="46" t="str" cm="1">
        <f t="array" aca="1" ref="P334" ca="1">IFERROR(_xlfn.XLOOKUP(tblPedidos[[#This Row],[id_dropi]],tblNotas[[#This Row],[id__dropi]],tblNotas[[#This Row],[Notas Manuales]], “”, 0),"")</f>
        <v/>
      </c>
      <c r="R334" t="s">
        <v>1719</v>
      </c>
      <c r="S334">
        <v>28104.5</v>
      </c>
      <c r="T334">
        <v>-18345.5</v>
      </c>
      <c r="U334" cm="1">
        <f t="array" ref="U334">IFERROR(_xlfn.IFS(tblPedidos[[#This Row],[estado_operativo]]="ENTREGADO",tblPedidos[[#This Row],[ganancia_calc]],tblPedidos[[#This Row],[estado_operativo]]="DEVOLUCION",tblPedidos[[#This Row],[costo_devolucion_estimado]]),0)</f>
        <v>0</v>
      </c>
      <c r="V334">
        <v>0</v>
      </c>
      <c r="W334">
        <v>69900</v>
      </c>
      <c r="X334">
        <v>18345.5</v>
      </c>
      <c r="Y334">
        <v>23450</v>
      </c>
      <c r="Z334" s="11">
        <v>46043</v>
      </c>
      <c r="AA334">
        <v>1</v>
      </c>
      <c r="AB334" s="12">
        <v>0.5083333333333333</v>
      </c>
      <c r="AC334" t="s">
        <v>1039</v>
      </c>
      <c r="AD334" t="s">
        <v>709</v>
      </c>
      <c r="AE334" t="s">
        <v>386</v>
      </c>
    </row>
    <row r="335" spans="1:31">
      <c r="A335" t="s">
        <v>33</v>
      </c>
      <c r="C335">
        <v>784</v>
      </c>
      <c r="D335" t="s">
        <v>1998</v>
      </c>
      <c r="E335" s="11">
        <v>46039</v>
      </c>
      <c r="F335" t="s">
        <v>1999</v>
      </c>
      <c r="G335" t="s">
        <v>45</v>
      </c>
      <c r="J335" t="s">
        <v>720</v>
      </c>
      <c r="K335" t="s">
        <v>2000</v>
      </c>
      <c r="L335" t="s">
        <v>54</v>
      </c>
      <c r="M335" t="s">
        <v>650</v>
      </c>
      <c r="N335" t="s">
        <v>2001</v>
      </c>
      <c r="O335" t="s">
        <v>2002</v>
      </c>
      <c r="P335" s="46" t="str" cm="1">
        <f t="array" aca="1" ref="P335" ca="1">IFERROR(_xlfn.XLOOKUP(tblPedidos[[#This Row],[id_dropi]],tblNotas[[#This Row],[id__dropi]],tblNotas[[#This Row],[Notas Manuales]], “”, 0),"")</f>
        <v/>
      </c>
      <c r="R335" t="s">
        <v>2003</v>
      </c>
      <c r="S335">
        <v>12229.5</v>
      </c>
      <c r="T335">
        <v>-17670.5</v>
      </c>
      <c r="U335" cm="1">
        <f t="array" ref="U335">IFERROR(_xlfn.IFS(tblPedidos[[#This Row],[estado_operativo]]="ENTREGADO",tblPedidos[[#This Row],[ganancia_calc]],tblPedidos[[#This Row],[estado_operativo]]="DEVOLUCION",tblPedidos[[#This Row],[costo_devolucion_estimado]]),0)</f>
        <v>12229.5</v>
      </c>
      <c r="V335">
        <v>0</v>
      </c>
      <c r="W335">
        <v>54900</v>
      </c>
      <c r="X335">
        <v>17670.5</v>
      </c>
      <c r="Y335">
        <v>25000</v>
      </c>
      <c r="Z335" s="11">
        <v>46043</v>
      </c>
      <c r="AA335">
        <v>1</v>
      </c>
      <c r="AB335" s="12">
        <v>0.42777777777777776</v>
      </c>
      <c r="AC335" t="s">
        <v>716</v>
      </c>
      <c r="AD335" t="s">
        <v>720</v>
      </c>
      <c r="AE335" t="s">
        <v>720</v>
      </c>
    </row>
    <row r="336" spans="1:31">
      <c r="A336" t="s">
        <v>33</v>
      </c>
      <c r="C336">
        <v>783</v>
      </c>
      <c r="D336" t="s">
        <v>2004</v>
      </c>
      <c r="E336" s="11">
        <v>46039</v>
      </c>
      <c r="F336" t="s">
        <v>2005</v>
      </c>
      <c r="G336" t="s">
        <v>45</v>
      </c>
      <c r="J336" t="s">
        <v>522</v>
      </c>
      <c r="K336" t="s">
        <v>2006</v>
      </c>
      <c r="L336" t="s">
        <v>74</v>
      </c>
      <c r="M336" t="s">
        <v>1723</v>
      </c>
      <c r="N336" t="s">
        <v>2007</v>
      </c>
      <c r="O336" t="s">
        <v>2008</v>
      </c>
      <c r="P336" s="46" t="str" cm="1">
        <f t="array" aca="1" ref="P336" ca="1">IFERROR(_xlfn.XLOOKUP(tblPedidos[[#This Row],[id_dropi]],tblNotas[[#This Row],[id__dropi]],tblNotas[[#This Row],[Notas Manuales]], “”, 0),"")</f>
        <v/>
      </c>
      <c r="R336" t="s">
        <v>2009</v>
      </c>
      <c r="S336">
        <v>22054.5</v>
      </c>
      <c r="T336">
        <v>-17895.5</v>
      </c>
      <c r="U336" cm="1">
        <f t="array" ref="U336">IFERROR(_xlfn.IFS(tblPedidos[[#This Row],[estado_operativo]]="ENTREGADO",tblPedidos[[#This Row],[ganancia_calc]],tblPedidos[[#This Row],[estado_operativo]]="DEVOLUCION",tblPedidos[[#This Row],[costo_devolucion_estimado]]),0)</f>
        <v>0</v>
      </c>
      <c r="V336">
        <v>0</v>
      </c>
      <c r="W336">
        <v>59900</v>
      </c>
      <c r="X336">
        <v>17895.5</v>
      </c>
      <c r="Y336">
        <v>19950</v>
      </c>
      <c r="Z336" s="11">
        <v>46043</v>
      </c>
      <c r="AA336">
        <v>1</v>
      </c>
      <c r="AB336" s="12">
        <v>0.67152777777777772</v>
      </c>
      <c r="AC336" t="s">
        <v>756</v>
      </c>
      <c r="AD336" t="s">
        <v>717</v>
      </c>
      <c r="AE336" t="s">
        <v>522</v>
      </c>
    </row>
    <row r="337" spans="1:31">
      <c r="A337" t="s">
        <v>33</v>
      </c>
      <c r="C337">
        <v>776</v>
      </c>
      <c r="D337" t="s">
        <v>2010</v>
      </c>
      <c r="E337" s="11">
        <v>46039</v>
      </c>
      <c r="F337" t="s">
        <v>2011</v>
      </c>
      <c r="G337" t="s">
        <v>36</v>
      </c>
      <c r="J337" t="s">
        <v>522</v>
      </c>
      <c r="K337" t="s">
        <v>2012</v>
      </c>
      <c r="L337" t="s">
        <v>662</v>
      </c>
      <c r="M337" t="s">
        <v>663</v>
      </c>
      <c r="N337" t="s">
        <v>2013</v>
      </c>
      <c r="O337" t="s">
        <v>2014</v>
      </c>
      <c r="P337" s="46" t="str" cm="1">
        <f t="array" aca="1" ref="P337" ca="1">IFERROR(_xlfn.XLOOKUP(tblPedidos[[#This Row],[id_dropi]],tblNotas[[#This Row],[id__dropi]],tblNotas[[#This Row],[Notas Manuales]], “”, 0),"")</f>
        <v/>
      </c>
      <c r="R337" t="s">
        <v>2009</v>
      </c>
      <c r="S337">
        <v>24736.5</v>
      </c>
      <c r="T337">
        <v>-12170.800000000001</v>
      </c>
      <c r="U337" cm="1">
        <f t="array" ref="U337">IFERROR(_xlfn.IFS(tblPedidos[[#This Row],[estado_operativo]]="ENTREGADO",tblPedidos[[#This Row],[ganancia_calc]],tblPedidos[[#This Row],[estado_operativo]]="DEVOLUCION",tblPedidos[[#This Row],[costo_devolucion_estimado]]),0)</f>
        <v>0</v>
      </c>
      <c r="V337">
        <v>0</v>
      </c>
      <c r="W337">
        <v>59900</v>
      </c>
      <c r="X337">
        <v>15213.5</v>
      </c>
      <c r="Y337">
        <v>19950</v>
      </c>
      <c r="Z337" s="11">
        <v>46041</v>
      </c>
      <c r="AA337">
        <v>3</v>
      </c>
      <c r="AB337" s="12">
        <v>0.84791666666666665</v>
      </c>
      <c r="AC337" t="s">
        <v>399</v>
      </c>
      <c r="AD337" t="s">
        <v>527</v>
      </c>
      <c r="AE337" t="s">
        <v>522</v>
      </c>
    </row>
    <row r="338" spans="1:31">
      <c r="A338" t="s">
        <v>33</v>
      </c>
      <c r="C338">
        <v>775</v>
      </c>
      <c r="D338" t="s">
        <v>2015</v>
      </c>
      <c r="E338" s="11">
        <v>46039</v>
      </c>
      <c r="F338" t="s">
        <v>2016</v>
      </c>
      <c r="G338" t="s">
        <v>45</v>
      </c>
      <c r="J338" t="s">
        <v>386</v>
      </c>
      <c r="K338" t="s">
        <v>2017</v>
      </c>
      <c r="L338" t="s">
        <v>81</v>
      </c>
      <c r="M338" t="s">
        <v>2018</v>
      </c>
      <c r="N338" t="s">
        <v>2019</v>
      </c>
      <c r="O338" t="s">
        <v>2020</v>
      </c>
      <c r="P338" s="46" t="str" cm="1">
        <f t="array" aca="1" ref="P338" ca="1">IFERROR(_xlfn.XLOOKUP(tblPedidos[[#This Row],[id_dropi]],tblNotas[[#This Row],[id__dropi]],tblNotas[[#This Row],[Notas Manuales]], “”, 0),"")</f>
        <v/>
      </c>
      <c r="Q338" t="s">
        <v>50</v>
      </c>
      <c r="R338" t="s">
        <v>1719</v>
      </c>
      <c r="S338">
        <v>23329.5</v>
      </c>
      <c r="T338">
        <v>-18120.5</v>
      </c>
      <c r="U338" cm="1">
        <f t="array" ref="U338">IFERROR(_xlfn.IFS(tblPedidos[[#This Row],[estado_operativo]]="ENTREGADO",tblPedidos[[#This Row],[ganancia_calc]],tblPedidos[[#This Row],[estado_operativo]]="DEVOLUCION",tblPedidos[[#This Row],[costo_devolucion_estimado]]),0)</f>
        <v>0</v>
      </c>
      <c r="V338">
        <v>0</v>
      </c>
      <c r="W338">
        <v>64900</v>
      </c>
      <c r="X338">
        <v>18120.5</v>
      </c>
      <c r="Y338">
        <v>23450</v>
      </c>
      <c r="Z338" s="11">
        <v>46043</v>
      </c>
      <c r="AA338">
        <v>1</v>
      </c>
      <c r="AB338" s="12">
        <v>0.43055555555555558</v>
      </c>
      <c r="AC338" t="s">
        <v>1039</v>
      </c>
      <c r="AD338" t="s">
        <v>709</v>
      </c>
      <c r="AE338" t="s">
        <v>386</v>
      </c>
    </row>
    <row r="339" spans="1:31">
      <c r="A339" t="s">
        <v>1343</v>
      </c>
      <c r="C339">
        <v>777</v>
      </c>
      <c r="D339" t="s">
        <v>2021</v>
      </c>
      <c r="E339" s="11">
        <v>46039</v>
      </c>
      <c r="F339" t="s">
        <v>2022</v>
      </c>
      <c r="G339" t="s">
        <v>36</v>
      </c>
      <c r="J339" t="s">
        <v>720</v>
      </c>
      <c r="K339" t="s">
        <v>2023</v>
      </c>
      <c r="L339" t="s">
        <v>81</v>
      </c>
      <c r="M339" t="s">
        <v>2024</v>
      </c>
      <c r="N339" t="s">
        <v>2025</v>
      </c>
      <c r="O339" t="s">
        <v>2026</v>
      </c>
      <c r="P339" s="46" t="str" cm="1">
        <f t="array" aca="1" ref="P339" ca="1">IFERROR(_xlfn.XLOOKUP(tblPedidos[[#This Row],[id_dropi]],tblNotas[[#This Row],[id__dropi]],tblNotas[[#This Row],[Notas Manuales]], “”, 0),"")</f>
        <v/>
      </c>
      <c r="R339" t="s">
        <v>1719</v>
      </c>
      <c r="S339">
        <v>32946.5</v>
      </c>
      <c r="T339">
        <v>-10802.800000000001</v>
      </c>
      <c r="U339" cm="1">
        <f t="array" ref="U339">IFERROR(_xlfn.IFS(tblPedidos[[#This Row],[estado_operativo]]="ENTREGADO",tblPedidos[[#This Row],[ganancia_calc]],tblPedidos[[#This Row],[estado_operativo]]="DEVOLUCION",tblPedidos[[#This Row],[costo_devolucion_estimado]]),0)</f>
        <v>32946.5</v>
      </c>
      <c r="V339">
        <v>32946.5</v>
      </c>
      <c r="W339">
        <v>69900</v>
      </c>
      <c r="X339">
        <v>13503.5</v>
      </c>
      <c r="Y339">
        <v>23450</v>
      </c>
      <c r="Z339" s="11">
        <v>46041</v>
      </c>
      <c r="AA339">
        <v>3</v>
      </c>
      <c r="AB339" s="12">
        <v>0.84791666666666665</v>
      </c>
      <c r="AC339" t="s">
        <v>399</v>
      </c>
      <c r="AD339" t="s">
        <v>720</v>
      </c>
      <c r="AE339" t="s">
        <v>720</v>
      </c>
    </row>
    <row r="340" spans="1:31">
      <c r="A340" t="s">
        <v>33</v>
      </c>
      <c r="C340">
        <v>779</v>
      </c>
      <c r="D340" t="s">
        <v>2027</v>
      </c>
      <c r="E340" s="11">
        <v>46039</v>
      </c>
      <c r="F340" t="s">
        <v>2028</v>
      </c>
      <c r="G340" t="s">
        <v>36</v>
      </c>
      <c r="J340" t="s">
        <v>959</v>
      </c>
      <c r="K340" t="s">
        <v>2029</v>
      </c>
      <c r="L340" t="s">
        <v>81</v>
      </c>
      <c r="M340" t="s">
        <v>118</v>
      </c>
      <c r="N340" t="s">
        <v>2030</v>
      </c>
      <c r="O340" t="s">
        <v>2031</v>
      </c>
      <c r="P340" s="46" t="str" cm="1">
        <f t="array" aca="1" ref="P340" ca="1">IFERROR(_xlfn.XLOOKUP(tblPedidos[[#This Row],[id_dropi]],tblNotas[[#This Row],[id__dropi]],tblNotas[[#This Row],[Notas Manuales]], “”, 0),"")</f>
        <v/>
      </c>
      <c r="Q340" t="s">
        <v>2032</v>
      </c>
      <c r="R340" t="s">
        <v>2033</v>
      </c>
      <c r="S340">
        <v>10911.5</v>
      </c>
      <c r="T340">
        <v>-11990.800000000001</v>
      </c>
      <c r="U340" cm="1">
        <f t="array" ref="U340">IFERROR(_xlfn.IFS(tblPedidos[[#This Row],[estado_operativo]]="ENTREGADO",tblPedidos[[#This Row],[ganancia_calc]],tblPedidos[[#This Row],[estado_operativo]]="DEVOLUCION",tblPedidos[[#This Row],[costo_devolucion_estimado]]),0)</f>
        <v>0</v>
      </c>
      <c r="V340">
        <v>0</v>
      </c>
      <c r="W340">
        <v>54900</v>
      </c>
      <c r="X340">
        <v>14988.5</v>
      </c>
      <c r="Y340">
        <v>29000</v>
      </c>
      <c r="Z340" s="11">
        <v>46041</v>
      </c>
      <c r="AA340">
        <v>3</v>
      </c>
      <c r="AB340" s="12">
        <v>0.69444444444444442</v>
      </c>
      <c r="AC340" t="s">
        <v>788</v>
      </c>
      <c r="AD340" t="s">
        <v>1103</v>
      </c>
      <c r="AE340" t="s">
        <v>959</v>
      </c>
    </row>
    <row r="341" spans="1:31">
      <c r="A341" t="s">
        <v>33</v>
      </c>
      <c r="C341">
        <v>778</v>
      </c>
      <c r="D341" t="s">
        <v>2034</v>
      </c>
      <c r="E341" s="11">
        <v>46039</v>
      </c>
      <c r="F341" t="s">
        <v>2035</v>
      </c>
      <c r="G341" t="s">
        <v>45</v>
      </c>
      <c r="J341" t="s">
        <v>386</v>
      </c>
      <c r="K341" t="s">
        <v>2036</v>
      </c>
      <c r="L341" t="s">
        <v>545</v>
      </c>
      <c r="M341" t="s">
        <v>2037</v>
      </c>
      <c r="N341" t="s">
        <v>2038</v>
      </c>
      <c r="O341" t="s">
        <v>2039</v>
      </c>
      <c r="P341" s="46" t="str" cm="1">
        <f t="array" aca="1" ref="P341" ca="1">IFERROR(_xlfn.XLOOKUP(tblPedidos[[#This Row],[id_dropi]],tblNotas[[#This Row],[id__dropi]],tblNotas[[#This Row],[Notas Manuales]], “”, 0),"")</f>
        <v/>
      </c>
      <c r="Q341" t="s">
        <v>50</v>
      </c>
      <c r="R341" t="s">
        <v>2009</v>
      </c>
      <c r="S341">
        <v>22054.5</v>
      </c>
      <c r="T341">
        <v>-17895.5</v>
      </c>
      <c r="U341" cm="1">
        <f t="array" ref="U341">IFERROR(_xlfn.IFS(tblPedidos[[#This Row],[estado_operativo]]="ENTREGADO",tblPedidos[[#This Row],[ganancia_calc]],tblPedidos[[#This Row],[estado_operativo]]="DEVOLUCION",tblPedidos[[#This Row],[costo_devolucion_estimado]]),0)</f>
        <v>0</v>
      </c>
      <c r="V341">
        <v>0</v>
      </c>
      <c r="W341">
        <v>59900</v>
      </c>
      <c r="X341">
        <v>17895.5</v>
      </c>
      <c r="Y341">
        <v>19950</v>
      </c>
      <c r="Z341" s="11">
        <v>46043</v>
      </c>
      <c r="AA341">
        <v>1</v>
      </c>
      <c r="AB341" s="12">
        <v>0.50902777777777775</v>
      </c>
      <c r="AC341" t="s">
        <v>1039</v>
      </c>
      <c r="AD341" t="s">
        <v>709</v>
      </c>
      <c r="AE341" t="s">
        <v>386</v>
      </c>
    </row>
    <row r="342" spans="1:31">
      <c r="A342" t="s">
        <v>33</v>
      </c>
      <c r="C342">
        <v>751</v>
      </c>
      <c r="D342" t="s">
        <v>2040</v>
      </c>
      <c r="E342" s="11">
        <v>46039</v>
      </c>
      <c r="F342" t="s">
        <v>2041</v>
      </c>
      <c r="G342" t="s">
        <v>45</v>
      </c>
      <c r="J342" t="s">
        <v>386</v>
      </c>
      <c r="K342" t="s">
        <v>2042</v>
      </c>
      <c r="L342" t="s">
        <v>74</v>
      </c>
      <c r="M342" t="s">
        <v>1555</v>
      </c>
      <c r="N342" t="s">
        <v>2043</v>
      </c>
      <c r="O342" t="s">
        <v>2044</v>
      </c>
      <c r="P342" s="46" t="str" cm="1">
        <f t="array" aca="1" ref="P342" ca="1">IFERROR(_xlfn.XLOOKUP(tblPedidos[[#This Row],[id_dropi]],tblNotas[[#This Row],[id__dropi]],tblNotas[[#This Row],[Notas Manuales]], “”, 0),"")</f>
        <v/>
      </c>
      <c r="R342" t="s">
        <v>1719</v>
      </c>
      <c r="S342">
        <v>23329.5</v>
      </c>
      <c r="T342">
        <v>-18120.5</v>
      </c>
      <c r="U342" cm="1">
        <f t="array" ref="U342">IFERROR(_xlfn.IFS(tblPedidos[[#This Row],[estado_operativo]]="ENTREGADO",tblPedidos[[#This Row],[ganancia_calc]],tblPedidos[[#This Row],[estado_operativo]]="DEVOLUCION",tblPedidos[[#This Row],[costo_devolucion_estimado]]),0)</f>
        <v>0</v>
      </c>
      <c r="V342">
        <v>0</v>
      </c>
      <c r="W342">
        <v>64900</v>
      </c>
      <c r="X342">
        <v>18120.5</v>
      </c>
      <c r="Y342">
        <v>23450</v>
      </c>
      <c r="Z342" s="11">
        <v>46043</v>
      </c>
      <c r="AA342">
        <v>1</v>
      </c>
      <c r="AB342" s="12">
        <v>0.50486111111111109</v>
      </c>
      <c r="AC342" t="s">
        <v>708</v>
      </c>
      <c r="AD342" t="s">
        <v>709</v>
      </c>
      <c r="AE342" t="s">
        <v>386</v>
      </c>
    </row>
    <row r="343" spans="1:31">
      <c r="A343" t="s">
        <v>1343</v>
      </c>
      <c r="C343">
        <v>750</v>
      </c>
      <c r="D343" t="s">
        <v>2045</v>
      </c>
      <c r="E343" s="11">
        <v>46039</v>
      </c>
      <c r="F343" t="s">
        <v>2046</v>
      </c>
      <c r="G343" t="s">
        <v>36</v>
      </c>
      <c r="J343" t="s">
        <v>720</v>
      </c>
      <c r="K343" t="s">
        <v>2047</v>
      </c>
      <c r="L343" t="s">
        <v>81</v>
      </c>
      <c r="M343" t="s">
        <v>914</v>
      </c>
      <c r="N343" t="s">
        <v>2048</v>
      </c>
      <c r="O343" t="s">
        <v>2049</v>
      </c>
      <c r="P343" s="46" t="str" cm="1">
        <f t="array" aca="1" ref="P343" ca="1">IFERROR(_xlfn.XLOOKUP(tblPedidos[[#This Row],[id_dropi]],tblNotas[[#This Row],[id__dropi]],tblNotas[[#This Row],[Notas Manuales]], “”, 0),"")</f>
        <v/>
      </c>
      <c r="R343" t="s">
        <v>2009</v>
      </c>
      <c r="S343">
        <v>28192.5</v>
      </c>
      <c r="T343">
        <v>-9406</v>
      </c>
      <c r="U343" cm="1">
        <f t="array" ref="U343">IFERROR(_xlfn.IFS(tblPedidos[[#This Row],[estado_operativo]]="ENTREGADO",tblPedidos[[#This Row],[ganancia_calc]],tblPedidos[[#This Row],[estado_operativo]]="DEVOLUCION",tblPedidos[[#This Row],[costo_devolucion_estimado]]),0)</f>
        <v>28192.5</v>
      </c>
      <c r="V343">
        <v>28192.5</v>
      </c>
      <c r="W343">
        <v>59900</v>
      </c>
      <c r="X343">
        <v>11757.5</v>
      </c>
      <c r="Y343">
        <v>19950</v>
      </c>
      <c r="Z343" s="11">
        <v>46041</v>
      </c>
      <c r="AA343">
        <v>3</v>
      </c>
      <c r="AB343" s="12">
        <v>0.84861111111111109</v>
      </c>
      <c r="AC343" t="s">
        <v>399</v>
      </c>
      <c r="AD343" t="s">
        <v>720</v>
      </c>
      <c r="AE343" t="s">
        <v>720</v>
      </c>
    </row>
    <row r="344" spans="1:31">
      <c r="A344" t="s">
        <v>1343</v>
      </c>
      <c r="C344">
        <v>752</v>
      </c>
      <c r="D344" t="s">
        <v>2050</v>
      </c>
      <c r="E344" s="11">
        <v>46039</v>
      </c>
      <c r="F344" t="s">
        <v>2051</v>
      </c>
      <c r="G344" t="s">
        <v>45</v>
      </c>
      <c r="J344" t="s">
        <v>720</v>
      </c>
      <c r="K344" t="s">
        <v>2052</v>
      </c>
      <c r="L344" t="s">
        <v>159</v>
      </c>
      <c r="M344" t="s">
        <v>2053</v>
      </c>
      <c r="N344" t="s">
        <v>2054</v>
      </c>
      <c r="O344" t="s">
        <v>2055</v>
      </c>
      <c r="P344" s="46" t="str" cm="1">
        <f t="array" aca="1" ref="P344" ca="1">IFERROR(_xlfn.XLOOKUP(tblPedidos[[#This Row],[id_dropi]],tblNotas[[#This Row],[id__dropi]],tblNotas[[#This Row],[Notas Manuales]], “”, 0),"")</f>
        <v/>
      </c>
      <c r="R344" t="s">
        <v>2003</v>
      </c>
      <c r="S344">
        <v>17004.5</v>
      </c>
      <c r="T344">
        <v>-17895.5</v>
      </c>
      <c r="U344" cm="1">
        <f t="array" ref="U344">IFERROR(_xlfn.IFS(tblPedidos[[#This Row],[estado_operativo]]="ENTREGADO",tblPedidos[[#This Row],[ganancia_calc]],tblPedidos[[#This Row],[estado_operativo]]="DEVOLUCION",tblPedidos[[#This Row],[costo_devolucion_estimado]]),0)</f>
        <v>17004.5</v>
      </c>
      <c r="V344">
        <v>17004.5</v>
      </c>
      <c r="W344">
        <v>59900</v>
      </c>
      <c r="X344">
        <v>17895.5</v>
      </c>
      <c r="Y344">
        <v>25000</v>
      </c>
      <c r="Z344" s="11">
        <v>46043</v>
      </c>
      <c r="AA344">
        <v>1</v>
      </c>
      <c r="AB344" s="12">
        <v>0.46736111111111112</v>
      </c>
      <c r="AC344" t="s">
        <v>2056</v>
      </c>
      <c r="AD344" t="s">
        <v>720</v>
      </c>
      <c r="AE344" t="s">
        <v>720</v>
      </c>
    </row>
    <row r="345" spans="1:31">
      <c r="A345" t="s">
        <v>33</v>
      </c>
      <c r="C345">
        <v>754</v>
      </c>
      <c r="D345" t="s">
        <v>2057</v>
      </c>
      <c r="E345" s="11">
        <v>46039</v>
      </c>
      <c r="F345" t="s">
        <v>2058</v>
      </c>
      <c r="G345" t="s">
        <v>45</v>
      </c>
      <c r="J345" t="s">
        <v>522</v>
      </c>
      <c r="K345" t="s">
        <v>2059</v>
      </c>
      <c r="L345" t="s">
        <v>136</v>
      </c>
      <c r="M345" t="s">
        <v>2060</v>
      </c>
      <c r="N345" t="s">
        <v>2061</v>
      </c>
      <c r="O345" t="s">
        <v>2062</v>
      </c>
      <c r="P345" s="46" t="str" cm="1">
        <f t="array" aca="1" ref="P345" ca="1">IFERROR(_xlfn.XLOOKUP(tblPedidos[[#This Row],[id_dropi]],tblNotas[[#This Row],[id__dropi]],tblNotas[[#This Row],[Notas Manuales]], “”, 0),"")</f>
        <v/>
      </c>
      <c r="R345" t="s">
        <v>1719</v>
      </c>
      <c r="S345">
        <v>28104.5</v>
      </c>
      <c r="T345">
        <v>-18345.5</v>
      </c>
      <c r="U345" cm="1">
        <f t="array" ref="U345">IFERROR(_xlfn.IFS(tblPedidos[[#This Row],[estado_operativo]]="ENTREGADO",tblPedidos[[#This Row],[ganancia_calc]],tblPedidos[[#This Row],[estado_operativo]]="DEVOLUCION",tblPedidos[[#This Row],[costo_devolucion_estimado]]),0)</f>
        <v>0</v>
      </c>
      <c r="V345">
        <v>0</v>
      </c>
      <c r="W345">
        <v>69900</v>
      </c>
      <c r="X345">
        <v>18345.5</v>
      </c>
      <c r="Y345">
        <v>23450</v>
      </c>
      <c r="Z345" s="11">
        <v>46043</v>
      </c>
      <c r="AA345">
        <v>1</v>
      </c>
      <c r="AB345" s="12">
        <v>0.4284722222222222</v>
      </c>
      <c r="AC345" t="s">
        <v>756</v>
      </c>
      <c r="AD345" t="s">
        <v>717</v>
      </c>
      <c r="AE345" t="s">
        <v>522</v>
      </c>
    </row>
    <row r="346" spans="1:31">
      <c r="A346" t="s">
        <v>1343</v>
      </c>
      <c r="C346">
        <v>753</v>
      </c>
      <c r="D346" t="s">
        <v>2063</v>
      </c>
      <c r="E346" s="11">
        <v>46039</v>
      </c>
      <c r="F346" t="s">
        <v>2064</v>
      </c>
      <c r="G346" t="s">
        <v>45</v>
      </c>
      <c r="J346" t="s">
        <v>1657</v>
      </c>
      <c r="K346" t="s">
        <v>2065</v>
      </c>
      <c r="L346" t="s">
        <v>125</v>
      </c>
      <c r="M346" t="s">
        <v>306</v>
      </c>
      <c r="N346" t="s">
        <v>2066</v>
      </c>
      <c r="O346" t="s">
        <v>2067</v>
      </c>
      <c r="P346" s="46" t="str" cm="1">
        <f t="array" aca="1" ref="P346" ca="1">IFERROR(_xlfn.XLOOKUP(tblPedidos[[#This Row],[id_dropi]],tblNotas[[#This Row],[id__dropi]],tblNotas[[#This Row],[Notas Manuales]], “”, 0),"")</f>
        <v/>
      </c>
      <c r="R346" t="s">
        <v>1719</v>
      </c>
      <c r="S346">
        <v>28104.5</v>
      </c>
      <c r="T346">
        <v>-18345.5</v>
      </c>
      <c r="U346" cm="1">
        <f t="array" ref="U346">IFERROR(_xlfn.IFS(tblPedidos[[#This Row],[estado_operativo]]="ENTREGADO",tblPedidos[[#This Row],[ganancia_calc]],tblPedidos[[#This Row],[estado_operativo]]="DEVOLUCION",tblPedidos[[#This Row],[costo_devolucion_estimado]]),0)</f>
        <v>-18345.5</v>
      </c>
      <c r="V346">
        <v>-18345.5</v>
      </c>
      <c r="W346">
        <v>69900</v>
      </c>
      <c r="X346">
        <v>18345.5</v>
      </c>
      <c r="Y346">
        <v>23450</v>
      </c>
      <c r="Z346" s="11">
        <v>46043</v>
      </c>
      <c r="AA346">
        <v>1</v>
      </c>
      <c r="AB346" s="12">
        <v>0.67152777777777772</v>
      </c>
      <c r="AC346" t="s">
        <v>2068</v>
      </c>
      <c r="AD346" t="s">
        <v>1657</v>
      </c>
      <c r="AE346" t="s">
        <v>1657</v>
      </c>
    </row>
    <row r="347" spans="1:31">
      <c r="A347" t="s">
        <v>1343</v>
      </c>
      <c r="C347">
        <v>746</v>
      </c>
      <c r="D347" t="s">
        <v>2069</v>
      </c>
      <c r="E347" s="11">
        <v>46039</v>
      </c>
      <c r="F347" t="s">
        <v>2070</v>
      </c>
      <c r="G347" t="s">
        <v>45</v>
      </c>
      <c r="J347" t="s">
        <v>720</v>
      </c>
      <c r="K347" t="s">
        <v>2071</v>
      </c>
      <c r="L347" t="s">
        <v>46</v>
      </c>
      <c r="M347" t="s">
        <v>100</v>
      </c>
      <c r="N347" t="s">
        <v>2072</v>
      </c>
      <c r="O347" t="s">
        <v>2073</v>
      </c>
      <c r="P347" s="46" t="str" cm="1">
        <f t="array" aca="1" ref="P347" ca="1">IFERROR(_xlfn.XLOOKUP(tblPedidos[[#This Row],[id_dropi]],tblNotas[[#This Row],[id__dropi]],tblNotas[[#This Row],[Notas Manuales]], “”, 0),"")</f>
        <v/>
      </c>
      <c r="R347" t="s">
        <v>1719</v>
      </c>
      <c r="S347">
        <v>28104.5</v>
      </c>
      <c r="T347">
        <v>-18345.5</v>
      </c>
      <c r="U347" cm="1">
        <f t="array" ref="U347">IFERROR(_xlfn.IFS(tblPedidos[[#This Row],[estado_operativo]]="ENTREGADO",tblPedidos[[#This Row],[ganancia_calc]],tblPedidos[[#This Row],[estado_operativo]]="DEVOLUCION",tblPedidos[[#This Row],[costo_devolucion_estimado]]),0)</f>
        <v>28104.5</v>
      </c>
      <c r="V347">
        <v>28104.5</v>
      </c>
      <c r="W347">
        <v>69900</v>
      </c>
      <c r="X347">
        <v>18345.5</v>
      </c>
      <c r="Y347">
        <v>23450</v>
      </c>
      <c r="Z347" s="11">
        <v>46043</v>
      </c>
      <c r="AA347">
        <v>1</v>
      </c>
      <c r="AB347" s="12">
        <v>0.83472222222222225</v>
      </c>
      <c r="AC347" t="s">
        <v>1039</v>
      </c>
      <c r="AD347" t="s">
        <v>720</v>
      </c>
      <c r="AE347" t="s">
        <v>720</v>
      </c>
    </row>
    <row r="348" spans="1:31">
      <c r="A348" t="s">
        <v>33</v>
      </c>
      <c r="C348">
        <v>745</v>
      </c>
      <c r="D348" t="s">
        <v>2074</v>
      </c>
      <c r="E348" s="11">
        <v>46039</v>
      </c>
      <c r="F348" t="s">
        <v>2075</v>
      </c>
      <c r="G348" t="s">
        <v>45</v>
      </c>
      <c r="J348" t="s">
        <v>522</v>
      </c>
      <c r="K348" t="s">
        <v>2076</v>
      </c>
      <c r="L348" t="s">
        <v>74</v>
      </c>
      <c r="M348" t="s">
        <v>75</v>
      </c>
      <c r="N348" t="s">
        <v>2077</v>
      </c>
      <c r="O348" t="s">
        <v>2078</v>
      </c>
      <c r="P348" s="46" t="str" cm="1">
        <f t="array" aca="1" ref="P348" ca="1">IFERROR(_xlfn.XLOOKUP(tblPedidos[[#This Row],[id_dropi]],tblNotas[[#This Row],[id__dropi]],tblNotas[[#This Row],[Notas Manuales]], “”, 0),"")</f>
        <v/>
      </c>
      <c r="Q348" t="s">
        <v>50</v>
      </c>
      <c r="R348" t="s">
        <v>2003</v>
      </c>
      <c r="S348">
        <v>17004.5</v>
      </c>
      <c r="T348">
        <v>-17895.5</v>
      </c>
      <c r="U348" cm="1">
        <f t="array" ref="U348">IFERROR(_xlfn.IFS(tblPedidos[[#This Row],[estado_operativo]]="ENTREGADO",tblPedidos[[#This Row],[ganancia_calc]],tblPedidos[[#This Row],[estado_operativo]]="DEVOLUCION",tblPedidos[[#This Row],[costo_devolucion_estimado]]),0)</f>
        <v>0</v>
      </c>
      <c r="V348">
        <v>0</v>
      </c>
      <c r="W348">
        <v>59900</v>
      </c>
      <c r="X348">
        <v>17895.5</v>
      </c>
      <c r="Y348">
        <v>25000</v>
      </c>
      <c r="Z348" s="11">
        <v>46043</v>
      </c>
      <c r="AA348">
        <v>1</v>
      </c>
      <c r="AB348" s="12">
        <v>0.42708333333333331</v>
      </c>
      <c r="AC348" t="s">
        <v>708</v>
      </c>
      <c r="AD348" t="s">
        <v>717</v>
      </c>
      <c r="AE348" t="s">
        <v>522</v>
      </c>
    </row>
    <row r="349" spans="1:31">
      <c r="A349" t="s">
        <v>33</v>
      </c>
      <c r="C349">
        <v>747</v>
      </c>
      <c r="D349" t="s">
        <v>2079</v>
      </c>
      <c r="E349" s="11">
        <v>46039</v>
      </c>
      <c r="F349" t="s">
        <v>2080</v>
      </c>
      <c r="G349" t="s">
        <v>45</v>
      </c>
      <c r="J349" t="s">
        <v>750</v>
      </c>
      <c r="K349" t="s">
        <v>2081</v>
      </c>
      <c r="L349" t="s">
        <v>545</v>
      </c>
      <c r="M349" t="s">
        <v>883</v>
      </c>
      <c r="N349" t="s">
        <v>2082</v>
      </c>
      <c r="O349" t="s">
        <v>2083</v>
      </c>
      <c r="P349" s="46" t="str" cm="1">
        <f t="array" aca="1" ref="P349" ca="1">IFERROR(_xlfn.XLOOKUP(tblPedidos[[#This Row],[id_dropi]],tblNotas[[#This Row],[id__dropi]],tblNotas[[#This Row],[Notas Manuales]], “”, 0),"")</f>
        <v/>
      </c>
      <c r="R349" t="s">
        <v>2084</v>
      </c>
      <c r="S349">
        <v>34324.5</v>
      </c>
      <c r="T349">
        <v>-18975.5</v>
      </c>
      <c r="U349" cm="1">
        <f t="array" ref="U349">IFERROR(_xlfn.IFS(tblPedidos[[#This Row],[estado_operativo]]="ENTREGADO",tblPedidos[[#This Row],[ganancia_calc]],tblPedidos[[#This Row],[estado_operativo]]="DEVOLUCION",tblPedidos[[#This Row],[costo_devolucion_estimado]]),0)</f>
        <v>0</v>
      </c>
      <c r="V349">
        <v>0</v>
      </c>
      <c r="W349">
        <v>83900</v>
      </c>
      <c r="X349">
        <v>18975.5</v>
      </c>
      <c r="Y349">
        <v>30600</v>
      </c>
      <c r="Z349" s="11">
        <v>46043</v>
      </c>
      <c r="AA349">
        <v>1</v>
      </c>
      <c r="AB349" s="12">
        <v>0.67152777777777772</v>
      </c>
      <c r="AC349" t="s">
        <v>750</v>
      </c>
      <c r="AD349" t="s">
        <v>1027</v>
      </c>
      <c r="AE349" t="s">
        <v>750</v>
      </c>
    </row>
    <row r="350" spans="1:31">
      <c r="A350" t="s">
        <v>1343</v>
      </c>
      <c r="C350">
        <v>749</v>
      </c>
      <c r="D350" t="s">
        <v>2085</v>
      </c>
      <c r="E350" s="11">
        <v>46039</v>
      </c>
      <c r="F350" t="s">
        <v>2086</v>
      </c>
      <c r="G350" t="s">
        <v>45</v>
      </c>
      <c r="J350" t="s">
        <v>720</v>
      </c>
      <c r="K350" t="s">
        <v>2087</v>
      </c>
      <c r="L350" t="s">
        <v>46</v>
      </c>
      <c r="M350" t="s">
        <v>100</v>
      </c>
      <c r="N350" t="s">
        <v>2088</v>
      </c>
      <c r="O350" t="s">
        <v>2089</v>
      </c>
      <c r="P350" s="46" t="str" cm="1">
        <f t="array" aca="1" ref="P350" ca="1">IFERROR(_xlfn.XLOOKUP(tblPedidos[[#This Row],[id_dropi]],tblNotas[[#This Row],[id__dropi]],tblNotas[[#This Row],[Notas Manuales]], “”, 0),"")</f>
        <v/>
      </c>
      <c r="R350" t="s">
        <v>2090</v>
      </c>
      <c r="S350">
        <v>18954.5</v>
      </c>
      <c r="T350">
        <v>-11945.5</v>
      </c>
      <c r="U350" cm="1">
        <f t="array" ref="U350">IFERROR(_xlfn.IFS(tblPedidos[[#This Row],[estado_operativo]]="ENTREGADO",tblPedidos[[#This Row],[ganancia_calc]],tblPedidos[[#This Row],[estado_operativo]]="DEVOLUCION",tblPedidos[[#This Row],[costo_devolucion_estimado]]),0)</f>
        <v>18954.5</v>
      </c>
      <c r="V350">
        <v>18954.5</v>
      </c>
      <c r="W350">
        <v>59900</v>
      </c>
      <c r="X350">
        <v>11945.5</v>
      </c>
      <c r="Y350">
        <v>29000</v>
      </c>
      <c r="Z350" s="11">
        <v>46042</v>
      </c>
      <c r="AA350">
        <v>2</v>
      </c>
      <c r="AB350" s="12">
        <v>0.75486111111111109</v>
      </c>
      <c r="AC350" t="s">
        <v>720</v>
      </c>
      <c r="AD350" t="s">
        <v>720</v>
      </c>
      <c r="AE350" t="s">
        <v>720</v>
      </c>
    </row>
    <row r="351" spans="1:31">
      <c r="A351" t="s">
        <v>33</v>
      </c>
      <c r="C351">
        <v>748</v>
      </c>
      <c r="D351" t="s">
        <v>2091</v>
      </c>
      <c r="E351" s="11">
        <v>46039</v>
      </c>
      <c r="F351" t="s">
        <v>2092</v>
      </c>
      <c r="G351" t="s">
        <v>45</v>
      </c>
      <c r="J351" t="s">
        <v>386</v>
      </c>
      <c r="K351" t="s">
        <v>2093</v>
      </c>
      <c r="L351" t="s">
        <v>1003</v>
      </c>
      <c r="M351" t="s">
        <v>2094</v>
      </c>
      <c r="N351" t="s">
        <v>2095</v>
      </c>
      <c r="O351" t="s">
        <v>2096</v>
      </c>
      <c r="P351" s="46" t="str" cm="1">
        <f t="array" aca="1" ref="P351" ca="1">IFERROR(_xlfn.XLOOKUP(tblPedidos[[#This Row],[id_dropi]],tblNotas[[#This Row],[id__dropi]],tblNotas[[#This Row],[Notas Manuales]], “”, 0),"")</f>
        <v/>
      </c>
      <c r="R351" t="s">
        <v>1719</v>
      </c>
      <c r="S351">
        <v>32654.5</v>
      </c>
      <c r="T351">
        <v>-13795.5</v>
      </c>
      <c r="U351" cm="1">
        <f t="array" ref="U351">IFERROR(_xlfn.IFS(tblPedidos[[#This Row],[estado_operativo]]="ENTREGADO",tblPedidos[[#This Row],[ganancia_calc]],tblPedidos[[#This Row],[estado_operativo]]="DEVOLUCION",tblPedidos[[#This Row],[costo_devolucion_estimado]]),0)</f>
        <v>0</v>
      </c>
      <c r="V351">
        <v>0</v>
      </c>
      <c r="W351">
        <v>69900</v>
      </c>
      <c r="X351">
        <v>13795.5</v>
      </c>
      <c r="Y351">
        <v>23450</v>
      </c>
      <c r="Z351" s="11">
        <v>46043</v>
      </c>
      <c r="AA351">
        <v>1</v>
      </c>
      <c r="AB351" s="12">
        <v>0.42916666666666664</v>
      </c>
      <c r="AC351" t="s">
        <v>982</v>
      </c>
      <c r="AD351" t="s">
        <v>709</v>
      </c>
      <c r="AE351" t="s">
        <v>386</v>
      </c>
    </row>
    <row r="352" spans="1:31">
      <c r="A352" t="s">
        <v>33</v>
      </c>
      <c r="C352">
        <v>761</v>
      </c>
      <c r="D352" t="s">
        <v>2097</v>
      </c>
      <c r="E352" s="11">
        <v>46039</v>
      </c>
      <c r="F352" t="s">
        <v>2098</v>
      </c>
      <c r="G352" t="s">
        <v>45</v>
      </c>
      <c r="J352" t="s">
        <v>720</v>
      </c>
      <c r="K352" t="s">
        <v>2099</v>
      </c>
      <c r="L352" t="s">
        <v>125</v>
      </c>
      <c r="M352" t="s">
        <v>306</v>
      </c>
      <c r="N352" t="s">
        <v>2100</v>
      </c>
      <c r="O352" t="s">
        <v>2101</v>
      </c>
      <c r="P352" s="46" t="str" cm="1">
        <f t="array" aca="1" ref="P352" ca="1">IFERROR(_xlfn.XLOOKUP(tblPedidos[[#This Row],[id_dropi]],tblNotas[[#This Row],[id__dropi]],tblNotas[[#This Row],[Notas Manuales]], “”, 0),"")</f>
        <v/>
      </c>
      <c r="R352" t="s">
        <v>2009</v>
      </c>
      <c r="S352">
        <v>22054.5</v>
      </c>
      <c r="T352">
        <v>-17895.5</v>
      </c>
      <c r="U352" cm="1">
        <f t="array" ref="U352">IFERROR(_xlfn.IFS(tblPedidos[[#This Row],[estado_operativo]]="ENTREGADO",tblPedidos[[#This Row],[ganancia_calc]],tblPedidos[[#This Row],[estado_operativo]]="DEVOLUCION",tblPedidos[[#This Row],[costo_devolucion_estimado]]),0)</f>
        <v>22054.5</v>
      </c>
      <c r="V352">
        <v>0</v>
      </c>
      <c r="W352">
        <v>59900</v>
      </c>
      <c r="X352">
        <v>17895.5</v>
      </c>
      <c r="Y352">
        <v>19950</v>
      </c>
      <c r="Z352" s="11">
        <v>46043</v>
      </c>
      <c r="AA352">
        <v>1</v>
      </c>
      <c r="AB352" s="12">
        <v>0.67152777777777772</v>
      </c>
      <c r="AC352" t="s">
        <v>725</v>
      </c>
      <c r="AD352" t="s">
        <v>720</v>
      </c>
      <c r="AE352" t="s">
        <v>720</v>
      </c>
    </row>
    <row r="353" spans="1:31">
      <c r="A353" t="s">
        <v>33</v>
      </c>
      <c r="C353">
        <v>760</v>
      </c>
      <c r="D353" t="s">
        <v>2102</v>
      </c>
      <c r="E353" s="11">
        <v>46039</v>
      </c>
      <c r="F353" t="s">
        <v>2103</v>
      </c>
      <c r="G353" t="s">
        <v>36</v>
      </c>
      <c r="J353" t="s">
        <v>522</v>
      </c>
      <c r="K353" t="s">
        <v>2104</v>
      </c>
      <c r="L353" t="s">
        <v>87</v>
      </c>
      <c r="M353" t="s">
        <v>743</v>
      </c>
      <c r="N353" t="s">
        <v>2105</v>
      </c>
      <c r="O353" t="s">
        <v>2106</v>
      </c>
      <c r="P353" s="46" t="str" cm="1">
        <f t="array" aca="1" ref="P353" ca="1">IFERROR(_xlfn.XLOOKUP(tblPedidos[[#This Row],[id_dropi]],tblNotas[[#This Row],[id__dropi]],tblNotas[[#This Row],[Notas Manuales]], “”, 0),"")</f>
        <v/>
      </c>
      <c r="R353" t="s">
        <v>1719</v>
      </c>
      <c r="S353">
        <v>30786.5</v>
      </c>
      <c r="T353">
        <v>-12530.800000000001</v>
      </c>
      <c r="U353" cm="1">
        <f t="array" ref="U353">IFERROR(_xlfn.IFS(tblPedidos[[#This Row],[estado_operativo]]="ENTREGADO",tblPedidos[[#This Row],[ganancia_calc]],tblPedidos[[#This Row],[estado_operativo]]="DEVOLUCION",tblPedidos[[#This Row],[costo_devolucion_estimado]]),0)</f>
        <v>0</v>
      </c>
      <c r="V353">
        <v>0</v>
      </c>
      <c r="W353">
        <v>69900</v>
      </c>
      <c r="X353">
        <v>15663.5</v>
      </c>
      <c r="Y353">
        <v>23450</v>
      </c>
      <c r="Z353" s="11">
        <v>46041</v>
      </c>
      <c r="AA353">
        <v>3</v>
      </c>
      <c r="AB353" s="12">
        <v>0.84861111111111109</v>
      </c>
      <c r="AC353" t="s">
        <v>399</v>
      </c>
      <c r="AD353" t="s">
        <v>527</v>
      </c>
      <c r="AE353" t="s">
        <v>522</v>
      </c>
    </row>
    <row r="354" spans="1:31">
      <c r="A354" t="s">
        <v>33</v>
      </c>
      <c r="C354">
        <v>762</v>
      </c>
      <c r="D354" t="s">
        <v>2107</v>
      </c>
      <c r="E354" s="11">
        <v>46039</v>
      </c>
      <c r="F354" t="s">
        <v>2108</v>
      </c>
      <c r="G354" t="s">
        <v>45</v>
      </c>
      <c r="J354" t="s">
        <v>386</v>
      </c>
      <c r="K354" t="s">
        <v>2109</v>
      </c>
      <c r="L354" t="s">
        <v>125</v>
      </c>
      <c r="M354" t="s">
        <v>679</v>
      </c>
      <c r="N354" t="s">
        <v>2110</v>
      </c>
      <c r="O354" t="s">
        <v>2111</v>
      </c>
      <c r="P354" s="46" t="str" cm="1">
        <f t="array" aca="1" ref="P354" ca="1">IFERROR(_xlfn.XLOOKUP(tblPedidos[[#This Row],[id_dropi]],tblNotas[[#This Row],[id__dropi]],tblNotas[[#This Row],[Notas Manuales]], “”, 0),"")</f>
        <v/>
      </c>
      <c r="Q354" t="s">
        <v>50</v>
      </c>
      <c r="R354" t="s">
        <v>2003</v>
      </c>
      <c r="S354">
        <v>17004.5</v>
      </c>
      <c r="T354">
        <v>-17895.5</v>
      </c>
      <c r="U354" cm="1">
        <f t="array" ref="U354">IFERROR(_xlfn.IFS(tblPedidos[[#This Row],[estado_operativo]]="ENTREGADO",tblPedidos[[#This Row],[ganancia_calc]],tblPedidos[[#This Row],[estado_operativo]]="DEVOLUCION",tblPedidos[[#This Row],[costo_devolucion_estimado]]),0)</f>
        <v>0</v>
      </c>
      <c r="V354">
        <v>0</v>
      </c>
      <c r="W354">
        <v>59900</v>
      </c>
      <c r="X354">
        <v>17895.5</v>
      </c>
      <c r="Y354">
        <v>25000</v>
      </c>
      <c r="Z354" s="11">
        <v>46043</v>
      </c>
      <c r="AA354">
        <v>1</v>
      </c>
      <c r="AB354" s="12">
        <v>0.42986111111111114</v>
      </c>
      <c r="AC354" t="s">
        <v>982</v>
      </c>
      <c r="AD354" t="s">
        <v>709</v>
      </c>
      <c r="AE354" t="s">
        <v>386</v>
      </c>
    </row>
    <row r="355" spans="1:31">
      <c r="A355" t="s">
        <v>33</v>
      </c>
      <c r="C355">
        <v>764</v>
      </c>
      <c r="D355" t="s">
        <v>2112</v>
      </c>
      <c r="E355" s="11">
        <v>46039</v>
      </c>
      <c r="F355" t="s">
        <v>2113</v>
      </c>
      <c r="G355" t="s">
        <v>36</v>
      </c>
      <c r="J355" t="s">
        <v>522</v>
      </c>
      <c r="K355" t="s">
        <v>2114</v>
      </c>
      <c r="L355" t="s">
        <v>662</v>
      </c>
      <c r="M355" t="s">
        <v>663</v>
      </c>
      <c r="N355" t="s">
        <v>2115</v>
      </c>
      <c r="O355" t="s">
        <v>2116</v>
      </c>
      <c r="P355" s="46" t="str" cm="1">
        <f t="array" aca="1" ref="P355" ca="1">IFERROR(_xlfn.XLOOKUP(tblPedidos[[#This Row],[id_dropi]],tblNotas[[#This Row],[id__dropi]],tblNotas[[#This Row],[Notas Manuales]], “”, 0),"")</f>
        <v/>
      </c>
      <c r="R355" t="s">
        <v>2003</v>
      </c>
      <c r="S355">
        <v>19686.5</v>
      </c>
      <c r="T355">
        <v>-12170.800000000001</v>
      </c>
      <c r="U355" cm="1">
        <f t="array" ref="U355">IFERROR(_xlfn.IFS(tblPedidos[[#This Row],[estado_operativo]]="ENTREGADO",tblPedidos[[#This Row],[ganancia_calc]],tblPedidos[[#This Row],[estado_operativo]]="DEVOLUCION",tblPedidos[[#This Row],[costo_devolucion_estimado]]),0)</f>
        <v>0</v>
      </c>
      <c r="V355">
        <v>0</v>
      </c>
      <c r="W355">
        <v>59900</v>
      </c>
      <c r="X355">
        <v>15213.5</v>
      </c>
      <c r="Y355">
        <v>25000</v>
      </c>
      <c r="Z355" s="11">
        <v>46041</v>
      </c>
      <c r="AA355">
        <v>3</v>
      </c>
      <c r="AB355" s="12">
        <v>0.69444444444444442</v>
      </c>
      <c r="AC355" t="s">
        <v>788</v>
      </c>
      <c r="AD355" t="s">
        <v>527</v>
      </c>
      <c r="AE355" t="s">
        <v>522</v>
      </c>
    </row>
    <row r="356" spans="1:31">
      <c r="A356" t="s">
        <v>33</v>
      </c>
      <c r="C356">
        <v>763</v>
      </c>
      <c r="D356" t="s">
        <v>2117</v>
      </c>
      <c r="E356" s="11">
        <v>46039</v>
      </c>
      <c r="F356" t="s">
        <v>2118</v>
      </c>
      <c r="G356" t="s">
        <v>45</v>
      </c>
      <c r="J356" t="s">
        <v>720</v>
      </c>
      <c r="K356" t="s">
        <v>2119</v>
      </c>
      <c r="L356" t="s">
        <v>136</v>
      </c>
      <c r="M356" t="s">
        <v>206</v>
      </c>
      <c r="N356" t="s">
        <v>2120</v>
      </c>
      <c r="O356" t="s">
        <v>2121</v>
      </c>
      <c r="P356" s="46" t="str" cm="1">
        <f t="array" aca="1" ref="P356" ca="1">IFERROR(_xlfn.XLOOKUP(tblPedidos[[#This Row],[id_dropi]],tblNotas[[#This Row],[id__dropi]],tblNotas[[#This Row],[Notas Manuales]], “”, 0),"")</f>
        <v/>
      </c>
      <c r="R356" t="s">
        <v>2003</v>
      </c>
      <c r="S356">
        <v>16779.5</v>
      </c>
      <c r="T356">
        <v>-13120.5</v>
      </c>
      <c r="U356" cm="1">
        <f t="array" ref="U356">IFERROR(_xlfn.IFS(tblPedidos[[#This Row],[estado_operativo]]="ENTREGADO",tblPedidos[[#This Row],[ganancia_calc]],tblPedidos[[#This Row],[estado_operativo]]="DEVOLUCION",tblPedidos[[#This Row],[costo_devolucion_estimado]]),0)</f>
        <v>16779.5</v>
      </c>
      <c r="V356">
        <v>0</v>
      </c>
      <c r="W356">
        <v>54900</v>
      </c>
      <c r="X356">
        <v>13120.5</v>
      </c>
      <c r="Y356">
        <v>25000</v>
      </c>
      <c r="Z356" s="11">
        <v>46043</v>
      </c>
      <c r="AA356">
        <v>1</v>
      </c>
      <c r="AB356" s="12">
        <v>0.67500000000000004</v>
      </c>
      <c r="AC356" t="s">
        <v>750</v>
      </c>
      <c r="AD356" t="s">
        <v>720</v>
      </c>
      <c r="AE356" t="s">
        <v>720</v>
      </c>
    </row>
    <row r="357" spans="1:31">
      <c r="A357" t="s">
        <v>33</v>
      </c>
      <c r="C357">
        <v>756</v>
      </c>
      <c r="D357" t="s">
        <v>2122</v>
      </c>
      <c r="E357" s="11">
        <v>46039</v>
      </c>
      <c r="F357" t="s">
        <v>2123</v>
      </c>
      <c r="G357" t="s">
        <v>45</v>
      </c>
      <c r="J357" t="s">
        <v>386</v>
      </c>
      <c r="K357" t="s">
        <v>2124</v>
      </c>
      <c r="L357" t="s">
        <v>105</v>
      </c>
      <c r="M357" t="s">
        <v>2125</v>
      </c>
      <c r="N357" t="s">
        <v>2126</v>
      </c>
      <c r="O357" t="s">
        <v>2127</v>
      </c>
      <c r="P357" s="46" t="str" cm="1">
        <f t="array" aca="1" ref="P357" ca="1">IFERROR(_xlfn.XLOOKUP(tblPedidos[[#This Row],[id_dropi]],tblNotas[[#This Row],[id__dropi]],tblNotas[[#This Row],[Notas Manuales]], “”, 0),"")</f>
        <v/>
      </c>
      <c r="Q357" t="s">
        <v>50</v>
      </c>
      <c r="R357" t="s">
        <v>2003</v>
      </c>
      <c r="S357">
        <v>17004.5</v>
      </c>
      <c r="T357">
        <v>-17895.5</v>
      </c>
      <c r="U357" cm="1">
        <f t="array" ref="U357">IFERROR(_xlfn.IFS(tblPedidos[[#This Row],[estado_operativo]]="ENTREGADO",tblPedidos[[#This Row],[ganancia_calc]],tblPedidos[[#This Row],[estado_operativo]]="DEVOLUCION",tblPedidos[[#This Row],[costo_devolucion_estimado]]),0)</f>
        <v>0</v>
      </c>
      <c r="V357">
        <v>0</v>
      </c>
      <c r="W357">
        <v>59900</v>
      </c>
      <c r="X357">
        <v>17895.5</v>
      </c>
      <c r="Y357">
        <v>25000</v>
      </c>
      <c r="Z357" s="11">
        <v>46043</v>
      </c>
      <c r="AA357">
        <v>1</v>
      </c>
      <c r="AB357" s="12">
        <v>0.42708333333333331</v>
      </c>
      <c r="AC357" t="s">
        <v>417</v>
      </c>
      <c r="AD357" t="s">
        <v>709</v>
      </c>
      <c r="AE357" t="s">
        <v>386</v>
      </c>
    </row>
    <row r="358" spans="1:31">
      <c r="A358" t="s">
        <v>33</v>
      </c>
      <c r="C358">
        <v>755</v>
      </c>
      <c r="D358" t="s">
        <v>2128</v>
      </c>
      <c r="E358" s="11">
        <v>46039</v>
      </c>
      <c r="F358" t="s">
        <v>2129</v>
      </c>
      <c r="G358" t="s">
        <v>36</v>
      </c>
      <c r="J358" t="s">
        <v>386</v>
      </c>
      <c r="K358" t="s">
        <v>2130</v>
      </c>
      <c r="L358" t="s">
        <v>46</v>
      </c>
      <c r="M358" t="s">
        <v>100</v>
      </c>
      <c r="N358" t="s">
        <v>2131</v>
      </c>
      <c r="O358" t="s">
        <v>2132</v>
      </c>
      <c r="P358" s="46" t="str" cm="1">
        <f t="array" aca="1" ref="P358" ca="1">IFERROR(_xlfn.XLOOKUP(tblPedidos[[#This Row],[id_dropi]],tblNotas[[#This Row],[id__dropi]],tblNotas[[#This Row],[Notas Manuales]], “”, 0),"")</f>
        <v/>
      </c>
      <c r="R358" t="s">
        <v>1726</v>
      </c>
      <c r="S358">
        <v>19686.5</v>
      </c>
      <c r="T358">
        <v>-12170.800000000001</v>
      </c>
      <c r="U358" cm="1">
        <f t="array" ref="U358">IFERROR(_xlfn.IFS(tblPedidos[[#This Row],[estado_operativo]]="ENTREGADO",tblPedidos[[#This Row],[ganancia_calc]],tblPedidos[[#This Row],[estado_operativo]]="DEVOLUCION",tblPedidos[[#This Row],[costo_devolucion_estimado]]),0)</f>
        <v>0</v>
      </c>
      <c r="V358">
        <v>0</v>
      </c>
      <c r="W358">
        <v>59900</v>
      </c>
      <c r="X358">
        <v>15213.5</v>
      </c>
      <c r="Y358">
        <v>25000</v>
      </c>
      <c r="Z358" s="11">
        <v>46041</v>
      </c>
      <c r="AA358">
        <v>3</v>
      </c>
      <c r="AB358" s="12">
        <v>0.89861111111111114</v>
      </c>
      <c r="AC358" t="s">
        <v>399</v>
      </c>
      <c r="AD358" t="s">
        <v>399</v>
      </c>
      <c r="AE358" t="s">
        <v>386</v>
      </c>
    </row>
    <row r="359" spans="1:31">
      <c r="A359" t="s">
        <v>33</v>
      </c>
      <c r="C359">
        <v>757</v>
      </c>
      <c r="D359" t="s">
        <v>2133</v>
      </c>
      <c r="E359" s="11">
        <v>46039</v>
      </c>
      <c r="F359" t="s">
        <v>2134</v>
      </c>
      <c r="G359" t="s">
        <v>45</v>
      </c>
      <c r="J359" t="s">
        <v>522</v>
      </c>
      <c r="K359" t="s">
        <v>2135</v>
      </c>
      <c r="L359" t="s">
        <v>54</v>
      </c>
      <c r="M359" t="s">
        <v>1521</v>
      </c>
      <c r="N359" t="s">
        <v>2136</v>
      </c>
      <c r="O359" t="s">
        <v>2137</v>
      </c>
      <c r="P359" s="46" t="str" cm="1">
        <f t="array" aca="1" ref="P359" ca="1">IFERROR(_xlfn.XLOOKUP(tblPedidos[[#This Row],[id_dropi]],tblNotas[[#This Row],[id__dropi]],tblNotas[[#This Row],[Notas Manuales]], “”, 0),"")</f>
        <v/>
      </c>
      <c r="R359" t="s">
        <v>1719</v>
      </c>
      <c r="S359">
        <v>28104.5</v>
      </c>
      <c r="T359">
        <v>-18345.5</v>
      </c>
      <c r="U359" cm="1">
        <f t="array" ref="U359">IFERROR(_xlfn.IFS(tblPedidos[[#This Row],[estado_operativo]]="ENTREGADO",tblPedidos[[#This Row],[ganancia_calc]],tblPedidos[[#This Row],[estado_operativo]]="DEVOLUCION",tblPedidos[[#This Row],[costo_devolucion_estimado]]),0)</f>
        <v>0</v>
      </c>
      <c r="V359">
        <v>0</v>
      </c>
      <c r="W359">
        <v>69900</v>
      </c>
      <c r="X359">
        <v>18345.5</v>
      </c>
      <c r="Y359">
        <v>23450</v>
      </c>
      <c r="Z359" s="11">
        <v>46043</v>
      </c>
      <c r="AA359">
        <v>1</v>
      </c>
      <c r="AB359" s="12">
        <v>0.42638888888888887</v>
      </c>
      <c r="AC359" t="s">
        <v>1039</v>
      </c>
      <c r="AD359" t="s">
        <v>717</v>
      </c>
      <c r="AE359" t="s">
        <v>522</v>
      </c>
    </row>
    <row r="360" spans="1:31">
      <c r="A360" t="s">
        <v>33</v>
      </c>
      <c r="C360">
        <v>759</v>
      </c>
      <c r="D360" t="s">
        <v>2138</v>
      </c>
      <c r="E360" s="11">
        <v>46039</v>
      </c>
      <c r="F360" t="s">
        <v>2139</v>
      </c>
      <c r="G360" t="s">
        <v>36</v>
      </c>
      <c r="J360" t="s">
        <v>720</v>
      </c>
      <c r="K360" t="s">
        <v>2140</v>
      </c>
      <c r="L360" t="s">
        <v>81</v>
      </c>
      <c r="M360" t="s">
        <v>118</v>
      </c>
      <c r="N360" t="s">
        <v>2141</v>
      </c>
      <c r="O360" t="s">
        <v>2142</v>
      </c>
      <c r="P360" s="46" t="str" cm="1">
        <f t="array" aca="1" ref="P360" ca="1">IFERROR(_xlfn.XLOOKUP(tblPedidos[[#This Row],[id_dropi]],tblNotas[[#This Row],[id__dropi]],tblNotas[[#This Row],[Notas Manuales]], “”, 0),"")</f>
        <v/>
      </c>
      <c r="R360" t="s">
        <v>1763</v>
      </c>
      <c r="S360">
        <v>26792.5</v>
      </c>
      <c r="T360">
        <v>-10486</v>
      </c>
      <c r="U360" cm="1">
        <f t="array" ref="U360">IFERROR(_xlfn.IFS(tblPedidos[[#This Row],[estado_operativo]]="ENTREGADO",tblPedidos[[#This Row],[ganancia_calc]],tblPedidos[[#This Row],[estado_operativo]]="DEVOLUCION",tblPedidos[[#This Row],[costo_devolucion_estimado]]),0)</f>
        <v>26792.5</v>
      </c>
      <c r="V360">
        <v>0</v>
      </c>
      <c r="W360">
        <v>89900</v>
      </c>
      <c r="X360">
        <v>13107.5</v>
      </c>
      <c r="Y360">
        <v>50000</v>
      </c>
      <c r="Z360" s="11">
        <v>46039</v>
      </c>
      <c r="AA360">
        <v>5</v>
      </c>
      <c r="AB360" s="12">
        <v>0.74444444444444446</v>
      </c>
      <c r="AC360" t="s">
        <v>399</v>
      </c>
      <c r="AD360" t="s">
        <v>720</v>
      </c>
      <c r="AE360" t="s">
        <v>720</v>
      </c>
    </row>
    <row r="361" spans="1:31">
      <c r="A361" t="s">
        <v>33</v>
      </c>
      <c r="C361">
        <v>758</v>
      </c>
      <c r="D361" t="s">
        <v>2143</v>
      </c>
      <c r="E361" s="11">
        <v>46039</v>
      </c>
      <c r="F361" t="s">
        <v>2144</v>
      </c>
      <c r="G361" t="s">
        <v>45</v>
      </c>
      <c r="J361" t="s">
        <v>1090</v>
      </c>
      <c r="L361" t="s">
        <v>46</v>
      </c>
      <c r="M361" t="s">
        <v>100</v>
      </c>
      <c r="N361" t="s">
        <v>2145</v>
      </c>
      <c r="O361" t="s">
        <v>2132</v>
      </c>
      <c r="P361" s="46" t="str" cm="1">
        <f t="array" aca="1" ref="P361" ca="1">IFERROR(_xlfn.XLOOKUP(tblPedidos[[#This Row],[id_dropi]],tblNotas[[#This Row],[id__dropi]],tblNotas[[#This Row],[Notas Manuales]], “”, 0),"")</f>
        <v/>
      </c>
      <c r="R361" t="s">
        <v>1726</v>
      </c>
      <c r="S361">
        <v>17004.5</v>
      </c>
      <c r="T361">
        <v>-17895.5</v>
      </c>
      <c r="U361" cm="1">
        <f t="array" ref="U361">IFERROR(_xlfn.IFS(tblPedidos[[#This Row],[estado_operativo]]="ENTREGADO",tblPedidos[[#This Row],[ganancia_calc]],tblPedidos[[#This Row],[estado_operativo]]="DEVOLUCION",tblPedidos[[#This Row],[costo_devolucion_estimado]]),0)</f>
        <v>0</v>
      </c>
      <c r="V361">
        <v>0</v>
      </c>
      <c r="W361">
        <v>59900</v>
      </c>
      <c r="X361">
        <v>17895.5</v>
      </c>
      <c r="Y361">
        <v>25000</v>
      </c>
      <c r="Z361" s="11">
        <v>46039</v>
      </c>
      <c r="AA361">
        <v>5</v>
      </c>
      <c r="AB361" s="12">
        <v>0.4597222222222222</v>
      </c>
      <c r="AC361" t="s">
        <v>2146</v>
      </c>
      <c r="AD361" t="s">
        <v>2146</v>
      </c>
      <c r="AE361" t="s">
        <v>1090</v>
      </c>
    </row>
    <row r="362" spans="1:31">
      <c r="A362" t="s">
        <v>1343</v>
      </c>
      <c r="C362">
        <v>652</v>
      </c>
      <c r="D362" t="s">
        <v>2147</v>
      </c>
      <c r="E362" s="11">
        <v>46038</v>
      </c>
      <c r="F362" t="s">
        <v>2148</v>
      </c>
      <c r="G362" t="s">
        <v>45</v>
      </c>
      <c r="J362" t="s">
        <v>720</v>
      </c>
      <c r="K362" t="s">
        <v>2149</v>
      </c>
      <c r="L362" t="s">
        <v>46</v>
      </c>
      <c r="M362" t="s">
        <v>100</v>
      </c>
      <c r="N362" t="s">
        <v>2150</v>
      </c>
      <c r="O362" t="s">
        <v>2151</v>
      </c>
      <c r="P362" s="46" t="str" cm="1">
        <f t="array" aca="1" ref="P362" ca="1">IFERROR(_xlfn.XLOOKUP(tblPedidos[[#This Row],[id_dropi]],tblNotas[[#This Row],[id__dropi]],tblNotas[[#This Row],[Notas Manuales]], “”, 0),"")</f>
        <v/>
      </c>
      <c r="R362" t="s">
        <v>2152</v>
      </c>
      <c r="S362">
        <v>20654.5</v>
      </c>
      <c r="T362">
        <v>-19245.5</v>
      </c>
      <c r="U362" cm="1">
        <f t="array" ref="U362">IFERROR(_xlfn.IFS(tblPedidos[[#This Row],[estado_operativo]]="ENTREGADO",tblPedidos[[#This Row],[ganancia_calc]],tblPedidos[[#This Row],[estado_operativo]]="DEVOLUCION",tblPedidos[[#This Row],[costo_devolucion_estimado]]),0)</f>
        <v>20654.5</v>
      </c>
      <c r="V362">
        <v>41309</v>
      </c>
      <c r="W362">
        <v>89900</v>
      </c>
      <c r="X362">
        <v>19245.5</v>
      </c>
      <c r="Y362">
        <v>50000</v>
      </c>
      <c r="Z362" s="11">
        <v>46041</v>
      </c>
      <c r="AA362">
        <v>3</v>
      </c>
      <c r="AB362" s="12">
        <v>0.64861111111111114</v>
      </c>
      <c r="AC362" t="s">
        <v>720</v>
      </c>
      <c r="AD362" t="s">
        <v>720</v>
      </c>
      <c r="AE362" t="s">
        <v>720</v>
      </c>
    </row>
    <row r="363" spans="1:31">
      <c r="A363" t="s">
        <v>1343</v>
      </c>
      <c r="C363">
        <v>651</v>
      </c>
      <c r="D363" t="s">
        <v>2153</v>
      </c>
      <c r="E363" s="11">
        <v>46038</v>
      </c>
      <c r="F363" t="s">
        <v>2154</v>
      </c>
      <c r="G363" t="s">
        <v>45</v>
      </c>
      <c r="J363" t="s">
        <v>1657</v>
      </c>
      <c r="K363" t="s">
        <v>2155</v>
      </c>
      <c r="L363" t="s">
        <v>152</v>
      </c>
      <c r="M363" t="s">
        <v>2156</v>
      </c>
      <c r="N363" t="s">
        <v>2157</v>
      </c>
      <c r="O363" t="s">
        <v>2158</v>
      </c>
      <c r="P363" s="46" t="str" cm="1">
        <f t="array" aca="1" ref="P363" ca="1">IFERROR(_xlfn.XLOOKUP(tblPedidos[[#This Row],[id_dropi]],tblNotas[[#This Row],[id__dropi]],tblNotas[[#This Row],[Notas Manuales]], “”, 0),"")</f>
        <v/>
      </c>
      <c r="Q363" t="s">
        <v>50</v>
      </c>
      <c r="R363" t="s">
        <v>2159</v>
      </c>
      <c r="S363">
        <v>26554.5</v>
      </c>
      <c r="T363">
        <v>-18345.5</v>
      </c>
      <c r="U363" cm="1">
        <f t="array" ref="U363">IFERROR(_xlfn.IFS(tblPedidos[[#This Row],[estado_operativo]]="ENTREGADO",tblPedidos[[#This Row],[ganancia_calc]],tblPedidos[[#This Row],[estado_operativo]]="DEVOLUCION",tblPedidos[[#This Row],[costo_devolucion_estimado]]),0)</f>
        <v>-18345.5</v>
      </c>
      <c r="V363">
        <v>-36691</v>
      </c>
      <c r="W363">
        <v>69900</v>
      </c>
      <c r="X363">
        <v>18345.5</v>
      </c>
      <c r="Y363">
        <v>25000</v>
      </c>
      <c r="Z363" s="11">
        <v>46043</v>
      </c>
      <c r="AA363">
        <v>1</v>
      </c>
      <c r="AB363" s="12">
        <v>0.66805555555555551</v>
      </c>
      <c r="AC363" t="s">
        <v>1854</v>
      </c>
      <c r="AD363" t="s">
        <v>1657</v>
      </c>
      <c r="AE363" t="s">
        <v>1657</v>
      </c>
    </row>
    <row r="364" spans="1:31">
      <c r="A364" t="s">
        <v>33</v>
      </c>
      <c r="C364">
        <v>654</v>
      </c>
      <c r="D364" t="s">
        <v>2160</v>
      </c>
      <c r="E364" s="11">
        <v>46038</v>
      </c>
      <c r="F364" t="s">
        <v>2161</v>
      </c>
      <c r="G364" t="s">
        <v>45</v>
      </c>
      <c r="J364" t="s">
        <v>720</v>
      </c>
      <c r="K364" t="s">
        <v>2162</v>
      </c>
      <c r="L364" t="s">
        <v>152</v>
      </c>
      <c r="M364" t="s">
        <v>153</v>
      </c>
      <c r="N364" t="s">
        <v>2163</v>
      </c>
      <c r="O364" t="s">
        <v>2164</v>
      </c>
      <c r="P364" s="46" t="str" cm="1">
        <f t="array" aca="1" ref="P364" ca="1">IFERROR(_xlfn.XLOOKUP(tblPedidos[[#This Row],[id_dropi]],tblNotas[[#This Row],[id__dropi]],tblNotas[[#This Row],[Notas Manuales]], “”, 0),"")</f>
        <v/>
      </c>
      <c r="Q364" t="s">
        <v>50</v>
      </c>
      <c r="R364" t="s">
        <v>2159</v>
      </c>
      <c r="S364">
        <v>26554.5</v>
      </c>
      <c r="T364">
        <v>-18345.5</v>
      </c>
      <c r="U364" cm="1">
        <f t="array" ref="U364">IFERROR(_xlfn.IFS(tblPedidos[[#This Row],[estado_operativo]]="ENTREGADO",tblPedidos[[#This Row],[ganancia_calc]],tblPedidos[[#This Row],[estado_operativo]]="DEVOLUCION",tblPedidos[[#This Row],[costo_devolucion_estimado]]),0)</f>
        <v>26554.5</v>
      </c>
      <c r="V364">
        <v>0</v>
      </c>
      <c r="W364">
        <v>69900</v>
      </c>
      <c r="X364">
        <v>18345.5</v>
      </c>
      <c r="Y364">
        <v>25000</v>
      </c>
      <c r="Z364" s="11">
        <v>46043</v>
      </c>
      <c r="AA364">
        <v>1</v>
      </c>
      <c r="AB364" s="12">
        <v>0.4284722222222222</v>
      </c>
      <c r="AC364" t="s">
        <v>982</v>
      </c>
      <c r="AD364" t="s">
        <v>720</v>
      </c>
      <c r="AE364" t="s">
        <v>720</v>
      </c>
    </row>
    <row r="365" spans="1:31">
      <c r="A365" t="s">
        <v>33</v>
      </c>
      <c r="C365">
        <v>653</v>
      </c>
      <c r="D365" t="s">
        <v>2165</v>
      </c>
      <c r="E365" s="11">
        <v>46038</v>
      </c>
      <c r="F365" t="s">
        <v>2166</v>
      </c>
      <c r="G365" t="s">
        <v>45</v>
      </c>
      <c r="J365" t="s">
        <v>1371</v>
      </c>
      <c r="K365" t="s">
        <v>2167</v>
      </c>
      <c r="L365" t="s">
        <v>46</v>
      </c>
      <c r="M365" t="s">
        <v>2168</v>
      </c>
      <c r="N365" t="s">
        <v>2169</v>
      </c>
      <c r="O365" t="s">
        <v>2170</v>
      </c>
      <c r="P365" s="46" t="str" cm="1">
        <f t="array" aca="1" ref="P365" ca="1">IFERROR(_xlfn.XLOOKUP(tblPedidos[[#This Row],[id_dropi]],tblNotas[[#This Row],[id__dropi]],tblNotas[[#This Row],[Notas Manuales]], “”, 0),"")</f>
        <v/>
      </c>
      <c r="Q365" t="s">
        <v>2171</v>
      </c>
      <c r="R365" t="s">
        <v>2172</v>
      </c>
      <c r="S365">
        <v>17004.5</v>
      </c>
      <c r="T365">
        <v>-17895.5</v>
      </c>
      <c r="U365" cm="1">
        <f t="array" ref="U365">IFERROR(_xlfn.IFS(tblPedidos[[#This Row],[estado_operativo]]="ENTREGADO",tblPedidos[[#This Row],[ganancia_calc]],tblPedidos[[#This Row],[estado_operativo]]="DEVOLUCION",tblPedidos[[#This Row],[costo_devolucion_estimado]]),0)</f>
        <v>0</v>
      </c>
      <c r="V365">
        <v>0</v>
      </c>
      <c r="W365">
        <v>59900</v>
      </c>
      <c r="X365">
        <v>17895.5</v>
      </c>
      <c r="Y365">
        <v>25000</v>
      </c>
      <c r="Z365" s="11">
        <v>46043</v>
      </c>
      <c r="AA365">
        <v>1</v>
      </c>
      <c r="AB365" s="12">
        <v>0.43125000000000002</v>
      </c>
      <c r="AC365" t="s">
        <v>982</v>
      </c>
      <c r="AD365" t="s">
        <v>982</v>
      </c>
      <c r="AE365" t="s">
        <v>1371</v>
      </c>
    </row>
    <row r="366" spans="1:31">
      <c r="A366" t="s">
        <v>1343</v>
      </c>
      <c r="C366">
        <v>650</v>
      </c>
      <c r="D366" t="s">
        <v>2173</v>
      </c>
      <c r="E366" s="11">
        <v>46038</v>
      </c>
      <c r="F366" t="s">
        <v>2174</v>
      </c>
      <c r="G366" t="s">
        <v>36</v>
      </c>
      <c r="J366" t="s">
        <v>720</v>
      </c>
      <c r="K366" t="s">
        <v>2175</v>
      </c>
      <c r="L366" t="s">
        <v>54</v>
      </c>
      <c r="M366" t="s">
        <v>373</v>
      </c>
      <c r="N366" t="s">
        <v>2176</v>
      </c>
      <c r="O366" t="s">
        <v>2177</v>
      </c>
      <c r="P366" s="46" t="str" cm="1">
        <f t="array" aca="1" ref="P366" ca="1">IFERROR(_xlfn.XLOOKUP(tblPedidos[[#This Row],[id_dropi]],tblNotas[[#This Row],[id__dropi]],tblNotas[[#This Row],[Notas Manuales]], “”, 0),"")</f>
        <v/>
      </c>
      <c r="R366" t="s">
        <v>2159</v>
      </c>
      <c r="S366">
        <v>29236.5</v>
      </c>
      <c r="T366">
        <v>-12530.800000000001</v>
      </c>
      <c r="U366" cm="1">
        <f t="array" ref="U366">IFERROR(_xlfn.IFS(tblPedidos[[#This Row],[estado_operativo]]="ENTREGADO",tblPedidos[[#This Row],[ganancia_calc]],tblPedidos[[#This Row],[estado_operativo]]="DEVOLUCION",tblPedidos[[#This Row],[costo_devolucion_estimado]]),0)</f>
        <v>29236.5</v>
      </c>
      <c r="V366">
        <v>29236.5</v>
      </c>
      <c r="W366">
        <v>69900</v>
      </c>
      <c r="X366">
        <v>15663.5</v>
      </c>
      <c r="Y366">
        <v>25000</v>
      </c>
      <c r="Z366" s="11">
        <v>46039</v>
      </c>
      <c r="AA366">
        <v>5</v>
      </c>
      <c r="AB366" s="12">
        <v>0.74583333333333335</v>
      </c>
      <c r="AC366" t="s">
        <v>399</v>
      </c>
      <c r="AD366" t="s">
        <v>720</v>
      </c>
      <c r="AE366" t="s">
        <v>720</v>
      </c>
    </row>
    <row r="367" spans="1:31">
      <c r="A367" t="s">
        <v>1343</v>
      </c>
      <c r="C367">
        <v>647</v>
      </c>
      <c r="D367" t="s">
        <v>2178</v>
      </c>
      <c r="E367" s="11">
        <v>46038</v>
      </c>
      <c r="F367" t="s">
        <v>2179</v>
      </c>
      <c r="G367" t="s">
        <v>45</v>
      </c>
      <c r="J367" t="s">
        <v>1657</v>
      </c>
      <c r="K367" t="s">
        <v>2180</v>
      </c>
      <c r="L367" t="s">
        <v>46</v>
      </c>
      <c r="M367" t="s">
        <v>100</v>
      </c>
      <c r="N367" t="s">
        <v>2181</v>
      </c>
      <c r="O367" t="s">
        <v>2182</v>
      </c>
      <c r="P367" s="46" t="str" cm="1">
        <f t="array" aca="1" ref="P367" ca="1">IFERROR(_xlfn.XLOOKUP(tblPedidos[[#This Row],[id_dropi]],tblNotas[[#This Row],[id__dropi]],tblNotas[[#This Row],[Notas Manuales]], “”, 0),"")</f>
        <v/>
      </c>
      <c r="R367" t="s">
        <v>2172</v>
      </c>
      <c r="S367">
        <v>17004.5</v>
      </c>
      <c r="T367">
        <v>-17895.5</v>
      </c>
      <c r="U367" cm="1">
        <f t="array" ref="U367">IFERROR(_xlfn.IFS(tblPedidos[[#This Row],[estado_operativo]]="ENTREGADO",tblPedidos[[#This Row],[ganancia_calc]],tblPedidos[[#This Row],[estado_operativo]]="DEVOLUCION",tblPedidos[[#This Row],[costo_devolucion_estimado]]),0)</f>
        <v>-17895.5</v>
      </c>
      <c r="V367">
        <v>-53686.5</v>
      </c>
      <c r="W367">
        <v>59900</v>
      </c>
      <c r="X367">
        <v>17895.5</v>
      </c>
      <c r="Y367">
        <v>25000</v>
      </c>
      <c r="Z367" s="11">
        <v>46042</v>
      </c>
      <c r="AA367">
        <v>2</v>
      </c>
      <c r="AB367" s="12">
        <v>0.33888888888888891</v>
      </c>
      <c r="AC367" t="s">
        <v>1657</v>
      </c>
      <c r="AD367" t="s">
        <v>1657</v>
      </c>
      <c r="AE367" t="s">
        <v>1657</v>
      </c>
    </row>
    <row r="368" spans="1:31">
      <c r="A368" t="s">
        <v>33</v>
      </c>
      <c r="C368">
        <v>646</v>
      </c>
      <c r="D368" t="s">
        <v>2183</v>
      </c>
      <c r="E368" s="11">
        <v>46038</v>
      </c>
      <c r="F368" t="s">
        <v>2184</v>
      </c>
      <c r="G368" t="s">
        <v>45</v>
      </c>
      <c r="J368" t="s">
        <v>522</v>
      </c>
      <c r="K368" t="s">
        <v>2185</v>
      </c>
      <c r="L368" t="s">
        <v>46</v>
      </c>
      <c r="M368" t="s">
        <v>100</v>
      </c>
      <c r="N368" t="s">
        <v>2186</v>
      </c>
      <c r="O368" t="s">
        <v>2187</v>
      </c>
      <c r="P368" s="46" t="str" cm="1">
        <f t="array" aca="1" ref="P368" ca="1">IFERROR(_xlfn.XLOOKUP(tblPedidos[[#This Row],[id_dropi]],tblNotas[[#This Row],[id__dropi]],tblNotas[[#This Row],[Notas Manuales]], “”, 0),"")</f>
        <v/>
      </c>
      <c r="R368" t="s">
        <v>2152</v>
      </c>
      <c r="S368">
        <v>20654.5</v>
      </c>
      <c r="T368">
        <v>-19245.5</v>
      </c>
      <c r="U368" cm="1">
        <f t="array" ref="U368">IFERROR(_xlfn.IFS(tblPedidos[[#This Row],[estado_operativo]]="ENTREGADO",tblPedidos[[#This Row],[ganancia_calc]],tblPedidos[[#This Row],[estado_operativo]]="DEVOLUCION",tblPedidos[[#This Row],[costo_devolucion_estimado]]),0)</f>
        <v>0</v>
      </c>
      <c r="V368">
        <v>0</v>
      </c>
      <c r="W368">
        <v>89900</v>
      </c>
      <c r="X368">
        <v>19245.5</v>
      </c>
      <c r="Y368">
        <v>50000</v>
      </c>
      <c r="Z368" s="11">
        <v>46043</v>
      </c>
      <c r="AA368">
        <v>1</v>
      </c>
      <c r="AB368" s="12">
        <v>0.50902777777777775</v>
      </c>
      <c r="AC368" t="s">
        <v>716</v>
      </c>
      <c r="AD368" t="s">
        <v>717</v>
      </c>
      <c r="AE368" t="s">
        <v>522</v>
      </c>
    </row>
    <row r="369" spans="1:31">
      <c r="A369" t="s">
        <v>33</v>
      </c>
      <c r="C369">
        <v>649</v>
      </c>
      <c r="D369" t="s">
        <v>2188</v>
      </c>
      <c r="E369" s="11">
        <v>46038</v>
      </c>
      <c r="F369" t="s">
        <v>2189</v>
      </c>
      <c r="G369" t="s">
        <v>45</v>
      </c>
      <c r="J369" t="s">
        <v>386</v>
      </c>
      <c r="K369" t="s">
        <v>2190</v>
      </c>
      <c r="L369" t="s">
        <v>111</v>
      </c>
      <c r="M369" t="s">
        <v>2191</v>
      </c>
      <c r="N369" t="s">
        <v>2192</v>
      </c>
      <c r="O369" t="s">
        <v>2193</v>
      </c>
      <c r="P369" s="46" t="str" cm="1">
        <f t="array" aca="1" ref="P369" ca="1">IFERROR(_xlfn.XLOOKUP(tblPedidos[[#This Row],[id_dropi]],tblNotas[[#This Row],[id__dropi]],tblNotas[[#This Row],[Notas Manuales]], “”, 0),"")</f>
        <v/>
      </c>
      <c r="Q369" t="s">
        <v>50</v>
      </c>
      <c r="R369" t="s">
        <v>2194</v>
      </c>
      <c r="S369">
        <v>28104.5</v>
      </c>
      <c r="T369">
        <v>-18345.5</v>
      </c>
      <c r="U369" cm="1">
        <f t="array" ref="U369">IFERROR(_xlfn.IFS(tblPedidos[[#This Row],[estado_operativo]]="ENTREGADO",tblPedidos[[#This Row],[ganancia_calc]],tblPedidos[[#This Row],[estado_operativo]]="DEVOLUCION",tblPedidos[[#This Row],[costo_devolucion_estimado]]),0)</f>
        <v>0</v>
      </c>
      <c r="V369">
        <v>0</v>
      </c>
      <c r="W369">
        <v>69900</v>
      </c>
      <c r="X369">
        <v>18345.5</v>
      </c>
      <c r="Y369">
        <v>23450</v>
      </c>
      <c r="Z369" s="11">
        <v>46043</v>
      </c>
      <c r="AA369">
        <v>1</v>
      </c>
      <c r="AB369" s="12">
        <v>0.42916666666666664</v>
      </c>
      <c r="AC369" t="s">
        <v>716</v>
      </c>
      <c r="AD369" t="s">
        <v>709</v>
      </c>
      <c r="AE369" t="s">
        <v>386</v>
      </c>
    </row>
    <row r="370" spans="1:31">
      <c r="A370" t="s">
        <v>1343</v>
      </c>
      <c r="C370">
        <v>648</v>
      </c>
      <c r="D370" t="s">
        <v>2195</v>
      </c>
      <c r="E370" s="11">
        <v>46038</v>
      </c>
      <c r="F370" t="s">
        <v>2196</v>
      </c>
      <c r="G370" t="s">
        <v>45</v>
      </c>
      <c r="H370" s="36"/>
      <c r="I370" s="36"/>
      <c r="J370" t="s">
        <v>1657</v>
      </c>
      <c r="K370" t="s">
        <v>2197</v>
      </c>
      <c r="L370" t="s">
        <v>68</v>
      </c>
      <c r="M370" t="s">
        <v>69</v>
      </c>
      <c r="N370" t="s">
        <v>2198</v>
      </c>
      <c r="O370" t="s">
        <v>2199</v>
      </c>
      <c r="P370" s="46" t="str" cm="1">
        <f t="array" aca="1" ref="P370" ca="1">IFERROR(_xlfn.XLOOKUP(tblPedidos[[#This Row],[id_dropi]],tblNotas[[#This Row],[id__dropi]],tblNotas[[#This Row],[Notas Manuales]], “”, 0),"")</f>
        <v/>
      </c>
      <c r="Q370" s="36"/>
      <c r="R370" t="s">
        <v>2200</v>
      </c>
      <c r="S370">
        <v>26779.5</v>
      </c>
      <c r="T370">
        <v>-13120.5</v>
      </c>
      <c r="U370" cm="1">
        <f t="array" ref="U370">IFERROR(_xlfn.IFS(tblPedidos[[#This Row],[estado_operativo]]="ENTREGADO",tblPedidos[[#This Row],[ganancia_calc]],tblPedidos[[#This Row],[estado_operativo]]="DEVOLUCION",tblPedidos[[#This Row],[costo_devolucion_estimado]]),0)</f>
        <v>-13120.5</v>
      </c>
      <c r="V370">
        <v>-39361.5</v>
      </c>
      <c r="W370">
        <v>54900</v>
      </c>
      <c r="X370">
        <v>13120.5</v>
      </c>
      <c r="Y370">
        <v>15000</v>
      </c>
      <c r="Z370" s="11">
        <v>46041</v>
      </c>
      <c r="AA370">
        <v>3</v>
      </c>
      <c r="AB370" s="12">
        <v>0.77500000000000002</v>
      </c>
      <c r="AC370" t="s">
        <v>1657</v>
      </c>
      <c r="AD370" t="s">
        <v>1657</v>
      </c>
      <c r="AE370" t="s">
        <v>1657</v>
      </c>
    </row>
    <row r="371" spans="1:31">
      <c r="A371" t="s">
        <v>33</v>
      </c>
      <c r="C371">
        <v>655</v>
      </c>
      <c r="D371" t="s">
        <v>2201</v>
      </c>
      <c r="E371" s="11">
        <v>46038</v>
      </c>
      <c r="F371" t="s">
        <v>2202</v>
      </c>
      <c r="G371" t="s">
        <v>45</v>
      </c>
      <c r="J371" t="s">
        <v>750</v>
      </c>
      <c r="K371" t="s">
        <v>2203</v>
      </c>
      <c r="L371" t="s">
        <v>152</v>
      </c>
      <c r="M371" t="s">
        <v>153</v>
      </c>
      <c r="N371" t="s">
        <v>2204</v>
      </c>
      <c r="O371" t="s">
        <v>2205</v>
      </c>
      <c r="P371" s="46" t="str" cm="1">
        <f t="array" aca="1" ref="P371" ca="1">IFERROR(_xlfn.XLOOKUP(tblPedidos[[#This Row],[id_dropi]],tblNotas[[#This Row],[id__dropi]],tblNotas[[#This Row],[Notas Manuales]], “”, 0),"")</f>
        <v/>
      </c>
      <c r="Q371" t="s">
        <v>2206</v>
      </c>
      <c r="R371" t="s">
        <v>2207</v>
      </c>
      <c r="S371">
        <v>27529.5</v>
      </c>
      <c r="T371">
        <v>-18570.5</v>
      </c>
      <c r="U371" cm="1">
        <f t="array" ref="U371">IFERROR(_xlfn.IFS(tblPedidos[[#This Row],[estado_operativo]]="ENTREGADO",tblPedidos[[#This Row],[ganancia_calc]],tblPedidos[[#This Row],[estado_operativo]]="DEVOLUCION",tblPedidos[[#This Row],[costo_devolucion_estimado]]),0)</f>
        <v>0</v>
      </c>
      <c r="V371">
        <v>0</v>
      </c>
      <c r="W371">
        <v>74900</v>
      </c>
      <c r="X371">
        <v>18570.5</v>
      </c>
      <c r="Y371">
        <v>28800</v>
      </c>
      <c r="Z371" s="11">
        <v>46043</v>
      </c>
      <c r="AA371">
        <v>1</v>
      </c>
      <c r="AB371" s="12">
        <v>0.67222222222222228</v>
      </c>
      <c r="AC371" t="s">
        <v>750</v>
      </c>
      <c r="AD371" t="s">
        <v>1027</v>
      </c>
      <c r="AE371" t="s">
        <v>750</v>
      </c>
    </row>
    <row r="372" spans="1:31">
      <c r="A372" t="s">
        <v>33</v>
      </c>
      <c r="C372">
        <v>662</v>
      </c>
      <c r="D372" t="s">
        <v>2208</v>
      </c>
      <c r="E372" s="11">
        <v>46038</v>
      </c>
      <c r="F372" t="s">
        <v>2209</v>
      </c>
      <c r="G372" t="s">
        <v>45</v>
      </c>
      <c r="J372" t="s">
        <v>386</v>
      </c>
      <c r="K372" t="s">
        <v>2210</v>
      </c>
      <c r="L372" t="s">
        <v>322</v>
      </c>
      <c r="M372" t="s">
        <v>2211</v>
      </c>
      <c r="N372" t="s">
        <v>2212</v>
      </c>
      <c r="O372" t="s">
        <v>2213</v>
      </c>
      <c r="P372" s="46" t="str" cm="1">
        <f t="array" aca="1" ref="P372" ca="1">IFERROR(_xlfn.XLOOKUP(tblPedidos[[#This Row],[id_dropi]],tblNotas[[#This Row],[id__dropi]],tblNotas[[#This Row],[Notas Manuales]], “”, 0),"")</f>
        <v/>
      </c>
      <c r="Q372" t="s">
        <v>50</v>
      </c>
      <c r="R372" t="s">
        <v>2214</v>
      </c>
      <c r="S372">
        <v>22054.5</v>
      </c>
      <c r="T372">
        <v>-17895.5</v>
      </c>
      <c r="U372" cm="1">
        <f t="array" ref="U372">IFERROR(_xlfn.IFS(tblPedidos[[#This Row],[estado_operativo]]="ENTREGADO",tblPedidos[[#This Row],[ganancia_calc]],tblPedidos[[#This Row],[estado_operativo]]="DEVOLUCION",tblPedidos[[#This Row],[costo_devolucion_estimado]]),0)</f>
        <v>0</v>
      </c>
      <c r="V372">
        <v>0</v>
      </c>
      <c r="W372">
        <v>59900</v>
      </c>
      <c r="X372">
        <v>17895.5</v>
      </c>
      <c r="Y372">
        <v>19950</v>
      </c>
      <c r="Z372" s="11">
        <v>46043</v>
      </c>
      <c r="AA372">
        <v>1</v>
      </c>
      <c r="AB372" s="12">
        <v>0.43125000000000002</v>
      </c>
      <c r="AC372" t="s">
        <v>716</v>
      </c>
      <c r="AD372" t="s">
        <v>709</v>
      </c>
      <c r="AE372" t="s">
        <v>386</v>
      </c>
    </row>
    <row r="373" spans="1:31">
      <c r="A373" t="s">
        <v>1343</v>
      </c>
      <c r="C373">
        <v>661</v>
      </c>
      <c r="D373" t="s">
        <v>2215</v>
      </c>
      <c r="E373" s="11">
        <v>46038</v>
      </c>
      <c r="F373" t="s">
        <v>2216</v>
      </c>
      <c r="G373" t="s">
        <v>45</v>
      </c>
      <c r="J373" t="s">
        <v>720</v>
      </c>
      <c r="K373" t="s">
        <v>2217</v>
      </c>
      <c r="L373" t="s">
        <v>427</v>
      </c>
      <c r="M373" t="s">
        <v>428</v>
      </c>
      <c r="N373" t="s">
        <v>2218</v>
      </c>
      <c r="O373" t="s">
        <v>2219</v>
      </c>
      <c r="P373" s="46" t="str" cm="1">
        <f t="array" aca="1" ref="P373" ca="1">IFERROR(_xlfn.XLOOKUP(tblPedidos[[#This Row],[id_dropi]],tblNotas[[#This Row],[id__dropi]],tblNotas[[#This Row],[Notas Manuales]], “”, 0),"")</f>
        <v/>
      </c>
      <c r="R373" t="s">
        <v>2152</v>
      </c>
      <c r="S373">
        <v>20654.5</v>
      </c>
      <c r="T373">
        <v>-19245.5</v>
      </c>
      <c r="U373" cm="1">
        <f t="array" ref="U373">IFERROR(_xlfn.IFS(tblPedidos[[#This Row],[estado_operativo]]="ENTREGADO",tblPedidos[[#This Row],[ganancia_calc]],tblPedidos[[#This Row],[estado_operativo]]="DEVOLUCION",tblPedidos[[#This Row],[costo_devolucion_estimado]]),0)</f>
        <v>20654.5</v>
      </c>
      <c r="V373">
        <v>20654.5</v>
      </c>
      <c r="W373">
        <v>89900</v>
      </c>
      <c r="X373">
        <v>19245.5</v>
      </c>
      <c r="Y373">
        <v>50000</v>
      </c>
      <c r="Z373" s="11">
        <v>46042</v>
      </c>
      <c r="AA373">
        <v>2</v>
      </c>
      <c r="AB373" s="12">
        <v>0.84583333333333333</v>
      </c>
      <c r="AC373" t="s">
        <v>720</v>
      </c>
      <c r="AD373" t="s">
        <v>720</v>
      </c>
      <c r="AE373" t="s">
        <v>720</v>
      </c>
    </row>
    <row r="374" spans="1:31">
      <c r="A374" t="s">
        <v>33</v>
      </c>
      <c r="C374">
        <v>664</v>
      </c>
      <c r="D374" t="s">
        <v>2220</v>
      </c>
      <c r="E374" s="11">
        <v>46038</v>
      </c>
      <c r="F374" t="s">
        <v>2221</v>
      </c>
      <c r="G374" t="s">
        <v>36</v>
      </c>
      <c r="J374" t="s">
        <v>750</v>
      </c>
      <c r="K374" t="s">
        <v>2222</v>
      </c>
      <c r="L374" t="s">
        <v>81</v>
      </c>
      <c r="M374" t="s">
        <v>118</v>
      </c>
      <c r="N374" t="s">
        <v>2223</v>
      </c>
      <c r="O374" t="s">
        <v>2224</v>
      </c>
      <c r="P374" s="46" t="str" cm="1">
        <f t="array" aca="1" ref="P374" ca="1">IFERROR(_xlfn.XLOOKUP(tblPedidos[[#This Row],[id_dropi]],tblNotas[[#This Row],[id__dropi]],tblNotas[[#This Row],[Notas Manuales]], “”, 0),"")</f>
        <v/>
      </c>
      <c r="R374" t="s">
        <v>2194</v>
      </c>
      <c r="S374">
        <v>32946.5</v>
      </c>
      <c r="T374">
        <v>-10802.800000000001</v>
      </c>
      <c r="U374" cm="1">
        <f t="array" ref="U374">IFERROR(_xlfn.IFS(tblPedidos[[#This Row],[estado_operativo]]="ENTREGADO",tblPedidos[[#This Row],[ganancia_calc]],tblPedidos[[#This Row],[estado_operativo]]="DEVOLUCION",tblPedidos[[#This Row],[costo_devolucion_estimado]]),0)</f>
        <v>0</v>
      </c>
      <c r="V374">
        <v>0</v>
      </c>
      <c r="W374">
        <v>69900</v>
      </c>
      <c r="X374">
        <v>13503.5</v>
      </c>
      <c r="Y374">
        <v>23450</v>
      </c>
      <c r="Z374" s="11">
        <v>46039</v>
      </c>
      <c r="AA374">
        <v>5</v>
      </c>
      <c r="AB374" s="12">
        <v>0.73819444444444449</v>
      </c>
      <c r="AC374" t="s">
        <v>399</v>
      </c>
      <c r="AD374" t="s">
        <v>1027</v>
      </c>
      <c r="AE374" t="s">
        <v>750</v>
      </c>
    </row>
    <row r="375" spans="1:31">
      <c r="A375" t="s">
        <v>1343</v>
      </c>
      <c r="C375">
        <v>663</v>
      </c>
      <c r="D375" t="s">
        <v>2225</v>
      </c>
      <c r="E375" s="11">
        <v>46038</v>
      </c>
      <c r="F375" t="s">
        <v>2226</v>
      </c>
      <c r="G375" t="s">
        <v>45</v>
      </c>
      <c r="J375" t="s">
        <v>720</v>
      </c>
      <c r="K375" t="s">
        <v>2227</v>
      </c>
      <c r="L375" t="s">
        <v>212</v>
      </c>
      <c r="M375" t="s">
        <v>462</v>
      </c>
      <c r="N375" t="s">
        <v>2228</v>
      </c>
      <c r="O375" t="s">
        <v>2229</v>
      </c>
      <c r="P375" s="46" t="str" cm="1">
        <f t="array" aca="1" ref="P375" ca="1">IFERROR(_xlfn.XLOOKUP(tblPedidos[[#This Row],[id_dropi]],tblNotas[[#This Row],[id__dropi]],tblNotas[[#This Row],[Notas Manuales]], “”, 0),"")</f>
        <v/>
      </c>
      <c r="R375" t="s">
        <v>2159</v>
      </c>
      <c r="S375">
        <v>17004.5</v>
      </c>
      <c r="T375">
        <v>-17895.5</v>
      </c>
      <c r="U375" cm="1">
        <f t="array" ref="U375">IFERROR(_xlfn.IFS(tblPedidos[[#This Row],[estado_operativo]]="ENTREGADO",tblPedidos[[#This Row],[ganancia_calc]],tblPedidos[[#This Row],[estado_operativo]]="DEVOLUCION",tblPedidos[[#This Row],[costo_devolucion_estimado]]),0)</f>
        <v>17004.5</v>
      </c>
      <c r="V375">
        <v>17004.5</v>
      </c>
      <c r="W375">
        <v>59900</v>
      </c>
      <c r="X375">
        <v>17895.5</v>
      </c>
      <c r="Y375">
        <v>25000</v>
      </c>
      <c r="Z375" s="11">
        <v>46043</v>
      </c>
      <c r="AA375">
        <v>1</v>
      </c>
      <c r="AB375" s="12">
        <v>0.57777777777777772</v>
      </c>
      <c r="AC375" t="s">
        <v>750</v>
      </c>
      <c r="AD375" t="s">
        <v>720</v>
      </c>
      <c r="AE375" t="s">
        <v>720</v>
      </c>
    </row>
    <row r="376" spans="1:31">
      <c r="A376" t="s">
        <v>33</v>
      </c>
      <c r="C376">
        <v>660</v>
      </c>
      <c r="D376" t="s">
        <v>2230</v>
      </c>
      <c r="E376" s="11">
        <v>46038</v>
      </c>
      <c r="F376" t="s">
        <v>2231</v>
      </c>
      <c r="G376" t="s">
        <v>45</v>
      </c>
      <c r="J376" t="s">
        <v>1090</v>
      </c>
      <c r="K376" t="s">
        <v>2232</v>
      </c>
      <c r="L376" t="s">
        <v>46</v>
      </c>
      <c r="M376" t="s">
        <v>2233</v>
      </c>
      <c r="N376" t="s">
        <v>2234</v>
      </c>
      <c r="O376" t="s">
        <v>2235</v>
      </c>
      <c r="P376" s="46" t="str" cm="1">
        <f t="array" aca="1" ref="P376" ca="1">IFERROR(_xlfn.XLOOKUP(tblPedidos[[#This Row],[id_dropi]],tblNotas[[#This Row],[id__dropi]],tblNotas[[#This Row],[Notas Manuales]], “”, 0),"")</f>
        <v/>
      </c>
      <c r="Q376" t="s">
        <v>50</v>
      </c>
      <c r="R376" t="s">
        <v>2194</v>
      </c>
      <c r="S376">
        <v>28104.5</v>
      </c>
      <c r="T376">
        <v>-18345.5</v>
      </c>
      <c r="U376" cm="1">
        <f t="array" ref="U376">IFERROR(_xlfn.IFS(tblPedidos[[#This Row],[estado_operativo]]="ENTREGADO",tblPedidos[[#This Row],[ganancia_calc]],tblPedidos[[#This Row],[estado_operativo]]="DEVOLUCION",tblPedidos[[#This Row],[costo_devolucion_estimado]]),0)</f>
        <v>0</v>
      </c>
      <c r="V376">
        <v>0</v>
      </c>
      <c r="W376">
        <v>69900</v>
      </c>
      <c r="X376">
        <v>18345.5</v>
      </c>
      <c r="Y376">
        <v>23450</v>
      </c>
      <c r="Z376" s="11">
        <v>46042</v>
      </c>
      <c r="AA376">
        <v>2</v>
      </c>
      <c r="AB376" s="12">
        <v>0.68194444444444446</v>
      </c>
      <c r="AC376" t="s">
        <v>2236</v>
      </c>
      <c r="AD376" t="s">
        <v>2236</v>
      </c>
      <c r="AE376" t="s">
        <v>1090</v>
      </c>
    </row>
    <row r="377" spans="1:31">
      <c r="A377" t="s">
        <v>33</v>
      </c>
      <c r="C377">
        <v>657</v>
      </c>
      <c r="D377" t="s">
        <v>2237</v>
      </c>
      <c r="E377" s="11">
        <v>46038</v>
      </c>
      <c r="F377" t="s">
        <v>2238</v>
      </c>
      <c r="G377" t="s">
        <v>36</v>
      </c>
      <c r="J377" t="s">
        <v>939</v>
      </c>
      <c r="K377" t="s">
        <v>2239</v>
      </c>
      <c r="L377" t="s">
        <v>81</v>
      </c>
      <c r="M377" t="s">
        <v>2240</v>
      </c>
      <c r="N377" t="s">
        <v>2241</v>
      </c>
      <c r="O377" t="s">
        <v>2242</v>
      </c>
      <c r="P377" s="46" t="str" cm="1">
        <f t="array" aca="1" ref="P377" ca="1">IFERROR(_xlfn.XLOOKUP(tblPedidos[[#This Row],[id_dropi]],tblNotas[[#This Row],[id__dropi]],tblNotas[[#This Row],[Notas Manuales]], “”, 0),"")</f>
        <v/>
      </c>
      <c r="R377" t="s">
        <v>2214</v>
      </c>
      <c r="S377">
        <v>26896.5</v>
      </c>
      <c r="T377">
        <v>-10442.800000000001</v>
      </c>
      <c r="U377" cm="1">
        <f t="array" ref="U377">IFERROR(_xlfn.IFS(tblPedidos[[#This Row],[estado_operativo]]="ENTREGADO",tblPedidos[[#This Row],[ganancia_calc]],tblPedidos[[#This Row],[estado_operativo]]="DEVOLUCION",tblPedidos[[#This Row],[costo_devolucion_estimado]]),0)</f>
        <v>0</v>
      </c>
      <c r="V377">
        <v>0</v>
      </c>
      <c r="W377">
        <v>59900</v>
      </c>
      <c r="X377">
        <v>13053.5</v>
      </c>
      <c r="Y377">
        <v>19950</v>
      </c>
      <c r="Z377" s="11">
        <v>46039</v>
      </c>
      <c r="AA377">
        <v>5</v>
      </c>
      <c r="AB377" s="12">
        <v>0.73819444444444449</v>
      </c>
      <c r="AC377" t="s">
        <v>399</v>
      </c>
      <c r="AD377" t="s">
        <v>939</v>
      </c>
      <c r="AE377" t="s">
        <v>939</v>
      </c>
    </row>
    <row r="378" spans="1:31">
      <c r="A378" t="s">
        <v>33</v>
      </c>
      <c r="C378">
        <v>656</v>
      </c>
      <c r="D378" t="s">
        <v>2243</v>
      </c>
      <c r="E378" s="11">
        <v>46038</v>
      </c>
      <c r="F378" t="s">
        <v>2244</v>
      </c>
      <c r="G378" t="s">
        <v>45</v>
      </c>
      <c r="J378" t="s">
        <v>750</v>
      </c>
      <c r="K378" t="s">
        <v>2245</v>
      </c>
      <c r="L378" t="s">
        <v>152</v>
      </c>
      <c r="M378" t="s">
        <v>153</v>
      </c>
      <c r="N378" t="s">
        <v>2246</v>
      </c>
      <c r="O378" t="s">
        <v>2247</v>
      </c>
      <c r="P378" s="46" t="str" cm="1">
        <f t="array" aca="1" ref="P378" ca="1">IFERROR(_xlfn.XLOOKUP(tblPedidos[[#This Row],[id_dropi]],tblNotas[[#This Row],[id__dropi]],tblNotas[[#This Row],[Notas Manuales]], “”, 0),"")</f>
        <v/>
      </c>
      <c r="R378" t="s">
        <v>2159</v>
      </c>
      <c r="S378">
        <v>26554.5</v>
      </c>
      <c r="T378">
        <v>-18345.5</v>
      </c>
      <c r="U378" cm="1">
        <f t="array" ref="U378">IFERROR(_xlfn.IFS(tblPedidos[[#This Row],[estado_operativo]]="ENTREGADO",tblPedidos[[#This Row],[ganancia_calc]],tblPedidos[[#This Row],[estado_operativo]]="DEVOLUCION",tblPedidos[[#This Row],[costo_devolucion_estimado]]),0)</f>
        <v>0</v>
      </c>
      <c r="V378">
        <v>0</v>
      </c>
      <c r="W378">
        <v>69900</v>
      </c>
      <c r="X378">
        <v>18345.5</v>
      </c>
      <c r="Y378">
        <v>25000</v>
      </c>
      <c r="Z378" s="11">
        <v>46043</v>
      </c>
      <c r="AA378">
        <v>1</v>
      </c>
      <c r="AB378" s="12">
        <v>0.4284722222222222</v>
      </c>
      <c r="AC378" t="s">
        <v>716</v>
      </c>
      <c r="AD378" t="s">
        <v>1027</v>
      </c>
      <c r="AE378" t="s">
        <v>750</v>
      </c>
    </row>
    <row r="379" spans="1:31">
      <c r="A379" t="s">
        <v>33</v>
      </c>
      <c r="C379">
        <v>659</v>
      </c>
      <c r="D379" t="s">
        <v>2248</v>
      </c>
      <c r="E379" s="11">
        <v>46038</v>
      </c>
      <c r="F379" t="s">
        <v>2249</v>
      </c>
      <c r="G379" t="s">
        <v>45</v>
      </c>
      <c r="J379" t="s">
        <v>1090</v>
      </c>
      <c r="L379" t="s">
        <v>46</v>
      </c>
      <c r="M379" t="s">
        <v>100</v>
      </c>
      <c r="N379" t="s">
        <v>378</v>
      </c>
      <c r="O379" t="s">
        <v>379</v>
      </c>
      <c r="P379" s="46" t="str" cm="1">
        <f t="array" aca="1" ref="P379" ca="1">IFERROR(_xlfn.XLOOKUP(tblPedidos[[#This Row],[id_dropi]],tblNotas[[#This Row],[id__dropi]],tblNotas[[#This Row],[Notas Manuales]], “”, 0),"")</f>
        <v/>
      </c>
      <c r="R379" t="s">
        <v>2194</v>
      </c>
      <c r="S379">
        <v>28104.5</v>
      </c>
      <c r="T379">
        <v>-18345.5</v>
      </c>
      <c r="U379" cm="1">
        <f t="array" ref="U379">IFERROR(_xlfn.IFS(tblPedidos[[#This Row],[estado_operativo]]="ENTREGADO",tblPedidos[[#This Row],[ganancia_calc]],tblPedidos[[#This Row],[estado_operativo]]="DEVOLUCION",tblPedidos[[#This Row],[costo_devolucion_estimado]]),0)</f>
        <v>0</v>
      </c>
      <c r="V379">
        <v>0</v>
      </c>
      <c r="W379">
        <v>69900</v>
      </c>
      <c r="X379">
        <v>18345.5</v>
      </c>
      <c r="Y379">
        <v>23450</v>
      </c>
      <c r="Z379" s="11">
        <v>46043</v>
      </c>
      <c r="AA379">
        <v>1</v>
      </c>
      <c r="AB379" s="12">
        <v>0.79166666666666663</v>
      </c>
      <c r="AC379" t="s">
        <v>1090</v>
      </c>
      <c r="AD379" t="s">
        <v>1090</v>
      </c>
      <c r="AE379" t="s">
        <v>1090</v>
      </c>
    </row>
    <row r="380" spans="1:31">
      <c r="A380" t="s">
        <v>33</v>
      </c>
      <c r="C380">
        <v>658</v>
      </c>
      <c r="D380" t="s">
        <v>2250</v>
      </c>
      <c r="E380" s="11">
        <v>46038</v>
      </c>
      <c r="F380" t="s">
        <v>2251</v>
      </c>
      <c r="G380" t="s">
        <v>45</v>
      </c>
      <c r="J380" t="s">
        <v>720</v>
      </c>
      <c r="K380" t="s">
        <v>2252</v>
      </c>
      <c r="L380" t="s">
        <v>46</v>
      </c>
      <c r="M380" t="s">
        <v>2253</v>
      </c>
      <c r="N380" t="s">
        <v>2254</v>
      </c>
      <c r="O380" t="s">
        <v>2255</v>
      </c>
      <c r="P380" s="46" t="str" cm="1">
        <f t="array" aca="1" ref="P380" ca="1">IFERROR(_xlfn.XLOOKUP(tblPedidos[[#This Row],[id_dropi]],tblNotas[[#This Row],[id__dropi]],tblNotas[[#This Row],[Notas Manuales]], “”, 0),"")</f>
        <v/>
      </c>
      <c r="R380" t="s">
        <v>2194</v>
      </c>
      <c r="S380">
        <v>25335</v>
      </c>
      <c r="T380">
        <v>-18215</v>
      </c>
      <c r="U380" cm="1">
        <f t="array" ref="U380">IFERROR(_xlfn.IFS(tblPedidos[[#This Row],[estado_operativo]]="ENTREGADO",tblPedidos[[#This Row],[ganancia_calc]],tblPedidos[[#This Row],[estado_operativo]]="DEVOLUCION",tblPedidos[[#This Row],[costo_devolucion_estimado]]),0)</f>
        <v>25335</v>
      </c>
      <c r="V380">
        <v>0</v>
      </c>
      <c r="W380">
        <v>67000</v>
      </c>
      <c r="X380">
        <v>18215</v>
      </c>
      <c r="Y380">
        <v>23450</v>
      </c>
      <c r="Z380" s="11">
        <v>46043</v>
      </c>
      <c r="AA380">
        <v>1</v>
      </c>
      <c r="AB380" s="12">
        <v>0.67222222222222228</v>
      </c>
      <c r="AC380" t="s">
        <v>725</v>
      </c>
      <c r="AD380" t="s">
        <v>720</v>
      </c>
      <c r="AE380" t="s">
        <v>720</v>
      </c>
    </row>
    <row r="381" spans="1:31">
      <c r="A381" t="s">
        <v>33</v>
      </c>
      <c r="C381">
        <v>645</v>
      </c>
      <c r="D381" t="s">
        <v>2256</v>
      </c>
      <c r="E381" s="11">
        <v>46038</v>
      </c>
      <c r="F381" t="s">
        <v>2257</v>
      </c>
      <c r="G381" t="s">
        <v>45</v>
      </c>
      <c r="J381" t="s">
        <v>720</v>
      </c>
      <c r="K381" t="s">
        <v>2258</v>
      </c>
      <c r="L381" t="s">
        <v>125</v>
      </c>
      <c r="M381" t="s">
        <v>306</v>
      </c>
      <c r="N381" t="s">
        <v>2259</v>
      </c>
      <c r="O381" t="s">
        <v>2260</v>
      </c>
      <c r="P381" s="46" t="str" cm="1">
        <f t="array" aca="1" ref="P381" ca="1">IFERROR(_xlfn.XLOOKUP(tblPedidos[[#This Row],[id_dropi]],tblNotas[[#This Row],[id__dropi]],tblNotas[[#This Row],[Notas Manuales]], “”, 0),"")</f>
        <v/>
      </c>
      <c r="R381" t="s">
        <v>2194</v>
      </c>
      <c r="S381">
        <v>28104.5</v>
      </c>
      <c r="T381">
        <v>-18345.5</v>
      </c>
      <c r="U381" cm="1">
        <f t="array" ref="U381">IFERROR(_xlfn.IFS(tblPedidos[[#This Row],[estado_operativo]]="ENTREGADO",tblPedidos[[#This Row],[ganancia_calc]],tblPedidos[[#This Row],[estado_operativo]]="DEVOLUCION",tblPedidos[[#This Row],[costo_devolucion_estimado]]),0)</f>
        <v>28104.5</v>
      </c>
      <c r="V381">
        <v>0</v>
      </c>
      <c r="W381">
        <v>69900</v>
      </c>
      <c r="X381">
        <v>18345.5</v>
      </c>
      <c r="Y381">
        <v>23450</v>
      </c>
      <c r="Z381" s="11">
        <v>46043</v>
      </c>
      <c r="AA381">
        <v>1</v>
      </c>
      <c r="AB381" s="12">
        <v>0.67152777777777772</v>
      </c>
      <c r="AC381" t="s">
        <v>725</v>
      </c>
      <c r="AD381" t="s">
        <v>720</v>
      </c>
      <c r="AE381" t="s">
        <v>720</v>
      </c>
    </row>
    <row r="382" spans="1:31">
      <c r="A382" t="s">
        <v>33</v>
      </c>
      <c r="C382">
        <v>632</v>
      </c>
      <c r="D382" t="s">
        <v>2261</v>
      </c>
      <c r="E382" s="11">
        <v>46038</v>
      </c>
      <c r="F382" t="s">
        <v>2262</v>
      </c>
      <c r="G382" t="s">
        <v>45</v>
      </c>
      <c r="J382" t="s">
        <v>720</v>
      </c>
      <c r="K382" t="s">
        <v>2263</v>
      </c>
      <c r="L382" t="s">
        <v>46</v>
      </c>
      <c r="M382" t="s">
        <v>100</v>
      </c>
      <c r="N382" t="s">
        <v>2264</v>
      </c>
      <c r="O382" t="s">
        <v>2265</v>
      </c>
      <c r="P382" s="46" t="str" cm="1">
        <f t="array" aca="1" ref="P382" ca="1">IFERROR(_xlfn.XLOOKUP(tblPedidos[[#This Row],[id_dropi]],tblNotas[[#This Row],[id__dropi]],tblNotas[[#This Row],[Notas Manuales]], “”, 0),"")</f>
        <v/>
      </c>
      <c r="R382" t="s">
        <v>2194</v>
      </c>
      <c r="S382">
        <v>28104.5</v>
      </c>
      <c r="T382">
        <v>-18345.5</v>
      </c>
      <c r="U382" cm="1">
        <f t="array" ref="U382">IFERROR(_xlfn.IFS(tblPedidos[[#This Row],[estado_operativo]]="ENTREGADO",tblPedidos[[#This Row],[ganancia_calc]],tblPedidos[[#This Row],[estado_operativo]]="DEVOLUCION",tblPedidos[[#This Row],[costo_devolucion_estimado]]),0)</f>
        <v>28104.5</v>
      </c>
      <c r="V382">
        <v>0</v>
      </c>
      <c r="W382">
        <v>69900</v>
      </c>
      <c r="X382">
        <v>18345.5</v>
      </c>
      <c r="Y382">
        <v>23450</v>
      </c>
      <c r="Z382" s="11">
        <v>46043</v>
      </c>
      <c r="AA382">
        <v>1</v>
      </c>
      <c r="AB382" s="12">
        <v>0.60763888888888884</v>
      </c>
      <c r="AC382" t="s">
        <v>1039</v>
      </c>
      <c r="AD382" t="s">
        <v>720</v>
      </c>
      <c r="AE382" t="s">
        <v>720</v>
      </c>
    </row>
    <row r="383" spans="1:31">
      <c r="A383" t="s">
        <v>33</v>
      </c>
      <c r="C383">
        <v>631</v>
      </c>
      <c r="D383" t="s">
        <v>2266</v>
      </c>
      <c r="E383" s="11">
        <v>46038</v>
      </c>
      <c r="F383" t="s">
        <v>2267</v>
      </c>
      <c r="G383" t="s">
        <v>45</v>
      </c>
      <c r="J383" t="s">
        <v>1371</v>
      </c>
      <c r="K383" t="s">
        <v>2268</v>
      </c>
      <c r="L383" t="s">
        <v>212</v>
      </c>
      <c r="M383" t="s">
        <v>462</v>
      </c>
      <c r="N383" t="s">
        <v>2269</v>
      </c>
      <c r="O383" t="s">
        <v>2270</v>
      </c>
      <c r="P383" s="46" t="str" cm="1">
        <f t="array" aca="1" ref="P383" ca="1">IFERROR(_xlfn.XLOOKUP(tblPedidos[[#This Row],[id_dropi]],tblNotas[[#This Row],[id__dropi]],tblNotas[[#This Row],[Notas Manuales]], “”, 0),"")</f>
        <v/>
      </c>
      <c r="Q383" t="s">
        <v>2271</v>
      </c>
      <c r="R383" t="s">
        <v>2152</v>
      </c>
      <c r="S383">
        <v>15879.5</v>
      </c>
      <c r="T383">
        <v>-19020.5</v>
      </c>
      <c r="U383" cm="1">
        <f t="array" ref="U383">IFERROR(_xlfn.IFS(tblPedidos[[#This Row],[estado_operativo]]="ENTREGADO",tblPedidos[[#This Row],[ganancia_calc]],tblPedidos[[#This Row],[estado_operativo]]="DEVOLUCION",tblPedidos[[#This Row],[costo_devolucion_estimado]]),0)</f>
        <v>0</v>
      </c>
      <c r="V383">
        <v>0</v>
      </c>
      <c r="W383">
        <v>84900</v>
      </c>
      <c r="X383">
        <v>19020.5</v>
      </c>
      <c r="Y383">
        <v>50000</v>
      </c>
      <c r="Z383" s="11">
        <v>46043</v>
      </c>
      <c r="AA383">
        <v>1</v>
      </c>
      <c r="AB383" s="12">
        <v>0.43263888888888891</v>
      </c>
      <c r="AC383" t="s">
        <v>982</v>
      </c>
      <c r="AD383" t="s">
        <v>982</v>
      </c>
      <c r="AE383" t="s">
        <v>1371</v>
      </c>
    </row>
    <row r="384" spans="1:31">
      <c r="A384" t="s">
        <v>33</v>
      </c>
      <c r="C384">
        <v>634</v>
      </c>
      <c r="D384" t="s">
        <v>2272</v>
      </c>
      <c r="E384" s="11">
        <v>46038</v>
      </c>
      <c r="F384" t="s">
        <v>2273</v>
      </c>
      <c r="G384" t="s">
        <v>45</v>
      </c>
      <c r="J384" t="s">
        <v>720</v>
      </c>
      <c r="K384" t="s">
        <v>2274</v>
      </c>
      <c r="L384" t="s">
        <v>427</v>
      </c>
      <c r="M384" t="s">
        <v>628</v>
      </c>
      <c r="N384" t="s">
        <v>2275</v>
      </c>
      <c r="O384" t="s">
        <v>2276</v>
      </c>
      <c r="P384" s="46" t="str" cm="1">
        <f t="array" aca="1" ref="P384" ca="1">IFERROR(_xlfn.XLOOKUP(tblPedidos[[#This Row],[id_dropi]],tblNotas[[#This Row],[id__dropi]],tblNotas[[#This Row],[Notas Manuales]], “”, 0),"")</f>
        <v/>
      </c>
      <c r="R384" t="s">
        <v>2194</v>
      </c>
      <c r="S384">
        <v>28104.5</v>
      </c>
      <c r="T384">
        <v>-18345.5</v>
      </c>
      <c r="U384" cm="1">
        <f t="array" ref="U384">IFERROR(_xlfn.IFS(tblPedidos[[#This Row],[estado_operativo]]="ENTREGADO",tblPedidos[[#This Row],[ganancia_calc]],tblPedidos[[#This Row],[estado_operativo]]="DEVOLUCION",tblPedidos[[#This Row],[costo_devolucion_estimado]]),0)</f>
        <v>28104.5</v>
      </c>
      <c r="V384">
        <v>0</v>
      </c>
      <c r="W384">
        <v>69900</v>
      </c>
      <c r="X384">
        <v>18345.5</v>
      </c>
      <c r="Y384">
        <v>23450</v>
      </c>
      <c r="Z384" s="11">
        <v>46043</v>
      </c>
      <c r="AA384">
        <v>1</v>
      </c>
      <c r="AB384" s="12">
        <v>0.67500000000000004</v>
      </c>
      <c r="AC384" t="s">
        <v>750</v>
      </c>
      <c r="AD384" t="s">
        <v>720</v>
      </c>
      <c r="AE384" t="s">
        <v>720</v>
      </c>
    </row>
    <row r="385" spans="1:31">
      <c r="A385" t="s">
        <v>33</v>
      </c>
      <c r="C385">
        <v>633</v>
      </c>
      <c r="D385" t="s">
        <v>2277</v>
      </c>
      <c r="E385" s="11">
        <v>46038</v>
      </c>
      <c r="F385" t="s">
        <v>2278</v>
      </c>
      <c r="G385" t="s">
        <v>45</v>
      </c>
      <c r="J385" t="s">
        <v>386</v>
      </c>
      <c r="K385" t="s">
        <v>2279</v>
      </c>
      <c r="L385" t="s">
        <v>545</v>
      </c>
      <c r="M385" t="s">
        <v>2280</v>
      </c>
      <c r="N385" t="s">
        <v>2281</v>
      </c>
      <c r="O385" t="s">
        <v>2282</v>
      </c>
      <c r="P385" s="46" t="str" cm="1">
        <f t="array" aca="1" ref="P385" ca="1">IFERROR(_xlfn.XLOOKUP(tblPedidos[[#This Row],[id_dropi]],tblNotas[[#This Row],[id__dropi]],tblNotas[[#This Row],[Notas Manuales]], “”, 0),"")</f>
        <v/>
      </c>
      <c r="Q385" t="s">
        <v>50</v>
      </c>
      <c r="R385" t="s">
        <v>2283</v>
      </c>
      <c r="S385">
        <v>17004.5</v>
      </c>
      <c r="T385">
        <v>-17895.5</v>
      </c>
      <c r="U385" cm="1">
        <f t="array" ref="U385">IFERROR(_xlfn.IFS(tblPedidos[[#This Row],[estado_operativo]]="ENTREGADO",tblPedidos[[#This Row],[ganancia_calc]],tblPedidos[[#This Row],[estado_operativo]]="DEVOLUCION",tblPedidos[[#This Row],[costo_devolucion_estimado]]),0)</f>
        <v>0</v>
      </c>
      <c r="V385">
        <v>0</v>
      </c>
      <c r="W385">
        <v>59900</v>
      </c>
      <c r="X385">
        <v>17895.5</v>
      </c>
      <c r="Y385">
        <v>25000</v>
      </c>
      <c r="Z385" s="11">
        <v>46043</v>
      </c>
      <c r="AA385">
        <v>1</v>
      </c>
      <c r="AB385" s="12">
        <v>0.50486111111111109</v>
      </c>
      <c r="AC385" t="s">
        <v>982</v>
      </c>
      <c r="AD385" t="s">
        <v>709</v>
      </c>
      <c r="AE385" t="s">
        <v>386</v>
      </c>
    </row>
    <row r="386" spans="1:31">
      <c r="A386" t="s">
        <v>33</v>
      </c>
      <c r="C386">
        <v>630</v>
      </c>
      <c r="D386" t="s">
        <v>2284</v>
      </c>
      <c r="E386" s="11">
        <v>46038</v>
      </c>
      <c r="F386" t="s">
        <v>2285</v>
      </c>
      <c r="G386" t="s">
        <v>45</v>
      </c>
      <c r="J386" t="s">
        <v>522</v>
      </c>
      <c r="K386" t="s">
        <v>2286</v>
      </c>
      <c r="L386" t="s">
        <v>54</v>
      </c>
      <c r="M386" t="s">
        <v>55</v>
      </c>
      <c r="N386" t="s">
        <v>2287</v>
      </c>
      <c r="O386" t="s">
        <v>2288</v>
      </c>
      <c r="P386" s="46" t="str" cm="1">
        <f t="array" aca="1" ref="P386" ca="1">IFERROR(_xlfn.XLOOKUP(tblPedidos[[#This Row],[id_dropi]],tblNotas[[#This Row],[id__dropi]],tblNotas[[#This Row],[Notas Manuales]], “”, 0),"")</f>
        <v/>
      </c>
      <c r="R386" t="s">
        <v>2194</v>
      </c>
      <c r="S386">
        <v>23329.5</v>
      </c>
      <c r="T386">
        <v>-18120.5</v>
      </c>
      <c r="U386" cm="1">
        <f t="array" ref="U386">IFERROR(_xlfn.IFS(tblPedidos[[#This Row],[estado_operativo]]="ENTREGADO",tblPedidos[[#This Row],[ganancia_calc]],tblPedidos[[#This Row],[estado_operativo]]="DEVOLUCION",tblPedidos[[#This Row],[costo_devolucion_estimado]]),0)</f>
        <v>0</v>
      </c>
      <c r="V386">
        <v>0</v>
      </c>
      <c r="W386">
        <v>64900</v>
      </c>
      <c r="X386">
        <v>18120.5</v>
      </c>
      <c r="Y386">
        <v>23450</v>
      </c>
      <c r="Z386" s="11">
        <v>46043</v>
      </c>
      <c r="AA386">
        <v>1</v>
      </c>
      <c r="AB386" s="12">
        <v>0.5083333333333333</v>
      </c>
      <c r="AC386" t="s">
        <v>716</v>
      </c>
      <c r="AD386" t="s">
        <v>717</v>
      </c>
      <c r="AE386" t="s">
        <v>522</v>
      </c>
    </row>
    <row r="387" spans="1:31">
      <c r="A387" t="s">
        <v>1343</v>
      </c>
      <c r="C387">
        <v>627</v>
      </c>
      <c r="D387" t="s">
        <v>2289</v>
      </c>
      <c r="E387" s="11">
        <v>46038</v>
      </c>
      <c r="F387" t="s">
        <v>2290</v>
      </c>
      <c r="G387" t="s">
        <v>45</v>
      </c>
      <c r="J387" t="s">
        <v>720</v>
      </c>
      <c r="K387" t="s">
        <v>2291</v>
      </c>
      <c r="L387" t="s">
        <v>111</v>
      </c>
      <c r="M387" t="s">
        <v>695</v>
      </c>
      <c r="N387" t="s">
        <v>2292</v>
      </c>
      <c r="O387" t="s">
        <v>2293</v>
      </c>
      <c r="P387" s="46" t="str" cm="1">
        <f t="array" aca="1" ref="P387" ca="1">IFERROR(_xlfn.XLOOKUP(tblPedidos[[#This Row],[id_dropi]],tblNotas[[#This Row],[id__dropi]],tblNotas[[#This Row],[Notas Manuales]], “”, 0),"")</f>
        <v/>
      </c>
      <c r="R387" t="s">
        <v>2194</v>
      </c>
      <c r="S387">
        <v>28104.5</v>
      </c>
      <c r="T387">
        <v>-18345.5</v>
      </c>
      <c r="U387" cm="1">
        <f t="array" ref="U387">IFERROR(_xlfn.IFS(tblPedidos[[#This Row],[estado_operativo]]="ENTREGADO",tblPedidos[[#This Row],[ganancia_calc]],tblPedidos[[#This Row],[estado_operativo]]="DEVOLUCION",tblPedidos[[#This Row],[costo_devolucion_estimado]]),0)</f>
        <v>28104.5</v>
      </c>
      <c r="V387">
        <v>28104.5</v>
      </c>
      <c r="W387">
        <v>69900</v>
      </c>
      <c r="X387">
        <v>18345.5</v>
      </c>
      <c r="Y387">
        <v>23450</v>
      </c>
      <c r="Z387" s="11">
        <v>46043</v>
      </c>
      <c r="AA387">
        <v>1</v>
      </c>
      <c r="AB387" s="12">
        <v>0.44513888888888886</v>
      </c>
      <c r="AC387" t="s">
        <v>716</v>
      </c>
      <c r="AD387" t="s">
        <v>720</v>
      </c>
      <c r="AE387" t="s">
        <v>720</v>
      </c>
    </row>
    <row r="388" spans="1:31">
      <c r="A388" t="s">
        <v>33</v>
      </c>
      <c r="C388">
        <v>626</v>
      </c>
      <c r="D388" t="s">
        <v>2294</v>
      </c>
      <c r="E388" s="11">
        <v>46038</v>
      </c>
      <c r="F388" t="s">
        <v>2295</v>
      </c>
      <c r="G388" t="s">
        <v>45</v>
      </c>
      <c r="J388" t="s">
        <v>720</v>
      </c>
      <c r="K388" t="s">
        <v>2296</v>
      </c>
      <c r="L388" t="s">
        <v>166</v>
      </c>
      <c r="M388" t="s">
        <v>468</v>
      </c>
      <c r="N388" t="s">
        <v>2297</v>
      </c>
      <c r="O388" t="s">
        <v>2298</v>
      </c>
      <c r="P388" s="46" t="str" cm="1">
        <f t="array" aca="1" ref="P388" ca="1">IFERROR(_xlfn.XLOOKUP(tblPedidos[[#This Row],[id_dropi]],tblNotas[[#This Row],[id__dropi]],tblNotas[[#This Row],[Notas Manuales]], “”, 0),"")</f>
        <v/>
      </c>
      <c r="R388" t="s">
        <v>2194</v>
      </c>
      <c r="S388">
        <v>23329.5</v>
      </c>
      <c r="T388">
        <v>-18120.5</v>
      </c>
      <c r="U388" cm="1">
        <f t="array" ref="U388">IFERROR(_xlfn.IFS(tblPedidos[[#This Row],[estado_operativo]]="ENTREGADO",tblPedidos[[#This Row],[ganancia_calc]],tblPedidos[[#This Row],[estado_operativo]]="DEVOLUCION",tblPedidos[[#This Row],[costo_devolucion_estimado]]),0)</f>
        <v>23329.5</v>
      </c>
      <c r="V388">
        <v>0</v>
      </c>
      <c r="W388">
        <v>64900</v>
      </c>
      <c r="X388">
        <v>18120.5</v>
      </c>
      <c r="Y388">
        <v>23450</v>
      </c>
      <c r="Z388" s="11">
        <v>46043</v>
      </c>
      <c r="AA388">
        <v>1</v>
      </c>
      <c r="AB388" s="12">
        <v>0.67500000000000004</v>
      </c>
      <c r="AC388" t="s">
        <v>725</v>
      </c>
      <c r="AD388" t="s">
        <v>720</v>
      </c>
      <c r="AE388" t="s">
        <v>720</v>
      </c>
    </row>
    <row r="389" spans="1:31">
      <c r="A389" t="s">
        <v>33</v>
      </c>
      <c r="C389">
        <v>629</v>
      </c>
      <c r="D389" t="s">
        <v>2299</v>
      </c>
      <c r="E389" s="11">
        <v>46038</v>
      </c>
      <c r="F389" t="s">
        <v>2300</v>
      </c>
      <c r="G389" t="s">
        <v>45</v>
      </c>
      <c r="J389" t="s">
        <v>750</v>
      </c>
      <c r="K389" t="s">
        <v>2301</v>
      </c>
      <c r="L389" t="s">
        <v>1003</v>
      </c>
      <c r="M389" t="s">
        <v>1823</v>
      </c>
      <c r="N389" t="s">
        <v>2302</v>
      </c>
      <c r="O389" t="s">
        <v>2303</v>
      </c>
      <c r="P389" s="46" t="str" cm="1">
        <f t="array" aca="1" ref="P389" ca="1">IFERROR(_xlfn.XLOOKUP(tblPedidos[[#This Row],[id_dropi]],tblNotas[[#This Row],[id__dropi]],tblNotas[[#This Row],[Notas Manuales]], “”, 0),"")</f>
        <v/>
      </c>
      <c r="R389" t="s">
        <v>2194</v>
      </c>
      <c r="S389">
        <v>32654.5</v>
      </c>
      <c r="T389">
        <v>-13795.5</v>
      </c>
      <c r="U389" cm="1">
        <f t="array" ref="U389">IFERROR(_xlfn.IFS(tblPedidos[[#This Row],[estado_operativo]]="ENTREGADO",tblPedidos[[#This Row],[ganancia_calc]],tblPedidos[[#This Row],[estado_operativo]]="DEVOLUCION",tblPedidos[[#This Row],[costo_devolucion_estimado]]),0)</f>
        <v>0</v>
      </c>
      <c r="V389">
        <v>0</v>
      </c>
      <c r="W389">
        <v>69900</v>
      </c>
      <c r="X389">
        <v>13795.5</v>
      </c>
      <c r="Y389">
        <v>23450</v>
      </c>
      <c r="Z389" s="11">
        <v>46043</v>
      </c>
      <c r="AA389">
        <v>1</v>
      </c>
      <c r="AB389" s="12">
        <v>0.4284722222222222</v>
      </c>
      <c r="AC389" t="s">
        <v>944</v>
      </c>
      <c r="AD389" t="s">
        <v>757</v>
      </c>
      <c r="AE389" t="s">
        <v>750</v>
      </c>
    </row>
    <row r="390" spans="1:31">
      <c r="A390" t="s">
        <v>33</v>
      </c>
      <c r="C390">
        <v>628</v>
      </c>
      <c r="D390" t="s">
        <v>2304</v>
      </c>
      <c r="E390" s="11">
        <v>46038</v>
      </c>
      <c r="F390" t="s">
        <v>2305</v>
      </c>
      <c r="G390" t="s">
        <v>45</v>
      </c>
      <c r="J390" t="s">
        <v>386</v>
      </c>
      <c r="K390" t="s">
        <v>2306</v>
      </c>
      <c r="L390" t="s">
        <v>111</v>
      </c>
      <c r="M390" t="s">
        <v>2307</v>
      </c>
      <c r="N390" t="s">
        <v>2308</v>
      </c>
      <c r="O390" t="s">
        <v>2309</v>
      </c>
      <c r="P390" s="46" t="str" cm="1">
        <f t="array" aca="1" ref="P390" ca="1">IFERROR(_xlfn.XLOOKUP(tblPedidos[[#This Row],[id_dropi]],tblNotas[[#This Row],[id__dropi]],tblNotas[[#This Row],[Notas Manuales]], “”, 0),"")</f>
        <v/>
      </c>
      <c r="Q390" t="s">
        <v>2310</v>
      </c>
      <c r="R390" t="s">
        <v>2311</v>
      </c>
      <c r="S390">
        <v>22829.5</v>
      </c>
      <c r="T390">
        <v>-17670.5</v>
      </c>
      <c r="U390" cm="1">
        <f t="array" ref="U390">IFERROR(_xlfn.IFS(tblPedidos[[#This Row],[estado_operativo]]="ENTREGADO",tblPedidos[[#This Row],[ganancia_calc]],tblPedidos[[#This Row],[estado_operativo]]="DEVOLUCION",tblPedidos[[#This Row],[costo_devolucion_estimado]]),0)</f>
        <v>0</v>
      </c>
      <c r="V390">
        <v>0</v>
      </c>
      <c r="W390">
        <v>54900</v>
      </c>
      <c r="X390">
        <v>17670.5</v>
      </c>
      <c r="Y390">
        <v>14400</v>
      </c>
      <c r="Z390" s="11">
        <v>46043</v>
      </c>
      <c r="AA390">
        <v>1</v>
      </c>
      <c r="AB390" s="12">
        <v>0.4284722222222222</v>
      </c>
      <c r="AC390" t="s">
        <v>982</v>
      </c>
      <c r="AD390" t="s">
        <v>709</v>
      </c>
      <c r="AE390" t="s">
        <v>386</v>
      </c>
    </row>
    <row r="391" spans="1:31">
      <c r="A391" t="s">
        <v>33</v>
      </c>
      <c r="C391">
        <v>635</v>
      </c>
      <c r="D391" t="s">
        <v>2312</v>
      </c>
      <c r="E391" s="11">
        <v>46038</v>
      </c>
      <c r="F391" t="s">
        <v>2313</v>
      </c>
      <c r="G391" t="s">
        <v>36</v>
      </c>
      <c r="J391" t="s">
        <v>959</v>
      </c>
      <c r="K391" t="s">
        <v>2314</v>
      </c>
      <c r="L391" t="s">
        <v>38</v>
      </c>
      <c r="M391" t="s">
        <v>39</v>
      </c>
      <c r="N391" t="s">
        <v>2315</v>
      </c>
      <c r="O391" t="s">
        <v>2316</v>
      </c>
      <c r="P391" s="46" t="str" cm="1">
        <f t="array" aca="1" ref="P391" ca="1">IFERROR(_xlfn.XLOOKUP(tblPedidos[[#This Row],[id_dropi]],tblNotas[[#This Row],[id__dropi]],tblNotas[[#This Row],[Notas Manuales]], “”, 0),"")</f>
        <v/>
      </c>
      <c r="R391" t="s">
        <v>2283</v>
      </c>
      <c r="S391">
        <v>19686.5</v>
      </c>
      <c r="T391">
        <v>-12170.800000000001</v>
      </c>
      <c r="U391" cm="1">
        <f t="array" ref="U391">IFERROR(_xlfn.IFS(tblPedidos[[#This Row],[estado_operativo]]="ENTREGADO",tblPedidos[[#This Row],[ganancia_calc]],tblPedidos[[#This Row],[estado_operativo]]="DEVOLUCION",tblPedidos[[#This Row],[costo_devolucion_estimado]]),0)</f>
        <v>0</v>
      </c>
      <c r="V391">
        <v>0</v>
      </c>
      <c r="W391">
        <v>59900</v>
      </c>
      <c r="X391">
        <v>15213.5</v>
      </c>
      <c r="Y391">
        <v>25000</v>
      </c>
      <c r="Z391" s="11">
        <v>46040</v>
      </c>
      <c r="AA391">
        <v>4</v>
      </c>
      <c r="AB391" s="12">
        <v>0.56388888888888888</v>
      </c>
      <c r="AC391" t="s">
        <v>788</v>
      </c>
      <c r="AD391" t="s">
        <v>1103</v>
      </c>
      <c r="AE391" t="s">
        <v>959</v>
      </c>
    </row>
    <row r="392" spans="1:31">
      <c r="A392" t="s">
        <v>33</v>
      </c>
      <c r="C392">
        <v>642</v>
      </c>
      <c r="D392" t="s">
        <v>2317</v>
      </c>
      <c r="E392" s="11">
        <v>46038</v>
      </c>
      <c r="F392" t="s">
        <v>2318</v>
      </c>
      <c r="G392" t="s">
        <v>45</v>
      </c>
      <c r="J392" t="s">
        <v>720</v>
      </c>
      <c r="K392" t="s">
        <v>2319</v>
      </c>
      <c r="L392" t="s">
        <v>166</v>
      </c>
      <c r="M392" t="s">
        <v>468</v>
      </c>
      <c r="N392" t="s">
        <v>2320</v>
      </c>
      <c r="O392" t="s">
        <v>2321</v>
      </c>
      <c r="P392" s="46" t="str" cm="1">
        <f t="array" aca="1" ref="P392" ca="1">IFERROR(_xlfn.XLOOKUP(tblPedidos[[#This Row],[id_dropi]],tblNotas[[#This Row],[id__dropi]],tblNotas[[#This Row],[Notas Manuales]], “”, 0),"")</f>
        <v/>
      </c>
      <c r="R392" t="s">
        <v>2194</v>
      </c>
      <c r="S392">
        <v>28104.5</v>
      </c>
      <c r="T392">
        <v>-18345.5</v>
      </c>
      <c r="U392" cm="1">
        <f t="array" ref="U392">IFERROR(_xlfn.IFS(tblPedidos[[#This Row],[estado_operativo]]="ENTREGADO",tblPedidos[[#This Row],[ganancia_calc]],tblPedidos[[#This Row],[estado_operativo]]="DEVOLUCION",tblPedidos[[#This Row],[costo_devolucion_estimado]]),0)</f>
        <v>28104.5</v>
      </c>
      <c r="V392">
        <v>0</v>
      </c>
      <c r="W392">
        <v>69900</v>
      </c>
      <c r="X392">
        <v>18345.5</v>
      </c>
      <c r="Y392">
        <v>23450</v>
      </c>
      <c r="Z392" s="11">
        <v>46043</v>
      </c>
      <c r="AA392">
        <v>1</v>
      </c>
      <c r="AB392" s="12">
        <v>0.67500000000000004</v>
      </c>
      <c r="AC392" t="s">
        <v>725</v>
      </c>
      <c r="AD392" t="s">
        <v>720</v>
      </c>
      <c r="AE392" t="s">
        <v>720</v>
      </c>
    </row>
    <row r="393" spans="1:31">
      <c r="A393" t="s">
        <v>1343</v>
      </c>
      <c r="C393">
        <v>641</v>
      </c>
      <c r="D393" t="s">
        <v>2322</v>
      </c>
      <c r="E393" s="11">
        <v>46038</v>
      </c>
      <c r="F393" t="s">
        <v>2323</v>
      </c>
      <c r="G393" t="s">
        <v>36</v>
      </c>
      <c r="J393" t="s">
        <v>720</v>
      </c>
      <c r="K393" t="s">
        <v>2324</v>
      </c>
      <c r="L393" t="s">
        <v>81</v>
      </c>
      <c r="M393" t="s">
        <v>118</v>
      </c>
      <c r="N393" t="s">
        <v>2325</v>
      </c>
      <c r="O393" t="s">
        <v>2326</v>
      </c>
      <c r="P393" s="46" t="str" cm="1">
        <f t="array" aca="1" ref="P393" ca="1">IFERROR(_xlfn.XLOOKUP(tblPedidos[[#This Row],[id_dropi]],tblNotas[[#This Row],[id__dropi]],tblNotas[[#This Row],[Notas Manuales]], “”, 0),"")</f>
        <v/>
      </c>
      <c r="Q393" t="s">
        <v>2327</v>
      </c>
      <c r="R393" t="s">
        <v>2152</v>
      </c>
      <c r="S393">
        <v>26792.5</v>
      </c>
      <c r="T393">
        <v>-10486</v>
      </c>
      <c r="U393" cm="1">
        <f t="array" ref="U393">IFERROR(_xlfn.IFS(tblPedidos[[#This Row],[estado_operativo]]="ENTREGADO",tblPedidos[[#This Row],[ganancia_calc]],tblPedidos[[#This Row],[estado_operativo]]="DEVOLUCION",tblPedidos[[#This Row],[costo_devolucion_estimado]]),0)</f>
        <v>26792.5</v>
      </c>
      <c r="V393">
        <v>53585</v>
      </c>
      <c r="W393">
        <v>89900</v>
      </c>
      <c r="X393">
        <v>13107.5</v>
      </c>
      <c r="Y393">
        <v>50000</v>
      </c>
      <c r="Z393" s="11">
        <v>46039</v>
      </c>
      <c r="AA393">
        <v>5</v>
      </c>
      <c r="AB393" s="12">
        <v>0.7416666666666667</v>
      </c>
      <c r="AC393" t="s">
        <v>399</v>
      </c>
      <c r="AD393" t="s">
        <v>720</v>
      </c>
      <c r="AE393" t="s">
        <v>720</v>
      </c>
    </row>
    <row r="394" spans="1:31">
      <c r="A394" t="s">
        <v>1343</v>
      </c>
      <c r="C394">
        <v>644</v>
      </c>
      <c r="D394" t="s">
        <v>2328</v>
      </c>
      <c r="E394" s="11">
        <v>46038</v>
      </c>
      <c r="F394" t="s">
        <v>2329</v>
      </c>
      <c r="G394" t="s">
        <v>45</v>
      </c>
      <c r="J394" t="s">
        <v>720</v>
      </c>
      <c r="K394" t="s">
        <v>2330</v>
      </c>
      <c r="L394" t="s">
        <v>46</v>
      </c>
      <c r="M394" t="s">
        <v>100</v>
      </c>
      <c r="N394" t="s">
        <v>2331</v>
      </c>
      <c r="O394" t="s">
        <v>2332</v>
      </c>
      <c r="P394" s="46" t="str" cm="1">
        <f t="array" aca="1" ref="P394" ca="1">IFERROR(_xlfn.XLOOKUP(tblPedidos[[#This Row],[id_dropi]],tblNotas[[#This Row],[id__dropi]],tblNotas[[#This Row],[Notas Manuales]], “”, 0),"")</f>
        <v/>
      </c>
      <c r="Q394" t="s">
        <v>2333</v>
      </c>
      <c r="R394" t="s">
        <v>2152</v>
      </c>
      <c r="S394">
        <v>20654.5</v>
      </c>
      <c r="T394">
        <v>-19245.5</v>
      </c>
      <c r="U394" cm="1">
        <f t="array" ref="U394">IFERROR(_xlfn.IFS(tblPedidos[[#This Row],[estado_operativo]]="ENTREGADO",tblPedidos[[#This Row],[ganancia_calc]],tblPedidos[[#This Row],[estado_operativo]]="DEVOLUCION",tblPedidos[[#This Row],[costo_devolucion_estimado]]),0)</f>
        <v>20654.5</v>
      </c>
      <c r="V394">
        <v>41309</v>
      </c>
      <c r="W394">
        <v>89900</v>
      </c>
      <c r="X394">
        <v>19245.5</v>
      </c>
      <c r="Y394">
        <v>50000</v>
      </c>
      <c r="Z394" s="11">
        <v>46041</v>
      </c>
      <c r="AA394">
        <v>3</v>
      </c>
      <c r="AB394" s="12">
        <v>0.61388888888888893</v>
      </c>
      <c r="AC394" t="s">
        <v>720</v>
      </c>
      <c r="AD394" t="s">
        <v>720</v>
      </c>
      <c r="AE394" t="s">
        <v>720</v>
      </c>
    </row>
    <row r="395" spans="1:31">
      <c r="A395" t="s">
        <v>33</v>
      </c>
      <c r="C395">
        <v>643</v>
      </c>
      <c r="D395" t="s">
        <v>2334</v>
      </c>
      <c r="E395" s="11">
        <v>46038</v>
      </c>
      <c r="F395" t="s">
        <v>2335</v>
      </c>
      <c r="G395" t="s">
        <v>45</v>
      </c>
      <c r="J395" t="s">
        <v>720</v>
      </c>
      <c r="K395" t="s">
        <v>2336</v>
      </c>
      <c r="L395" t="s">
        <v>54</v>
      </c>
      <c r="M395" t="s">
        <v>1995</v>
      </c>
      <c r="N395" t="s">
        <v>2337</v>
      </c>
      <c r="O395" t="s">
        <v>2338</v>
      </c>
      <c r="P395" s="46" t="str" cm="1">
        <f t="array" aca="1" ref="P395" ca="1">IFERROR(_xlfn.XLOOKUP(tblPedidos[[#This Row],[id_dropi]],tblNotas[[#This Row],[id__dropi]],tblNotas[[#This Row],[Notas Manuales]], “”, 0),"")</f>
        <v/>
      </c>
      <c r="Q395" t="s">
        <v>2339</v>
      </c>
      <c r="R395" t="s">
        <v>2152</v>
      </c>
      <c r="S395">
        <v>20654.5</v>
      </c>
      <c r="T395">
        <v>-19245.5</v>
      </c>
      <c r="U395" cm="1">
        <f t="array" ref="U395">IFERROR(_xlfn.IFS(tblPedidos[[#This Row],[estado_operativo]]="ENTREGADO",tblPedidos[[#This Row],[ganancia_calc]],tblPedidos[[#This Row],[estado_operativo]]="DEVOLUCION",tblPedidos[[#This Row],[costo_devolucion_estimado]]),0)</f>
        <v>20654.5</v>
      </c>
      <c r="V395">
        <v>0</v>
      </c>
      <c r="W395">
        <v>89900</v>
      </c>
      <c r="X395">
        <v>19245.5</v>
      </c>
      <c r="Y395">
        <v>50000</v>
      </c>
      <c r="Z395" s="11">
        <v>46043</v>
      </c>
      <c r="AA395">
        <v>1</v>
      </c>
      <c r="AB395" s="12">
        <v>0.42986111111111114</v>
      </c>
      <c r="AC395" t="s">
        <v>982</v>
      </c>
      <c r="AD395" t="s">
        <v>720</v>
      </c>
      <c r="AE395" t="s">
        <v>720</v>
      </c>
    </row>
    <row r="396" spans="1:31" s="44" customFormat="1">
      <c r="A396" t="s">
        <v>1343</v>
      </c>
      <c r="B396"/>
      <c r="C396">
        <v>640</v>
      </c>
      <c r="D396" t="s">
        <v>2340</v>
      </c>
      <c r="E396" s="11">
        <v>46038</v>
      </c>
      <c r="F396" t="s">
        <v>2341</v>
      </c>
      <c r="G396" t="s">
        <v>45</v>
      </c>
      <c r="H396"/>
      <c r="I396"/>
      <c r="J396" t="s">
        <v>720</v>
      </c>
      <c r="K396" t="s">
        <v>2342</v>
      </c>
      <c r="L396" t="s">
        <v>212</v>
      </c>
      <c r="M396" t="s">
        <v>2343</v>
      </c>
      <c r="N396" t="s">
        <v>2344</v>
      </c>
      <c r="O396" t="s">
        <v>2345</v>
      </c>
      <c r="P396" s="46" t="str" cm="1">
        <f t="array" aca="1" ref="P396" ca="1">IFERROR(_xlfn.XLOOKUP(tblPedidos[[#This Row],[id_dropi]],tblNotas[[#This Row],[id__dropi]],tblNotas[[#This Row],[Notas Manuales]], “”, 0),"")</f>
        <v/>
      </c>
      <c r="Q396" t="s">
        <v>2346</v>
      </c>
      <c r="R396" t="s">
        <v>2311</v>
      </c>
      <c r="S396">
        <v>22829.5</v>
      </c>
      <c r="T396">
        <v>-17670.5</v>
      </c>
      <c r="U396" cm="1">
        <f t="array" ref="U396">IFERROR(_xlfn.IFS(tblPedidos[[#This Row],[estado_operativo]]="ENTREGADO",tblPedidos[[#This Row],[ganancia_calc]],tblPedidos[[#This Row],[estado_operativo]]="DEVOLUCION",tblPedidos[[#This Row],[costo_devolucion_estimado]]),0)</f>
        <v>22829.5</v>
      </c>
      <c r="V396">
        <v>45659</v>
      </c>
      <c r="W396">
        <v>54900</v>
      </c>
      <c r="X396">
        <v>17670.5</v>
      </c>
      <c r="Y396">
        <v>14400</v>
      </c>
      <c r="Z396" s="11">
        <v>46041</v>
      </c>
      <c r="AA396">
        <v>3</v>
      </c>
      <c r="AB396" s="12">
        <v>0.42638888888888887</v>
      </c>
      <c r="AC396" t="s">
        <v>720</v>
      </c>
      <c r="AD396" t="s">
        <v>720</v>
      </c>
      <c r="AE396" t="s">
        <v>720</v>
      </c>
    </row>
    <row r="397" spans="1:31" s="44" customFormat="1">
      <c r="A397" t="s">
        <v>33</v>
      </c>
      <c r="B397"/>
      <c r="C397">
        <v>637</v>
      </c>
      <c r="D397" t="s">
        <v>2347</v>
      </c>
      <c r="E397" s="11">
        <v>46038</v>
      </c>
      <c r="F397" t="s">
        <v>2348</v>
      </c>
      <c r="G397" t="s">
        <v>45</v>
      </c>
      <c r="H397"/>
      <c r="I397"/>
      <c r="J397" t="s">
        <v>1371</v>
      </c>
      <c r="K397" t="s">
        <v>2349</v>
      </c>
      <c r="L397" t="s">
        <v>87</v>
      </c>
      <c r="M397" t="s">
        <v>1248</v>
      </c>
      <c r="N397" t="s">
        <v>2350</v>
      </c>
      <c r="O397" t="s">
        <v>2351</v>
      </c>
      <c r="P397" s="46" t="str" cm="1">
        <f t="array" aca="1" ref="P397" ca="1">IFERROR(_xlfn.XLOOKUP(tblPedidos[[#This Row],[id_dropi]],tblNotas[[#This Row],[id__dropi]],tblNotas[[#This Row],[Notas Manuales]], “”, 0),"")</f>
        <v/>
      </c>
      <c r="Q397" t="s">
        <v>2352</v>
      </c>
      <c r="R397" t="s">
        <v>2207</v>
      </c>
      <c r="S397">
        <v>27529.5</v>
      </c>
      <c r="T397">
        <v>-18570.5</v>
      </c>
      <c r="U397" cm="1">
        <f t="array" ref="U397">IFERROR(_xlfn.IFS(tblPedidos[[#This Row],[estado_operativo]]="ENTREGADO",tblPedidos[[#This Row],[ganancia_calc]],tblPedidos[[#This Row],[estado_operativo]]="DEVOLUCION",tblPedidos[[#This Row],[costo_devolucion_estimado]]),0)</f>
        <v>0</v>
      </c>
      <c r="V397">
        <v>0</v>
      </c>
      <c r="W397">
        <v>74900</v>
      </c>
      <c r="X397">
        <v>18570.5</v>
      </c>
      <c r="Y397">
        <v>28800</v>
      </c>
      <c r="Z397" s="11">
        <v>46043</v>
      </c>
      <c r="AA397">
        <v>1</v>
      </c>
      <c r="AB397" s="12">
        <v>0.43125000000000002</v>
      </c>
      <c r="AC397" t="s">
        <v>982</v>
      </c>
      <c r="AD397" t="s">
        <v>982</v>
      </c>
      <c r="AE397" t="s">
        <v>1371</v>
      </c>
    </row>
    <row r="398" spans="1:31" s="36" customFormat="1">
      <c r="A398" t="s">
        <v>1343</v>
      </c>
      <c r="B398"/>
      <c r="C398">
        <v>636</v>
      </c>
      <c r="D398" t="s">
        <v>2353</v>
      </c>
      <c r="E398" s="11">
        <v>46038</v>
      </c>
      <c r="F398" t="s">
        <v>2354</v>
      </c>
      <c r="G398" t="s">
        <v>36</v>
      </c>
      <c r="H398"/>
      <c r="I398"/>
      <c r="J398" t="s">
        <v>720</v>
      </c>
      <c r="K398" t="s">
        <v>2355</v>
      </c>
      <c r="L398" t="s">
        <v>54</v>
      </c>
      <c r="M398" t="s">
        <v>373</v>
      </c>
      <c r="N398" t="s">
        <v>2356</v>
      </c>
      <c r="O398" t="s">
        <v>2357</v>
      </c>
      <c r="P398" s="46" t="str" cm="1">
        <f t="array" aca="1" ref="P398" ca="1">IFERROR(_xlfn.XLOOKUP(tblPedidos[[#This Row],[id_dropi]],tblNotas[[#This Row],[id__dropi]],tblNotas[[#This Row],[Notas Manuales]], “”, 0),"")</f>
        <v/>
      </c>
      <c r="Q398"/>
      <c r="R398" t="s">
        <v>2152</v>
      </c>
      <c r="S398">
        <v>23336.5</v>
      </c>
      <c r="T398">
        <v>-13250.800000000001</v>
      </c>
      <c r="U398" cm="1">
        <f t="array" ref="U398">IFERROR(_xlfn.IFS(tblPedidos[[#This Row],[estado_operativo]]="ENTREGADO",tblPedidos[[#This Row],[ganancia_calc]],tblPedidos[[#This Row],[estado_operativo]]="DEVOLUCION",tblPedidos[[#This Row],[costo_devolucion_estimado]]),0)</f>
        <v>23336.5</v>
      </c>
      <c r="V398">
        <v>23336.5</v>
      </c>
      <c r="W398">
        <v>89900</v>
      </c>
      <c r="X398">
        <v>16563.5</v>
      </c>
      <c r="Y398">
        <v>50000</v>
      </c>
      <c r="Z398" s="11">
        <v>46039</v>
      </c>
      <c r="AA398">
        <v>5</v>
      </c>
      <c r="AB398" s="12">
        <v>0.74236111111111114</v>
      </c>
      <c r="AC398" t="s">
        <v>399</v>
      </c>
      <c r="AD398" t="s">
        <v>720</v>
      </c>
      <c r="AE398" t="s">
        <v>720</v>
      </c>
    </row>
    <row r="399" spans="1:31">
      <c r="A399" t="s">
        <v>1343</v>
      </c>
      <c r="C399">
        <v>639</v>
      </c>
      <c r="D399" t="s">
        <v>2358</v>
      </c>
      <c r="E399" s="11">
        <v>46038</v>
      </c>
      <c r="F399" t="s">
        <v>2359</v>
      </c>
      <c r="G399" t="s">
        <v>36</v>
      </c>
      <c r="J399" t="s">
        <v>720</v>
      </c>
      <c r="K399" t="s">
        <v>2360</v>
      </c>
      <c r="L399" t="s">
        <v>46</v>
      </c>
      <c r="M399" t="s">
        <v>2361</v>
      </c>
      <c r="N399" t="s">
        <v>2362</v>
      </c>
      <c r="O399" t="s">
        <v>2363</v>
      </c>
      <c r="P399" s="46" t="str" cm="1">
        <f t="array" aca="1" ref="P399" ca="1">IFERROR(_xlfn.XLOOKUP(tblPedidos[[#This Row],[id_dropi]],tblNotas[[#This Row],[id__dropi]],tblNotas[[#This Row],[Notas Manuales]], “”, 0),"")</f>
        <v/>
      </c>
      <c r="R399" t="s">
        <v>2152</v>
      </c>
      <c r="S399">
        <v>23336.5</v>
      </c>
      <c r="T399">
        <v>-13250.800000000001</v>
      </c>
      <c r="U399" cm="1">
        <f t="array" ref="U399">IFERROR(_xlfn.IFS(tblPedidos[[#This Row],[estado_operativo]]="ENTREGADO",tblPedidos[[#This Row],[ganancia_calc]],tblPedidos[[#This Row],[estado_operativo]]="DEVOLUCION",tblPedidos[[#This Row],[costo_devolucion_estimado]]),0)</f>
        <v>23336.5</v>
      </c>
      <c r="V399">
        <v>23336.5</v>
      </c>
      <c r="W399">
        <v>89900</v>
      </c>
      <c r="X399">
        <v>16563.5</v>
      </c>
      <c r="Y399">
        <v>50000</v>
      </c>
      <c r="Z399" s="11">
        <v>46039</v>
      </c>
      <c r="AA399">
        <v>5</v>
      </c>
      <c r="AB399" s="12">
        <v>0.74305555555555558</v>
      </c>
      <c r="AC399" t="s">
        <v>399</v>
      </c>
      <c r="AD399" t="s">
        <v>720</v>
      </c>
      <c r="AE399" t="s">
        <v>720</v>
      </c>
    </row>
    <row r="400" spans="1:31">
      <c r="A400" t="s">
        <v>33</v>
      </c>
      <c r="C400">
        <v>638</v>
      </c>
      <c r="D400" t="s">
        <v>2364</v>
      </c>
      <c r="E400" s="11">
        <v>46038</v>
      </c>
      <c r="F400" t="s">
        <v>2365</v>
      </c>
      <c r="G400" t="s">
        <v>45</v>
      </c>
      <c r="J400" t="s">
        <v>522</v>
      </c>
      <c r="K400" t="s">
        <v>2366</v>
      </c>
      <c r="L400" t="s">
        <v>166</v>
      </c>
      <c r="M400" t="s">
        <v>468</v>
      </c>
      <c r="N400" t="s">
        <v>2367</v>
      </c>
      <c r="O400" t="s">
        <v>2368</v>
      </c>
      <c r="P400" s="46" t="str" cm="1">
        <f t="array" aca="1" ref="P400" ca="1">IFERROR(_xlfn.XLOOKUP(tblPedidos[[#This Row],[id_dropi]],tblNotas[[#This Row],[id__dropi]],tblNotas[[#This Row],[Notas Manuales]], “”, 0),"")</f>
        <v/>
      </c>
      <c r="Q400" t="s">
        <v>2369</v>
      </c>
      <c r="R400" t="s">
        <v>2311</v>
      </c>
      <c r="S400">
        <v>22829.5</v>
      </c>
      <c r="T400">
        <v>-17670.5</v>
      </c>
      <c r="U400" cm="1">
        <f t="array" ref="U400">IFERROR(_xlfn.IFS(tblPedidos[[#This Row],[estado_operativo]]="ENTREGADO",tblPedidos[[#This Row],[ganancia_calc]],tblPedidos[[#This Row],[estado_operativo]]="DEVOLUCION",tblPedidos[[#This Row],[costo_devolucion_estimado]]),0)</f>
        <v>0</v>
      </c>
      <c r="V400">
        <v>0</v>
      </c>
      <c r="W400">
        <v>54900</v>
      </c>
      <c r="X400">
        <v>17670.5</v>
      </c>
      <c r="Y400">
        <v>14400</v>
      </c>
      <c r="Z400" s="11">
        <v>46043</v>
      </c>
      <c r="AA400">
        <v>1</v>
      </c>
      <c r="AB400" s="12">
        <v>0.43263888888888891</v>
      </c>
      <c r="AC400" t="s">
        <v>716</v>
      </c>
      <c r="AD400" t="s">
        <v>717</v>
      </c>
      <c r="AE400" t="s">
        <v>522</v>
      </c>
    </row>
    <row r="401" spans="1:31">
      <c r="A401" t="s">
        <v>1343</v>
      </c>
      <c r="C401">
        <v>665</v>
      </c>
      <c r="D401" t="s">
        <v>2370</v>
      </c>
      <c r="E401" s="11">
        <v>46038</v>
      </c>
      <c r="F401" t="s">
        <v>2371</v>
      </c>
      <c r="G401" t="s">
        <v>45</v>
      </c>
      <c r="J401" t="s">
        <v>720</v>
      </c>
      <c r="K401" t="s">
        <v>2372</v>
      </c>
      <c r="L401" t="s">
        <v>1003</v>
      </c>
      <c r="M401" t="s">
        <v>2373</v>
      </c>
      <c r="N401" t="s">
        <v>2374</v>
      </c>
      <c r="O401" t="s">
        <v>2375</v>
      </c>
      <c r="P401" s="46" t="str" cm="1">
        <f t="array" aca="1" ref="P401" ca="1">IFERROR(_xlfn.XLOOKUP(tblPedidos[[#This Row],[id_dropi]],tblNotas[[#This Row],[id__dropi]],tblNotas[[#This Row],[Notas Manuales]], “”, 0),"")</f>
        <v/>
      </c>
      <c r="Q401" t="s">
        <v>2376</v>
      </c>
      <c r="R401" t="s">
        <v>2152</v>
      </c>
      <c r="S401">
        <v>20429.5</v>
      </c>
      <c r="T401">
        <v>-14470.5</v>
      </c>
      <c r="U401" cm="1">
        <f t="array" ref="U401">IFERROR(_xlfn.IFS(tblPedidos[[#This Row],[estado_operativo]]="ENTREGADO",tblPedidos[[#This Row],[ganancia_calc]],tblPedidos[[#This Row],[estado_operativo]]="DEVOLUCION",tblPedidos[[#This Row],[costo_devolucion_estimado]]),0)</f>
        <v>20429.5</v>
      </c>
      <c r="V401">
        <v>40859</v>
      </c>
      <c r="W401">
        <v>84900</v>
      </c>
      <c r="X401">
        <v>14470.5</v>
      </c>
      <c r="Y401">
        <v>50000</v>
      </c>
      <c r="Z401" s="11">
        <v>46041</v>
      </c>
      <c r="AA401">
        <v>3</v>
      </c>
      <c r="AB401" s="12">
        <v>0.61388888888888893</v>
      </c>
      <c r="AC401" t="s">
        <v>720</v>
      </c>
      <c r="AD401" t="s">
        <v>720</v>
      </c>
      <c r="AE401" t="s">
        <v>720</v>
      </c>
    </row>
    <row r="402" spans="1:31">
      <c r="A402" t="s">
        <v>1343</v>
      </c>
      <c r="C402">
        <v>692</v>
      </c>
      <c r="D402" t="s">
        <v>2377</v>
      </c>
      <c r="E402" s="11">
        <v>46038</v>
      </c>
      <c r="F402" t="s">
        <v>2378</v>
      </c>
      <c r="G402" t="s">
        <v>45</v>
      </c>
      <c r="J402" t="s">
        <v>720</v>
      </c>
      <c r="K402" t="s">
        <v>2379</v>
      </c>
      <c r="L402" t="s">
        <v>46</v>
      </c>
      <c r="M402" t="s">
        <v>311</v>
      </c>
      <c r="N402" t="s">
        <v>2380</v>
      </c>
      <c r="O402" t="s">
        <v>2381</v>
      </c>
      <c r="P402" s="46" t="str" cm="1">
        <f t="array" aca="1" ref="P402" ca="1">IFERROR(_xlfn.XLOOKUP(tblPedidos[[#This Row],[id_dropi]],tblNotas[[#This Row],[id__dropi]],tblNotas[[#This Row],[Notas Manuales]], “”, 0),"")</f>
        <v/>
      </c>
      <c r="Q402" t="s">
        <v>2382</v>
      </c>
      <c r="R402" t="s">
        <v>2172</v>
      </c>
      <c r="S402">
        <v>17004.5</v>
      </c>
      <c r="T402">
        <v>-17895.5</v>
      </c>
      <c r="U402" cm="1">
        <f t="array" ref="U402">IFERROR(_xlfn.IFS(tblPedidos[[#This Row],[estado_operativo]]="ENTREGADO",tblPedidos[[#This Row],[ganancia_calc]],tblPedidos[[#This Row],[estado_operativo]]="DEVOLUCION",tblPedidos[[#This Row],[costo_devolucion_estimado]]),0)</f>
        <v>17004.5</v>
      </c>
      <c r="V402">
        <v>34009</v>
      </c>
      <c r="W402">
        <v>59900</v>
      </c>
      <c r="X402">
        <v>17895.5</v>
      </c>
      <c r="Y402">
        <v>25000</v>
      </c>
      <c r="Z402" s="11">
        <v>46041</v>
      </c>
      <c r="AA402">
        <v>3</v>
      </c>
      <c r="AB402" s="12">
        <v>0.42638888888888887</v>
      </c>
      <c r="AC402" t="s">
        <v>720</v>
      </c>
      <c r="AD402" t="s">
        <v>720</v>
      </c>
      <c r="AE402" t="s">
        <v>720</v>
      </c>
    </row>
    <row r="403" spans="1:31">
      <c r="A403" t="s">
        <v>33</v>
      </c>
      <c r="C403">
        <v>691</v>
      </c>
      <c r="D403" t="s">
        <v>2383</v>
      </c>
      <c r="E403" s="11">
        <v>46038</v>
      </c>
      <c r="F403" t="s">
        <v>2384</v>
      </c>
      <c r="G403" t="s">
        <v>45</v>
      </c>
      <c r="J403" t="s">
        <v>386</v>
      </c>
      <c r="K403" t="s">
        <v>2385</v>
      </c>
      <c r="L403" t="s">
        <v>152</v>
      </c>
      <c r="M403" t="s">
        <v>153</v>
      </c>
      <c r="N403" t="s">
        <v>2386</v>
      </c>
      <c r="O403" t="s">
        <v>2387</v>
      </c>
      <c r="P403" s="46" t="str" cm="1">
        <f t="array" aca="1" ref="P403" ca="1">IFERROR(_xlfn.XLOOKUP(tblPedidos[[#This Row],[id_dropi]],tblNotas[[#This Row],[id__dropi]],tblNotas[[#This Row],[Notas Manuales]], “”, 0),"")</f>
        <v/>
      </c>
      <c r="R403" t="s">
        <v>2388</v>
      </c>
      <c r="S403">
        <v>12002.589999999997</v>
      </c>
      <c r="T403">
        <v>-17895.41</v>
      </c>
      <c r="U403" cm="1">
        <f t="array" ref="U403">IFERROR(_xlfn.IFS(tblPedidos[[#This Row],[estado_operativo]]="ENTREGADO",tblPedidos[[#This Row],[ganancia_calc]],tblPedidos[[#This Row],[estado_operativo]]="DEVOLUCION",tblPedidos[[#This Row],[costo_devolucion_estimado]]),0)</f>
        <v>0</v>
      </c>
      <c r="V403">
        <v>0</v>
      </c>
      <c r="W403">
        <v>59898</v>
      </c>
      <c r="X403">
        <v>17895.41</v>
      </c>
      <c r="Y403">
        <v>30000</v>
      </c>
      <c r="Z403" s="11">
        <v>46043</v>
      </c>
      <c r="AA403">
        <v>1</v>
      </c>
      <c r="AB403" s="12">
        <v>0.42986111111111114</v>
      </c>
      <c r="AC403" t="s">
        <v>716</v>
      </c>
      <c r="AD403" t="s">
        <v>709</v>
      </c>
      <c r="AE403" t="s">
        <v>386</v>
      </c>
    </row>
    <row r="404" spans="1:31">
      <c r="A404" t="s">
        <v>1343</v>
      </c>
      <c r="C404">
        <v>694</v>
      </c>
      <c r="D404" t="s">
        <v>2389</v>
      </c>
      <c r="E404" s="11">
        <v>46038</v>
      </c>
      <c r="F404" t="s">
        <v>2390</v>
      </c>
      <c r="G404" t="s">
        <v>45</v>
      </c>
      <c r="J404" t="s">
        <v>720</v>
      </c>
      <c r="K404" t="s">
        <v>2391</v>
      </c>
      <c r="L404" t="s">
        <v>328</v>
      </c>
      <c r="M404" t="s">
        <v>1902</v>
      </c>
      <c r="N404" t="s">
        <v>2392</v>
      </c>
      <c r="O404" t="s">
        <v>2393</v>
      </c>
      <c r="P404" s="46" t="str" cm="1">
        <f t="array" aca="1" ref="P404" ca="1">IFERROR(_xlfn.XLOOKUP(tblPedidos[[#This Row],[id_dropi]],tblNotas[[#This Row],[id__dropi]],tblNotas[[#This Row],[Notas Manuales]], “”, 0),"")</f>
        <v/>
      </c>
      <c r="R404" t="s">
        <v>2283</v>
      </c>
      <c r="S404">
        <v>17004.5</v>
      </c>
      <c r="T404">
        <v>-17895.5</v>
      </c>
      <c r="U404" cm="1">
        <f t="array" ref="U404">IFERROR(_xlfn.IFS(tblPedidos[[#This Row],[estado_operativo]]="ENTREGADO",tblPedidos[[#This Row],[ganancia_calc]],tblPedidos[[#This Row],[estado_operativo]]="DEVOLUCION",tblPedidos[[#This Row],[costo_devolucion_estimado]]),0)</f>
        <v>17004.5</v>
      </c>
      <c r="V404">
        <v>17004.5</v>
      </c>
      <c r="W404">
        <v>59900</v>
      </c>
      <c r="X404">
        <v>17895.5</v>
      </c>
      <c r="Y404">
        <v>25000</v>
      </c>
      <c r="Z404" s="11">
        <v>46043</v>
      </c>
      <c r="AA404">
        <v>1</v>
      </c>
      <c r="AB404" s="12">
        <v>0.66111111111111109</v>
      </c>
      <c r="AC404" t="s">
        <v>716</v>
      </c>
      <c r="AD404" t="s">
        <v>720</v>
      </c>
      <c r="AE404" t="s">
        <v>720</v>
      </c>
    </row>
    <row r="405" spans="1:31">
      <c r="A405" t="s">
        <v>1343</v>
      </c>
      <c r="C405">
        <v>693</v>
      </c>
      <c r="D405" t="s">
        <v>2394</v>
      </c>
      <c r="E405" s="11">
        <v>46038</v>
      </c>
      <c r="F405" t="s">
        <v>2395</v>
      </c>
      <c r="G405" t="s">
        <v>36</v>
      </c>
      <c r="J405" t="s">
        <v>720</v>
      </c>
      <c r="K405" t="s">
        <v>2396</v>
      </c>
      <c r="L405" t="s">
        <v>81</v>
      </c>
      <c r="M405" t="s">
        <v>118</v>
      </c>
      <c r="N405" t="s">
        <v>2397</v>
      </c>
      <c r="O405" t="s">
        <v>2398</v>
      </c>
      <c r="P405" s="46" t="str" cm="1">
        <f t="array" aca="1" ref="P405" ca="1">IFERROR(_xlfn.XLOOKUP(tblPedidos[[#This Row],[id_dropi]],tblNotas[[#This Row],[id__dropi]],tblNotas[[#This Row],[Notas Manuales]], “”, 0),"")</f>
        <v/>
      </c>
      <c r="R405" t="s">
        <v>2283</v>
      </c>
      <c r="S405">
        <v>19686.5</v>
      </c>
      <c r="T405">
        <v>-12170.800000000001</v>
      </c>
      <c r="U405" cm="1">
        <f t="array" ref="U405">IFERROR(_xlfn.IFS(tblPedidos[[#This Row],[estado_operativo]]="ENTREGADO",tblPedidos[[#This Row],[ganancia_calc]],tblPedidos[[#This Row],[estado_operativo]]="DEVOLUCION",tblPedidos[[#This Row],[costo_devolucion_estimado]]),0)</f>
        <v>19686.5</v>
      </c>
      <c r="V405">
        <v>19686.5</v>
      </c>
      <c r="W405">
        <v>59900</v>
      </c>
      <c r="X405">
        <v>15213.5</v>
      </c>
      <c r="Y405">
        <v>25000</v>
      </c>
      <c r="Z405" s="11">
        <v>46040</v>
      </c>
      <c r="AA405">
        <v>4</v>
      </c>
      <c r="AB405" s="12">
        <v>0.56388888888888888</v>
      </c>
      <c r="AC405" t="s">
        <v>788</v>
      </c>
      <c r="AD405" t="s">
        <v>720</v>
      </c>
      <c r="AE405" t="s">
        <v>720</v>
      </c>
    </row>
    <row r="406" spans="1:31">
      <c r="A406" t="s">
        <v>1343</v>
      </c>
      <c r="C406">
        <v>690</v>
      </c>
      <c r="D406" t="s">
        <v>2399</v>
      </c>
      <c r="E406" s="11">
        <v>46038</v>
      </c>
      <c r="F406" t="s">
        <v>2400</v>
      </c>
      <c r="G406" t="s">
        <v>45</v>
      </c>
      <c r="J406" t="s">
        <v>720</v>
      </c>
      <c r="K406" t="s">
        <v>2401</v>
      </c>
      <c r="L406" t="s">
        <v>46</v>
      </c>
      <c r="M406" t="s">
        <v>100</v>
      </c>
      <c r="N406" t="s">
        <v>2402</v>
      </c>
      <c r="O406" t="s">
        <v>2403</v>
      </c>
      <c r="P406" s="46" t="str" cm="1">
        <f t="array" aca="1" ref="P406" ca="1">IFERROR(_xlfn.XLOOKUP(tblPedidos[[#This Row],[id_dropi]],tblNotas[[#This Row],[id__dropi]],tblNotas[[#This Row],[Notas Manuales]], “”, 0),"")</f>
        <v/>
      </c>
      <c r="R406" t="s">
        <v>2404</v>
      </c>
      <c r="S406">
        <v>26954.5</v>
      </c>
      <c r="T406">
        <v>-11945.5</v>
      </c>
      <c r="U406" cm="1">
        <f t="array" ref="U406">IFERROR(_xlfn.IFS(tblPedidos[[#This Row],[estado_operativo]]="ENTREGADO",tblPedidos[[#This Row],[ganancia_calc]],tblPedidos[[#This Row],[estado_operativo]]="DEVOLUCION",tblPedidos[[#This Row],[costo_devolucion_estimado]]),0)</f>
        <v>26954.5</v>
      </c>
      <c r="V406">
        <v>53909</v>
      </c>
      <c r="W406">
        <v>59900</v>
      </c>
      <c r="X406">
        <v>11945.5</v>
      </c>
      <c r="Y406">
        <v>21000</v>
      </c>
      <c r="Z406" s="11">
        <v>46041</v>
      </c>
      <c r="AA406">
        <v>3</v>
      </c>
      <c r="AB406" s="12">
        <v>0.64861111111111114</v>
      </c>
      <c r="AC406" t="s">
        <v>720</v>
      </c>
      <c r="AD406" t="s">
        <v>720</v>
      </c>
      <c r="AE406" t="s">
        <v>720</v>
      </c>
    </row>
    <row r="407" spans="1:31">
      <c r="A407" t="s">
        <v>1343</v>
      </c>
      <c r="C407">
        <v>687</v>
      </c>
      <c r="D407" t="s">
        <v>2405</v>
      </c>
      <c r="E407" s="11">
        <v>46038</v>
      </c>
      <c r="F407" t="s">
        <v>2406</v>
      </c>
      <c r="G407" t="s">
        <v>45</v>
      </c>
      <c r="J407" t="s">
        <v>720</v>
      </c>
      <c r="K407" t="s">
        <v>2407</v>
      </c>
      <c r="L407" t="s">
        <v>46</v>
      </c>
      <c r="M407" t="s">
        <v>100</v>
      </c>
      <c r="N407" t="s">
        <v>2408</v>
      </c>
      <c r="O407" t="s">
        <v>2409</v>
      </c>
      <c r="P407" s="46" t="str" cm="1">
        <f t="array" aca="1" ref="P407" ca="1">IFERROR(_xlfn.XLOOKUP(tblPedidos[[#This Row],[id_dropi]],tblNotas[[#This Row],[id__dropi]],tblNotas[[#This Row],[Notas Manuales]], “”, 0),"")</f>
        <v/>
      </c>
      <c r="R407" t="s">
        <v>2388</v>
      </c>
      <c r="S407">
        <v>17952.589999999997</v>
      </c>
      <c r="T407">
        <v>-11945.41</v>
      </c>
      <c r="U407" cm="1">
        <f t="array" ref="U407">IFERROR(_xlfn.IFS(tblPedidos[[#This Row],[estado_operativo]]="ENTREGADO",tblPedidos[[#This Row],[ganancia_calc]],tblPedidos[[#This Row],[estado_operativo]]="DEVOLUCION",tblPedidos[[#This Row],[costo_devolucion_estimado]]),0)</f>
        <v>17952.589999999997</v>
      </c>
      <c r="V407">
        <v>17952.59</v>
      </c>
      <c r="W407">
        <v>59898</v>
      </c>
      <c r="X407">
        <v>11945.41</v>
      </c>
      <c r="Y407">
        <v>30000</v>
      </c>
      <c r="Z407" s="11">
        <v>46043</v>
      </c>
      <c r="AA407">
        <v>1</v>
      </c>
      <c r="AB407" s="12">
        <v>0.86388888888888893</v>
      </c>
      <c r="AC407" t="s">
        <v>750</v>
      </c>
      <c r="AD407" t="s">
        <v>720</v>
      </c>
      <c r="AE407" t="s">
        <v>720</v>
      </c>
    </row>
    <row r="408" spans="1:31">
      <c r="A408" t="s">
        <v>33</v>
      </c>
      <c r="C408">
        <v>686</v>
      </c>
      <c r="D408" t="s">
        <v>2410</v>
      </c>
      <c r="E408" s="11">
        <v>46038</v>
      </c>
      <c r="F408" t="s">
        <v>2411</v>
      </c>
      <c r="G408" t="s">
        <v>36</v>
      </c>
      <c r="J408" t="s">
        <v>939</v>
      </c>
      <c r="K408" t="s">
        <v>2412</v>
      </c>
      <c r="L408" t="s">
        <v>322</v>
      </c>
      <c r="M408" t="s">
        <v>2413</v>
      </c>
      <c r="N408" t="s">
        <v>2414</v>
      </c>
      <c r="O408" t="s">
        <v>2415</v>
      </c>
      <c r="P408" s="46" t="str" cm="1">
        <f t="array" aca="1" ref="P408" ca="1">IFERROR(_xlfn.XLOOKUP(tblPedidos[[#This Row],[id_dropi]],tblNotas[[#This Row],[id__dropi]],tblNotas[[#This Row],[Notas Manuales]], “”, 0),"")</f>
        <v/>
      </c>
      <c r="R408" t="s">
        <v>2416</v>
      </c>
      <c r="S408">
        <v>18686.5</v>
      </c>
      <c r="T408">
        <v>-12170.800000000001</v>
      </c>
      <c r="U408" cm="1">
        <f t="array" ref="U408">IFERROR(_xlfn.IFS(tblPedidos[[#This Row],[estado_operativo]]="ENTREGADO",tblPedidos[[#This Row],[ganancia_calc]],tblPedidos[[#This Row],[estado_operativo]]="DEVOLUCION",tblPedidos[[#This Row],[costo_devolucion_estimado]]),0)</f>
        <v>0</v>
      </c>
      <c r="V408">
        <v>0</v>
      </c>
      <c r="W408">
        <v>59900</v>
      </c>
      <c r="X408">
        <v>15213.5</v>
      </c>
      <c r="Y408">
        <v>26000</v>
      </c>
      <c r="Z408" s="11">
        <v>46040</v>
      </c>
      <c r="AA408">
        <v>4</v>
      </c>
      <c r="AB408" s="12">
        <v>0.56388888888888888</v>
      </c>
      <c r="AC408" t="s">
        <v>788</v>
      </c>
      <c r="AD408" t="s">
        <v>939</v>
      </c>
      <c r="AE408" t="s">
        <v>939</v>
      </c>
    </row>
    <row r="409" spans="1:31">
      <c r="A409" t="s">
        <v>1343</v>
      </c>
      <c r="C409">
        <v>689</v>
      </c>
      <c r="D409" t="s">
        <v>2417</v>
      </c>
      <c r="E409" s="11">
        <v>46038</v>
      </c>
      <c r="F409" t="s">
        <v>2418</v>
      </c>
      <c r="G409" t="s">
        <v>45</v>
      </c>
      <c r="J409" t="s">
        <v>720</v>
      </c>
      <c r="K409" t="s">
        <v>2419</v>
      </c>
      <c r="L409" t="s">
        <v>46</v>
      </c>
      <c r="M409" t="s">
        <v>100</v>
      </c>
      <c r="N409" t="s">
        <v>2420</v>
      </c>
      <c r="O409" t="s">
        <v>2421</v>
      </c>
      <c r="P409" s="46" t="str" cm="1">
        <f t="array" aca="1" ref="P409" ca="1">IFERROR(_xlfn.XLOOKUP(tblPedidos[[#This Row],[id_dropi]],tblNotas[[#This Row],[id__dropi]],tblNotas[[#This Row],[Notas Manuales]], “”, 0),"")</f>
        <v/>
      </c>
      <c r="R409" t="s">
        <v>2422</v>
      </c>
      <c r="S409">
        <v>21191</v>
      </c>
      <c r="T409">
        <v>-12709</v>
      </c>
      <c r="U409" cm="1">
        <f t="array" ref="U409">IFERROR(_xlfn.IFS(tblPedidos[[#This Row],[estado_operativo]]="ENTREGADO",tblPedidos[[#This Row],[ganancia_calc]],tblPedidos[[#This Row],[estado_operativo]]="DEVOLUCION",tblPedidos[[#This Row],[costo_devolucion_estimado]]),0)</f>
        <v>21191</v>
      </c>
      <c r="V409">
        <v>21191</v>
      </c>
      <c r="W409">
        <v>45900</v>
      </c>
      <c r="X409">
        <v>12709</v>
      </c>
      <c r="Y409">
        <v>12000</v>
      </c>
      <c r="Z409" s="11">
        <v>46042</v>
      </c>
      <c r="AA409">
        <v>2</v>
      </c>
      <c r="AB409" s="12">
        <v>0.84027777777777779</v>
      </c>
      <c r="AC409" t="s">
        <v>720</v>
      </c>
      <c r="AD409" t="s">
        <v>720</v>
      </c>
      <c r="AE409" t="s">
        <v>720</v>
      </c>
    </row>
    <row r="410" spans="1:31">
      <c r="A410" t="s">
        <v>33</v>
      </c>
      <c r="C410">
        <v>688</v>
      </c>
      <c r="D410" t="s">
        <v>2423</v>
      </c>
      <c r="E410" s="11">
        <v>46038</v>
      </c>
      <c r="F410" t="s">
        <v>2424</v>
      </c>
      <c r="G410" t="s">
        <v>45</v>
      </c>
      <c r="J410" t="s">
        <v>386</v>
      </c>
      <c r="K410" t="s">
        <v>2425</v>
      </c>
      <c r="L410" t="s">
        <v>81</v>
      </c>
      <c r="M410" t="s">
        <v>2426</v>
      </c>
      <c r="N410" t="s">
        <v>2427</v>
      </c>
      <c r="O410" t="s">
        <v>2428</v>
      </c>
      <c r="P410" s="46" t="str" cm="1">
        <f t="array" aca="1" ref="P410" ca="1">IFERROR(_xlfn.XLOOKUP(tblPedidos[[#This Row],[id_dropi]],tblNotas[[#This Row],[id__dropi]],tblNotas[[#This Row],[Notas Manuales]], “”, 0),"")</f>
        <v/>
      </c>
      <c r="Q410" t="s">
        <v>2429</v>
      </c>
      <c r="R410" t="s">
        <v>2283</v>
      </c>
      <c r="S410">
        <v>17004.5</v>
      </c>
      <c r="T410">
        <v>-17895.5</v>
      </c>
      <c r="U410" cm="1">
        <f t="array" ref="U410">IFERROR(_xlfn.IFS(tblPedidos[[#This Row],[estado_operativo]]="ENTREGADO",tblPedidos[[#This Row],[ganancia_calc]],tblPedidos[[#This Row],[estado_operativo]]="DEVOLUCION",tblPedidos[[#This Row],[costo_devolucion_estimado]]),0)</f>
        <v>0</v>
      </c>
      <c r="V410">
        <v>0</v>
      </c>
      <c r="W410">
        <v>59900</v>
      </c>
      <c r="X410">
        <v>17895.5</v>
      </c>
      <c r="Y410">
        <v>25000</v>
      </c>
      <c r="Z410" s="11">
        <v>46043</v>
      </c>
      <c r="AA410">
        <v>1</v>
      </c>
      <c r="AB410" s="12">
        <v>0.67291666666666672</v>
      </c>
      <c r="AC410" t="s">
        <v>982</v>
      </c>
      <c r="AD410" t="s">
        <v>709</v>
      </c>
      <c r="AE410" t="s">
        <v>386</v>
      </c>
    </row>
    <row r="411" spans="1:31">
      <c r="A411" t="s">
        <v>33</v>
      </c>
      <c r="C411">
        <v>702</v>
      </c>
      <c r="D411" t="s">
        <v>2430</v>
      </c>
      <c r="E411" s="11">
        <v>46038</v>
      </c>
      <c r="F411" t="s">
        <v>2431</v>
      </c>
      <c r="G411" t="s">
        <v>45</v>
      </c>
      <c r="J411" t="s">
        <v>522</v>
      </c>
      <c r="K411" t="s">
        <v>2432</v>
      </c>
      <c r="L411" t="s">
        <v>74</v>
      </c>
      <c r="M411" t="s">
        <v>1278</v>
      </c>
      <c r="N411" t="s">
        <v>2433</v>
      </c>
      <c r="O411" t="s">
        <v>2434</v>
      </c>
      <c r="P411" s="46" t="str" cm="1">
        <f t="array" aca="1" ref="P411" ca="1">IFERROR(_xlfn.XLOOKUP(tblPedidos[[#This Row],[id_dropi]],tblNotas[[#This Row],[id__dropi]],tblNotas[[#This Row],[Notas Manuales]], “”, 0),"")</f>
        <v/>
      </c>
      <c r="Q411" t="s">
        <v>50</v>
      </c>
      <c r="R411" t="s">
        <v>2435</v>
      </c>
      <c r="S411">
        <v>12229.5</v>
      </c>
      <c r="T411">
        <v>-17670.5</v>
      </c>
      <c r="U411" cm="1">
        <f t="array" ref="U411">IFERROR(_xlfn.IFS(tblPedidos[[#This Row],[estado_operativo]]="ENTREGADO",tblPedidos[[#This Row],[ganancia_calc]],tblPedidos[[#This Row],[estado_operativo]]="DEVOLUCION",tblPedidos[[#This Row],[costo_devolucion_estimado]]),0)</f>
        <v>0</v>
      </c>
      <c r="V411">
        <v>0</v>
      </c>
      <c r="W411">
        <v>54900</v>
      </c>
      <c r="X411">
        <v>17670.5</v>
      </c>
      <c r="Y411">
        <v>25000</v>
      </c>
      <c r="Z411" s="11">
        <v>46043</v>
      </c>
      <c r="AA411">
        <v>1</v>
      </c>
      <c r="AB411" s="12">
        <v>0.42986111111111114</v>
      </c>
      <c r="AC411" t="s">
        <v>716</v>
      </c>
      <c r="AD411" t="s">
        <v>717</v>
      </c>
      <c r="AE411" t="s">
        <v>522</v>
      </c>
    </row>
    <row r="412" spans="1:31">
      <c r="A412" t="s">
        <v>33</v>
      </c>
      <c r="C412">
        <v>695</v>
      </c>
      <c r="D412" t="s">
        <v>2436</v>
      </c>
      <c r="E412" s="11">
        <v>46038</v>
      </c>
      <c r="F412" t="s">
        <v>2437</v>
      </c>
      <c r="G412" t="s">
        <v>45</v>
      </c>
      <c r="J412" t="s">
        <v>386</v>
      </c>
      <c r="K412" t="s">
        <v>2438</v>
      </c>
      <c r="L412" t="s">
        <v>111</v>
      </c>
      <c r="M412" t="s">
        <v>1403</v>
      </c>
      <c r="N412" t="s">
        <v>2439</v>
      </c>
      <c r="O412" t="s">
        <v>2440</v>
      </c>
      <c r="P412" s="46" t="str" cm="1">
        <f t="array" aca="1" ref="P412" ca="1">IFERROR(_xlfn.XLOOKUP(tblPedidos[[#This Row],[id_dropi]],tblNotas[[#This Row],[id__dropi]],tblNotas[[#This Row],[Notas Manuales]], “”, 0),"")</f>
        <v/>
      </c>
      <c r="Q412" t="s">
        <v>50</v>
      </c>
      <c r="R412" t="s">
        <v>2283</v>
      </c>
      <c r="S412">
        <v>17004.5</v>
      </c>
      <c r="T412">
        <v>-17895.5</v>
      </c>
      <c r="U412" cm="1">
        <f t="array" ref="U412">IFERROR(_xlfn.IFS(tblPedidos[[#This Row],[estado_operativo]]="ENTREGADO",tblPedidos[[#This Row],[ganancia_calc]],tblPedidos[[#This Row],[estado_operativo]]="DEVOLUCION",tblPedidos[[#This Row],[costo_devolucion_estimado]]),0)</f>
        <v>0</v>
      </c>
      <c r="V412">
        <v>0</v>
      </c>
      <c r="W412">
        <v>59900</v>
      </c>
      <c r="X412">
        <v>17895.5</v>
      </c>
      <c r="Y412">
        <v>25000</v>
      </c>
      <c r="Z412" s="11">
        <v>46043</v>
      </c>
      <c r="AA412">
        <v>1</v>
      </c>
      <c r="AB412" s="12">
        <v>0.75694444444444442</v>
      </c>
      <c r="AC412" t="s">
        <v>1039</v>
      </c>
      <c r="AD412" t="s">
        <v>709</v>
      </c>
      <c r="AE412" t="s">
        <v>386</v>
      </c>
    </row>
    <row r="413" spans="1:31">
      <c r="A413" t="s">
        <v>1343</v>
      </c>
      <c r="C413">
        <v>701</v>
      </c>
      <c r="D413" t="s">
        <v>2441</v>
      </c>
      <c r="E413" s="11">
        <v>46038</v>
      </c>
      <c r="F413" t="s">
        <v>2442</v>
      </c>
      <c r="G413" t="s">
        <v>45</v>
      </c>
      <c r="J413" t="s">
        <v>1657</v>
      </c>
      <c r="K413" t="s">
        <v>2443</v>
      </c>
      <c r="L413" t="s">
        <v>1003</v>
      </c>
      <c r="M413" t="s">
        <v>1823</v>
      </c>
      <c r="N413" t="s">
        <v>2444</v>
      </c>
      <c r="O413" t="s">
        <v>2445</v>
      </c>
      <c r="P413" s="46" t="str" cm="1">
        <f t="array" aca="1" ref="P413" ca="1">IFERROR(_xlfn.XLOOKUP(tblPedidos[[#This Row],[id_dropi]],tblNotas[[#This Row],[id__dropi]],tblNotas[[#This Row],[Notas Manuales]], “”, 0),"")</f>
        <v/>
      </c>
      <c r="R413" t="s">
        <v>2283</v>
      </c>
      <c r="S413">
        <v>17004.5</v>
      </c>
      <c r="T413">
        <v>-17895.5</v>
      </c>
      <c r="U413" cm="1">
        <f t="array" ref="U413">IFERROR(_xlfn.IFS(tblPedidos[[#This Row],[estado_operativo]]="ENTREGADO",tblPedidos[[#This Row],[ganancia_calc]],tblPedidos[[#This Row],[estado_operativo]]="DEVOLUCION",tblPedidos[[#This Row],[costo_devolucion_estimado]]),0)</f>
        <v>-17895.5</v>
      </c>
      <c r="V413">
        <v>-17895.5</v>
      </c>
      <c r="W413">
        <v>59900</v>
      </c>
      <c r="X413">
        <v>17895.5</v>
      </c>
      <c r="Y413">
        <v>25000</v>
      </c>
      <c r="Z413" s="11">
        <v>46043</v>
      </c>
      <c r="AA413">
        <v>1</v>
      </c>
      <c r="AB413" s="12">
        <v>0.48819444444444443</v>
      </c>
      <c r="AC413" t="s">
        <v>750</v>
      </c>
      <c r="AD413" t="s">
        <v>1657</v>
      </c>
      <c r="AE413" t="s">
        <v>1657</v>
      </c>
    </row>
    <row r="414" spans="1:31">
      <c r="A414" t="s">
        <v>33</v>
      </c>
      <c r="C414">
        <v>704</v>
      </c>
      <c r="D414" t="s">
        <v>2446</v>
      </c>
      <c r="E414" s="11">
        <v>46038</v>
      </c>
      <c r="F414" t="s">
        <v>2447</v>
      </c>
      <c r="G414" t="s">
        <v>36</v>
      </c>
      <c r="J414" t="s">
        <v>720</v>
      </c>
      <c r="K414" t="s">
        <v>2448</v>
      </c>
      <c r="L414" t="s">
        <v>590</v>
      </c>
      <c r="M414" t="s">
        <v>2449</v>
      </c>
      <c r="N414" t="s">
        <v>2450</v>
      </c>
      <c r="O414" t="s">
        <v>2451</v>
      </c>
      <c r="P414" s="46" t="str" cm="1">
        <f t="array" aca="1" ref="P414" ca="1">IFERROR(_xlfn.XLOOKUP(tblPedidos[[#This Row],[id_dropi]],tblNotas[[#This Row],[id__dropi]],tblNotas[[#This Row],[Notas Manuales]], “”, 0),"")</f>
        <v/>
      </c>
      <c r="Q414" t="s">
        <v>2452</v>
      </c>
      <c r="R414" t="s">
        <v>2283</v>
      </c>
      <c r="S414">
        <v>19686.5</v>
      </c>
      <c r="T414">
        <v>-12170.800000000001</v>
      </c>
      <c r="U414" cm="1">
        <f t="array" ref="U414">IFERROR(_xlfn.IFS(tblPedidos[[#This Row],[estado_operativo]]="ENTREGADO",tblPedidos[[#This Row],[ganancia_calc]],tblPedidos[[#This Row],[estado_operativo]]="DEVOLUCION",tblPedidos[[#This Row],[costo_devolucion_estimado]]),0)</f>
        <v>19686.5</v>
      </c>
      <c r="V414">
        <v>0</v>
      </c>
      <c r="W414">
        <v>59900</v>
      </c>
      <c r="X414">
        <v>15213.5</v>
      </c>
      <c r="Y414">
        <v>25000</v>
      </c>
      <c r="Z414" s="11">
        <v>46040</v>
      </c>
      <c r="AA414">
        <v>4</v>
      </c>
      <c r="AB414" s="12">
        <v>0.56388888888888888</v>
      </c>
      <c r="AC414" t="s">
        <v>788</v>
      </c>
      <c r="AD414" t="s">
        <v>720</v>
      </c>
      <c r="AE414" t="s">
        <v>720</v>
      </c>
    </row>
    <row r="415" spans="1:31">
      <c r="A415" t="s">
        <v>33</v>
      </c>
      <c r="C415">
        <v>703</v>
      </c>
      <c r="D415" t="s">
        <v>2453</v>
      </c>
      <c r="E415" s="11">
        <v>46038</v>
      </c>
      <c r="F415" t="s">
        <v>2454</v>
      </c>
      <c r="G415" t="s">
        <v>36</v>
      </c>
      <c r="J415" t="s">
        <v>939</v>
      </c>
      <c r="K415" t="s">
        <v>2455</v>
      </c>
      <c r="L415" t="s">
        <v>38</v>
      </c>
      <c r="M415" t="s">
        <v>39</v>
      </c>
      <c r="N415" t="s">
        <v>2456</v>
      </c>
      <c r="O415" t="s">
        <v>2457</v>
      </c>
      <c r="P415" s="46" t="str" cm="1">
        <f t="array" aca="1" ref="P415" ca="1">IFERROR(_xlfn.XLOOKUP(tblPedidos[[#This Row],[id_dropi]],tblNotas[[#This Row],[id__dropi]],tblNotas[[#This Row],[Notas Manuales]], “”, 0),"")</f>
        <v/>
      </c>
      <c r="R415" t="s">
        <v>2152</v>
      </c>
      <c r="S415">
        <v>23336.5</v>
      </c>
      <c r="T415">
        <v>-13250.800000000001</v>
      </c>
      <c r="U415" cm="1">
        <f t="array" ref="U415">IFERROR(_xlfn.IFS(tblPedidos[[#This Row],[estado_operativo]]="ENTREGADO",tblPedidos[[#This Row],[ganancia_calc]],tblPedidos[[#This Row],[estado_operativo]]="DEVOLUCION",tblPedidos[[#This Row],[costo_devolucion_estimado]]),0)</f>
        <v>0</v>
      </c>
      <c r="V415">
        <v>0</v>
      </c>
      <c r="W415">
        <v>89900</v>
      </c>
      <c r="X415">
        <v>16563.5</v>
      </c>
      <c r="Y415">
        <v>50000</v>
      </c>
      <c r="Z415" s="11">
        <v>46039</v>
      </c>
      <c r="AA415">
        <v>5</v>
      </c>
      <c r="AB415" s="12">
        <v>0.74444444444444446</v>
      </c>
      <c r="AC415" t="s">
        <v>399</v>
      </c>
      <c r="AD415" t="s">
        <v>939</v>
      </c>
      <c r="AE415" t="s">
        <v>939</v>
      </c>
    </row>
    <row r="416" spans="1:31">
      <c r="A416" t="s">
        <v>33</v>
      </c>
      <c r="C416">
        <v>700</v>
      </c>
      <c r="D416" t="s">
        <v>2458</v>
      </c>
      <c r="E416" s="11">
        <v>46038</v>
      </c>
      <c r="F416" t="s">
        <v>2459</v>
      </c>
      <c r="G416" t="s">
        <v>45</v>
      </c>
      <c r="J416" t="s">
        <v>750</v>
      </c>
      <c r="K416" t="s">
        <v>2460</v>
      </c>
      <c r="L416" t="s">
        <v>545</v>
      </c>
      <c r="M416" t="s">
        <v>2461</v>
      </c>
      <c r="N416" t="s">
        <v>2462</v>
      </c>
      <c r="O416" t="s">
        <v>2463</v>
      </c>
      <c r="P416" s="46" t="str" cm="1">
        <f t="array" aca="1" ref="P416" ca="1">IFERROR(_xlfn.XLOOKUP(tblPedidos[[#This Row],[id_dropi]],tblNotas[[#This Row],[id__dropi]],tblNotas[[#This Row],[Notas Manuales]], “”, 0),"")</f>
        <v/>
      </c>
      <c r="R416" t="s">
        <v>2152</v>
      </c>
      <c r="S416">
        <v>20654.5</v>
      </c>
      <c r="T416">
        <v>-19245.5</v>
      </c>
      <c r="U416" cm="1">
        <f t="array" ref="U416">IFERROR(_xlfn.IFS(tblPedidos[[#This Row],[estado_operativo]]="ENTREGADO",tblPedidos[[#This Row],[ganancia_calc]],tblPedidos[[#This Row],[estado_operativo]]="DEVOLUCION",tblPedidos[[#This Row],[costo_devolucion_estimado]]),0)</f>
        <v>0</v>
      </c>
      <c r="V416">
        <v>0</v>
      </c>
      <c r="W416">
        <v>89900</v>
      </c>
      <c r="X416">
        <v>19245.5</v>
      </c>
      <c r="Y416">
        <v>50000</v>
      </c>
      <c r="Z416" s="11">
        <v>46043</v>
      </c>
      <c r="AA416">
        <v>1</v>
      </c>
      <c r="AB416" s="12">
        <v>0.42708333333333331</v>
      </c>
      <c r="AC416" t="s">
        <v>756</v>
      </c>
      <c r="AD416" t="s">
        <v>1027</v>
      </c>
      <c r="AE416" t="s">
        <v>750</v>
      </c>
    </row>
    <row r="417" spans="1:31">
      <c r="A417" t="s">
        <v>33</v>
      </c>
      <c r="C417">
        <v>697</v>
      </c>
      <c r="D417" t="s">
        <v>2464</v>
      </c>
      <c r="E417" s="11">
        <v>46038</v>
      </c>
      <c r="F417" t="s">
        <v>2465</v>
      </c>
      <c r="G417" t="s">
        <v>45</v>
      </c>
      <c r="J417" t="s">
        <v>1371</v>
      </c>
      <c r="K417" t="s">
        <v>2466</v>
      </c>
      <c r="L417" t="s">
        <v>152</v>
      </c>
      <c r="M417" t="s">
        <v>2467</v>
      </c>
      <c r="N417" t="s">
        <v>2468</v>
      </c>
      <c r="O417" t="s">
        <v>2469</v>
      </c>
      <c r="P417" s="46" t="str" cm="1">
        <f t="array" aca="1" ref="P417" ca="1">IFERROR(_xlfn.XLOOKUP(tblPedidos[[#This Row],[id_dropi]],tblNotas[[#This Row],[id__dropi]],tblNotas[[#This Row],[Notas Manuales]], “”, 0),"")</f>
        <v/>
      </c>
      <c r="Q417" t="s">
        <v>2470</v>
      </c>
      <c r="R417" t="s">
        <v>2311</v>
      </c>
      <c r="S417">
        <v>22829.5</v>
      </c>
      <c r="T417">
        <v>-17670.5</v>
      </c>
      <c r="U417" cm="1">
        <f t="array" ref="U417">IFERROR(_xlfn.IFS(tblPedidos[[#This Row],[estado_operativo]]="ENTREGADO",tblPedidos[[#This Row],[ganancia_calc]],tblPedidos[[#This Row],[estado_operativo]]="DEVOLUCION",tblPedidos[[#This Row],[costo_devolucion_estimado]]),0)</f>
        <v>0</v>
      </c>
      <c r="V417">
        <v>0</v>
      </c>
      <c r="W417">
        <v>54900</v>
      </c>
      <c r="X417">
        <v>17670.5</v>
      </c>
      <c r="Y417">
        <v>14400</v>
      </c>
      <c r="Z417" s="11">
        <v>46043</v>
      </c>
      <c r="AA417">
        <v>1</v>
      </c>
      <c r="AB417" s="12">
        <v>0.42986111111111114</v>
      </c>
      <c r="AC417" t="s">
        <v>982</v>
      </c>
      <c r="AD417" t="s">
        <v>982</v>
      </c>
      <c r="AE417" t="s">
        <v>1371</v>
      </c>
    </row>
    <row r="418" spans="1:31">
      <c r="A418" t="s">
        <v>1343</v>
      </c>
      <c r="C418">
        <v>696</v>
      </c>
      <c r="D418" t="s">
        <v>2471</v>
      </c>
      <c r="E418" s="11">
        <v>46038</v>
      </c>
      <c r="F418" t="s">
        <v>2472</v>
      </c>
      <c r="G418" t="s">
        <v>36</v>
      </c>
      <c r="J418" t="s">
        <v>720</v>
      </c>
      <c r="K418" t="s">
        <v>2473</v>
      </c>
      <c r="L418" t="s">
        <v>322</v>
      </c>
      <c r="M418" t="s">
        <v>323</v>
      </c>
      <c r="N418" t="s">
        <v>2474</v>
      </c>
      <c r="O418" t="s">
        <v>2475</v>
      </c>
      <c r="P418" s="46" t="str" cm="1">
        <f t="array" aca="1" ref="P418" ca="1">IFERROR(_xlfn.XLOOKUP(tblPedidos[[#This Row],[id_dropi]],tblNotas[[#This Row],[id__dropi]],tblNotas[[#This Row],[Notas Manuales]], “”, 0),"")</f>
        <v/>
      </c>
      <c r="R418" t="s">
        <v>2152</v>
      </c>
      <c r="S418">
        <v>23336.5</v>
      </c>
      <c r="T418">
        <v>-13250.800000000001</v>
      </c>
      <c r="U418" cm="1">
        <f t="array" ref="U418">IFERROR(_xlfn.IFS(tblPedidos[[#This Row],[estado_operativo]]="ENTREGADO",tblPedidos[[#This Row],[ganancia_calc]],tblPedidos[[#This Row],[estado_operativo]]="DEVOLUCION",tblPedidos[[#This Row],[costo_devolucion_estimado]]),0)</f>
        <v>23336.5</v>
      </c>
      <c r="V418">
        <v>23336.5</v>
      </c>
      <c r="W418">
        <v>89900</v>
      </c>
      <c r="X418">
        <v>16563.5</v>
      </c>
      <c r="Y418">
        <v>50000</v>
      </c>
      <c r="Z418" s="11">
        <v>46039</v>
      </c>
      <c r="AA418">
        <v>5</v>
      </c>
      <c r="AB418" s="12">
        <v>0.74791666666666667</v>
      </c>
      <c r="AC418" t="s">
        <v>399</v>
      </c>
      <c r="AD418" t="s">
        <v>720</v>
      </c>
      <c r="AE418" t="s">
        <v>720</v>
      </c>
    </row>
    <row r="419" spans="1:31">
      <c r="A419" t="s">
        <v>1343</v>
      </c>
      <c r="C419">
        <v>699</v>
      </c>
      <c r="D419" t="s">
        <v>2476</v>
      </c>
      <c r="E419" s="11">
        <v>46038</v>
      </c>
      <c r="F419" t="s">
        <v>2477</v>
      </c>
      <c r="G419" t="s">
        <v>45</v>
      </c>
      <c r="J419" t="s">
        <v>720</v>
      </c>
      <c r="K419" t="s">
        <v>2478</v>
      </c>
      <c r="L419" t="s">
        <v>46</v>
      </c>
      <c r="M419" t="s">
        <v>100</v>
      </c>
      <c r="N419" t="s">
        <v>2479</v>
      </c>
      <c r="O419" t="s">
        <v>2480</v>
      </c>
      <c r="P419" s="46" t="str" cm="1">
        <f t="array" aca="1" ref="P419" ca="1">IFERROR(_xlfn.XLOOKUP(tblPedidos[[#This Row],[id_dropi]],tblNotas[[#This Row],[id__dropi]],tblNotas[[#This Row],[Notas Manuales]], “”, 0),"")</f>
        <v/>
      </c>
      <c r="Q419" t="s">
        <v>2481</v>
      </c>
      <c r="R419" t="s">
        <v>2152</v>
      </c>
      <c r="S419">
        <v>20654.5</v>
      </c>
      <c r="T419">
        <v>-19245.5</v>
      </c>
      <c r="U419" cm="1">
        <f t="array" ref="U419">IFERROR(_xlfn.IFS(tblPedidos[[#This Row],[estado_operativo]]="ENTREGADO",tblPedidos[[#This Row],[ganancia_calc]],tblPedidos[[#This Row],[estado_operativo]]="DEVOLUCION",tblPedidos[[#This Row],[costo_devolucion_estimado]]),0)</f>
        <v>20654.5</v>
      </c>
      <c r="V419">
        <v>41309</v>
      </c>
      <c r="W419">
        <v>89900</v>
      </c>
      <c r="X419">
        <v>19245.5</v>
      </c>
      <c r="Y419">
        <v>50000</v>
      </c>
      <c r="Z419" s="11">
        <v>46041</v>
      </c>
      <c r="AA419">
        <v>3</v>
      </c>
      <c r="AB419" s="12">
        <v>0.61388888888888893</v>
      </c>
      <c r="AC419" t="s">
        <v>720</v>
      </c>
      <c r="AD419" t="s">
        <v>720</v>
      </c>
      <c r="AE419" t="s">
        <v>720</v>
      </c>
    </row>
    <row r="420" spans="1:31">
      <c r="A420" t="s">
        <v>1343</v>
      </c>
      <c r="C420">
        <v>698</v>
      </c>
      <c r="D420" t="s">
        <v>2482</v>
      </c>
      <c r="E420" s="11">
        <v>46038</v>
      </c>
      <c r="F420" t="s">
        <v>2483</v>
      </c>
      <c r="G420" t="s">
        <v>45</v>
      </c>
      <c r="J420" t="s">
        <v>720</v>
      </c>
      <c r="K420" t="s">
        <v>2484</v>
      </c>
      <c r="L420" t="s">
        <v>1003</v>
      </c>
      <c r="M420" t="s">
        <v>1823</v>
      </c>
      <c r="N420" t="s">
        <v>2485</v>
      </c>
      <c r="O420" t="s">
        <v>2486</v>
      </c>
      <c r="P420" s="46" t="str" cm="1">
        <f t="array" aca="1" ref="P420" ca="1">IFERROR(_xlfn.XLOOKUP(tblPedidos[[#This Row],[id_dropi]],tblNotas[[#This Row],[id__dropi]],tblNotas[[#This Row],[Notas Manuales]], “”, 0),"")</f>
        <v/>
      </c>
      <c r="Q420" t="s">
        <v>2487</v>
      </c>
      <c r="R420" t="s">
        <v>2311</v>
      </c>
      <c r="S420">
        <v>22829.5</v>
      </c>
      <c r="T420">
        <v>-17670.5</v>
      </c>
      <c r="U420" cm="1">
        <f t="array" ref="U420">IFERROR(_xlfn.IFS(tblPedidos[[#This Row],[estado_operativo]]="ENTREGADO",tblPedidos[[#This Row],[ganancia_calc]],tblPedidos[[#This Row],[estado_operativo]]="DEVOLUCION",tblPedidos[[#This Row],[costo_devolucion_estimado]]),0)</f>
        <v>22829.5</v>
      </c>
      <c r="V420">
        <v>45659</v>
      </c>
      <c r="W420">
        <v>54900</v>
      </c>
      <c r="X420">
        <v>17670.5</v>
      </c>
      <c r="Y420">
        <v>14400</v>
      </c>
      <c r="Z420" s="11">
        <v>46041</v>
      </c>
      <c r="AA420">
        <v>3</v>
      </c>
      <c r="AB420" s="12">
        <v>0.6166666666666667</v>
      </c>
      <c r="AC420" t="s">
        <v>720</v>
      </c>
      <c r="AD420" t="s">
        <v>720</v>
      </c>
      <c r="AE420" t="s">
        <v>720</v>
      </c>
    </row>
    <row r="421" spans="1:31">
      <c r="A421" t="s">
        <v>1343</v>
      </c>
      <c r="C421">
        <v>685</v>
      </c>
      <c r="D421" t="s">
        <v>2488</v>
      </c>
      <c r="E421" s="11">
        <v>46038</v>
      </c>
      <c r="F421" t="s">
        <v>2489</v>
      </c>
      <c r="G421" t="s">
        <v>45</v>
      </c>
      <c r="J421" t="s">
        <v>720</v>
      </c>
      <c r="K421" t="s">
        <v>2490</v>
      </c>
      <c r="L421" t="s">
        <v>46</v>
      </c>
      <c r="M421" t="s">
        <v>100</v>
      </c>
      <c r="N421" t="s">
        <v>2491</v>
      </c>
      <c r="O421" t="s">
        <v>2492</v>
      </c>
      <c r="P421" s="46" t="str" cm="1">
        <f t="array" aca="1" ref="P421" ca="1">IFERROR(_xlfn.XLOOKUP(tblPedidos[[#This Row],[id_dropi]],tblNotas[[#This Row],[id__dropi]],tblNotas[[#This Row],[Notas Manuales]], “”, 0),"")</f>
        <v/>
      </c>
      <c r="Q421" t="s">
        <v>2493</v>
      </c>
      <c r="R421" t="s">
        <v>2152</v>
      </c>
      <c r="S421">
        <v>20654.5</v>
      </c>
      <c r="T421">
        <v>-19245.5</v>
      </c>
      <c r="U421" cm="1">
        <f t="array" ref="U421">IFERROR(_xlfn.IFS(tblPedidos[[#This Row],[estado_operativo]]="ENTREGADO",tblPedidos[[#This Row],[ganancia_calc]],tblPedidos[[#This Row],[estado_operativo]]="DEVOLUCION",tblPedidos[[#This Row],[costo_devolucion_estimado]]),0)</f>
        <v>20654.5</v>
      </c>
      <c r="V421">
        <v>20654.5</v>
      </c>
      <c r="W421">
        <v>89900</v>
      </c>
      <c r="X421">
        <v>19245.5</v>
      </c>
      <c r="Y421">
        <v>50000</v>
      </c>
      <c r="Z421" s="11">
        <v>46042</v>
      </c>
      <c r="AA421">
        <v>2</v>
      </c>
      <c r="AB421" s="12">
        <v>5.347222222222222E-2</v>
      </c>
      <c r="AC421" t="s">
        <v>720</v>
      </c>
      <c r="AD421" t="s">
        <v>720</v>
      </c>
      <c r="AE421" t="s">
        <v>720</v>
      </c>
    </row>
    <row r="422" spans="1:31">
      <c r="A422" t="s">
        <v>33</v>
      </c>
      <c r="C422">
        <v>672</v>
      </c>
      <c r="D422" t="s">
        <v>2494</v>
      </c>
      <c r="E422" s="11">
        <v>46038</v>
      </c>
      <c r="F422" t="s">
        <v>2495</v>
      </c>
      <c r="G422" t="s">
        <v>45</v>
      </c>
      <c r="J422" t="s">
        <v>386</v>
      </c>
      <c r="K422" t="s">
        <v>2496</v>
      </c>
      <c r="L422" t="s">
        <v>125</v>
      </c>
      <c r="M422" t="s">
        <v>2497</v>
      </c>
      <c r="N422" t="s">
        <v>2498</v>
      </c>
      <c r="O422" t="s">
        <v>2499</v>
      </c>
      <c r="P422" s="46" t="str" cm="1">
        <f t="array" aca="1" ref="P422" ca="1">IFERROR(_xlfn.XLOOKUP(tblPedidos[[#This Row],[id_dropi]],tblNotas[[#This Row],[id__dropi]],tblNotas[[#This Row],[Notas Manuales]], “”, 0),"")</f>
        <v/>
      </c>
      <c r="Q422" t="s">
        <v>2500</v>
      </c>
      <c r="R422" t="s">
        <v>2207</v>
      </c>
      <c r="S422">
        <v>27529.5</v>
      </c>
      <c r="T422">
        <v>-18570.5</v>
      </c>
      <c r="U422" cm="1">
        <f t="array" ref="U422">IFERROR(_xlfn.IFS(tblPedidos[[#This Row],[estado_operativo]]="ENTREGADO",tblPedidos[[#This Row],[ganancia_calc]],tblPedidos[[#This Row],[estado_operativo]]="DEVOLUCION",tblPedidos[[#This Row],[costo_devolucion_estimado]]),0)</f>
        <v>0</v>
      </c>
      <c r="V422">
        <v>0</v>
      </c>
      <c r="W422">
        <v>74900</v>
      </c>
      <c r="X422">
        <v>18570.5</v>
      </c>
      <c r="Y422">
        <v>28800</v>
      </c>
      <c r="Z422" s="11">
        <v>46043</v>
      </c>
      <c r="AA422">
        <v>1</v>
      </c>
      <c r="AB422" s="12">
        <v>0.43333333333333335</v>
      </c>
      <c r="AC422" t="s">
        <v>982</v>
      </c>
      <c r="AD422" t="s">
        <v>709</v>
      </c>
      <c r="AE422" t="s">
        <v>386</v>
      </c>
    </row>
    <row r="423" spans="1:31">
      <c r="A423" t="s">
        <v>33</v>
      </c>
      <c r="C423">
        <v>671</v>
      </c>
      <c r="D423" t="s">
        <v>2501</v>
      </c>
      <c r="E423" s="11">
        <v>46038</v>
      </c>
      <c r="F423" t="s">
        <v>2502</v>
      </c>
      <c r="G423" t="s">
        <v>36</v>
      </c>
      <c r="J423" t="s">
        <v>750</v>
      </c>
      <c r="K423" t="s">
        <v>2503</v>
      </c>
      <c r="L423" t="s">
        <v>81</v>
      </c>
      <c r="M423" t="s">
        <v>914</v>
      </c>
      <c r="N423" t="s">
        <v>2504</v>
      </c>
      <c r="O423" t="s">
        <v>2505</v>
      </c>
      <c r="P423" s="46" t="str" cm="1">
        <f t="array" aca="1" ref="P423" ca="1">IFERROR(_xlfn.XLOOKUP(tblPedidos[[#This Row],[id_dropi]],tblNotas[[#This Row],[id__dropi]],tblNotas[[#This Row],[Notas Manuales]], “”, 0),"")</f>
        <v/>
      </c>
      <c r="Q423" t="s">
        <v>2506</v>
      </c>
      <c r="R423" t="s">
        <v>2152</v>
      </c>
      <c r="S423">
        <v>25496.5</v>
      </c>
      <c r="T423">
        <v>-11522.800000000001</v>
      </c>
      <c r="U423" cm="1">
        <f t="array" ref="U423">IFERROR(_xlfn.IFS(tblPedidos[[#This Row],[estado_operativo]]="ENTREGADO",tblPedidos[[#This Row],[ganancia_calc]],tblPedidos[[#This Row],[estado_operativo]]="DEVOLUCION",tblPedidos[[#This Row],[costo_devolucion_estimado]]),0)</f>
        <v>0</v>
      </c>
      <c r="V423">
        <v>0</v>
      </c>
      <c r="W423">
        <v>89900</v>
      </c>
      <c r="X423">
        <v>14403.5</v>
      </c>
      <c r="Y423">
        <v>50000</v>
      </c>
      <c r="Z423" s="11">
        <v>46039</v>
      </c>
      <c r="AA423">
        <v>5</v>
      </c>
      <c r="AB423" s="12">
        <v>0.74444444444444446</v>
      </c>
      <c r="AC423" t="s">
        <v>399</v>
      </c>
      <c r="AD423" t="s">
        <v>1027</v>
      </c>
      <c r="AE423" t="s">
        <v>750</v>
      </c>
    </row>
    <row r="424" spans="1:31">
      <c r="A424" t="s">
        <v>33</v>
      </c>
      <c r="C424">
        <v>674</v>
      </c>
      <c r="D424" t="s">
        <v>2507</v>
      </c>
      <c r="E424" s="11">
        <v>46038</v>
      </c>
      <c r="F424" t="s">
        <v>2508</v>
      </c>
      <c r="G424" t="s">
        <v>45</v>
      </c>
      <c r="J424" t="s">
        <v>386</v>
      </c>
      <c r="K424" t="s">
        <v>2509</v>
      </c>
      <c r="L424" t="s">
        <v>590</v>
      </c>
      <c r="M424" t="s">
        <v>2510</v>
      </c>
      <c r="N424" t="s">
        <v>2511</v>
      </c>
      <c r="O424" t="s">
        <v>2512</v>
      </c>
      <c r="P424" s="46" t="str" cm="1">
        <f t="array" aca="1" ref="P424" ca="1">IFERROR(_xlfn.XLOOKUP(tblPedidos[[#This Row],[id_dropi]],tblNotas[[#This Row],[id__dropi]],tblNotas[[#This Row],[Notas Manuales]], “”, 0),"")</f>
        <v/>
      </c>
      <c r="R424" t="s">
        <v>2152</v>
      </c>
      <c r="S424">
        <v>20654.5</v>
      </c>
      <c r="T424">
        <v>-19245.5</v>
      </c>
      <c r="U424" cm="1">
        <f t="array" ref="U424">IFERROR(_xlfn.IFS(tblPedidos[[#This Row],[estado_operativo]]="ENTREGADO",tblPedidos[[#This Row],[ganancia_calc]],tblPedidos[[#This Row],[estado_operativo]]="DEVOLUCION",tblPedidos[[#This Row],[costo_devolucion_estimado]]),0)</f>
        <v>0</v>
      </c>
      <c r="V424">
        <v>0</v>
      </c>
      <c r="W424">
        <v>89900</v>
      </c>
      <c r="X424">
        <v>19245.5</v>
      </c>
      <c r="Y424">
        <v>50000</v>
      </c>
      <c r="Z424" s="11">
        <v>46043</v>
      </c>
      <c r="AA424">
        <v>1</v>
      </c>
      <c r="AB424" s="12">
        <v>0.43055555555555558</v>
      </c>
      <c r="AC424" t="s">
        <v>1039</v>
      </c>
      <c r="AD424" t="s">
        <v>709</v>
      </c>
      <c r="AE424" t="s">
        <v>386</v>
      </c>
    </row>
    <row r="425" spans="1:31">
      <c r="A425" t="s">
        <v>1343</v>
      </c>
      <c r="C425">
        <v>673</v>
      </c>
      <c r="D425" t="s">
        <v>2513</v>
      </c>
      <c r="E425" s="11">
        <v>46038</v>
      </c>
      <c r="F425" t="s">
        <v>2514</v>
      </c>
      <c r="G425" t="s">
        <v>45</v>
      </c>
      <c r="J425" t="s">
        <v>720</v>
      </c>
      <c r="K425" t="s">
        <v>2515</v>
      </c>
      <c r="L425" t="s">
        <v>46</v>
      </c>
      <c r="M425" t="s">
        <v>100</v>
      </c>
      <c r="N425" t="s">
        <v>2516</v>
      </c>
      <c r="O425" t="s">
        <v>2517</v>
      </c>
      <c r="P425" s="46" t="str" cm="1">
        <f t="array" aca="1" ref="P425" ca="1">IFERROR(_xlfn.XLOOKUP(tblPedidos[[#This Row],[id_dropi]],tblNotas[[#This Row],[id__dropi]],tblNotas[[#This Row],[Notas Manuales]], “”, 0),"")</f>
        <v/>
      </c>
      <c r="R425" t="s">
        <v>2172</v>
      </c>
      <c r="S425">
        <v>17004.5</v>
      </c>
      <c r="T425">
        <v>-17895.5</v>
      </c>
      <c r="U425" cm="1">
        <f t="array" ref="U425">IFERROR(_xlfn.IFS(tblPedidos[[#This Row],[estado_operativo]]="ENTREGADO",tblPedidos[[#This Row],[ganancia_calc]],tblPedidos[[#This Row],[estado_operativo]]="DEVOLUCION",tblPedidos[[#This Row],[costo_devolucion_estimado]]),0)</f>
        <v>17004.5</v>
      </c>
      <c r="V425">
        <v>34009</v>
      </c>
      <c r="W425">
        <v>59900</v>
      </c>
      <c r="X425">
        <v>17895.5</v>
      </c>
      <c r="Y425">
        <v>25000</v>
      </c>
      <c r="Z425" s="11">
        <v>46041</v>
      </c>
      <c r="AA425">
        <v>3</v>
      </c>
      <c r="AB425" s="12">
        <v>0.42638888888888887</v>
      </c>
      <c r="AC425" t="s">
        <v>720</v>
      </c>
      <c r="AD425" t="s">
        <v>720</v>
      </c>
      <c r="AE425" t="s">
        <v>720</v>
      </c>
    </row>
    <row r="426" spans="1:31">
      <c r="A426" t="s">
        <v>1343</v>
      </c>
      <c r="C426">
        <v>670</v>
      </c>
      <c r="D426" t="s">
        <v>2518</v>
      </c>
      <c r="E426" s="11">
        <v>46038</v>
      </c>
      <c r="F426" t="s">
        <v>2519</v>
      </c>
      <c r="G426" t="s">
        <v>45</v>
      </c>
      <c r="J426" t="s">
        <v>720</v>
      </c>
      <c r="K426" t="s">
        <v>2520</v>
      </c>
      <c r="L426" t="s">
        <v>111</v>
      </c>
      <c r="M426" t="s">
        <v>193</v>
      </c>
      <c r="N426" t="s">
        <v>2521</v>
      </c>
      <c r="O426" t="s">
        <v>2522</v>
      </c>
      <c r="P426" s="46" t="str" cm="1">
        <f t="array" aca="1" ref="P426" ca="1">IFERROR(_xlfn.XLOOKUP(tblPedidos[[#This Row],[id_dropi]],tblNotas[[#This Row],[id__dropi]],tblNotas[[#This Row],[Notas Manuales]], “”, 0),"")</f>
        <v/>
      </c>
      <c r="Q426" t="s">
        <v>2523</v>
      </c>
      <c r="R426" t="s">
        <v>2152</v>
      </c>
      <c r="S426">
        <v>25204.5</v>
      </c>
      <c r="T426">
        <v>-14695.5</v>
      </c>
      <c r="U426" cm="1">
        <f t="array" ref="U426">IFERROR(_xlfn.IFS(tblPedidos[[#This Row],[estado_operativo]]="ENTREGADO",tblPedidos[[#This Row],[ganancia_calc]],tblPedidos[[#This Row],[estado_operativo]]="DEVOLUCION",tblPedidos[[#This Row],[costo_devolucion_estimado]]),0)</f>
        <v>25204.5</v>
      </c>
      <c r="V426">
        <v>50409</v>
      </c>
      <c r="W426">
        <v>89900</v>
      </c>
      <c r="X426">
        <v>14695.5</v>
      </c>
      <c r="Y426">
        <v>50000</v>
      </c>
      <c r="Z426" s="11">
        <v>46041</v>
      </c>
      <c r="AA426">
        <v>3</v>
      </c>
      <c r="AB426" s="12">
        <v>0.77500000000000002</v>
      </c>
      <c r="AC426" t="s">
        <v>720</v>
      </c>
      <c r="AD426" t="s">
        <v>720</v>
      </c>
      <c r="AE426" t="s">
        <v>720</v>
      </c>
    </row>
    <row r="427" spans="1:31">
      <c r="A427" t="s">
        <v>1343</v>
      </c>
      <c r="C427">
        <v>667</v>
      </c>
      <c r="D427" t="s">
        <v>2524</v>
      </c>
      <c r="E427" s="11">
        <v>46038</v>
      </c>
      <c r="F427" t="s">
        <v>2525</v>
      </c>
      <c r="G427" t="s">
        <v>36</v>
      </c>
      <c r="J427" t="s">
        <v>720</v>
      </c>
      <c r="K427" t="s">
        <v>2526</v>
      </c>
      <c r="L427" t="s">
        <v>81</v>
      </c>
      <c r="M427" t="s">
        <v>118</v>
      </c>
      <c r="N427" t="s">
        <v>2527</v>
      </c>
      <c r="O427" t="s">
        <v>2528</v>
      </c>
      <c r="P427" s="46" t="str" cm="1">
        <f t="array" aca="1" ref="P427" ca="1">IFERROR(_xlfn.XLOOKUP(tblPedidos[[#This Row],[id_dropi]],tblNotas[[#This Row],[id__dropi]],tblNotas[[#This Row],[Notas Manuales]], “”, 0),"")</f>
        <v/>
      </c>
      <c r="Q427" t="s">
        <v>2529</v>
      </c>
      <c r="R427" t="s">
        <v>2172</v>
      </c>
      <c r="S427">
        <v>23142.5</v>
      </c>
      <c r="T427">
        <v>-9406</v>
      </c>
      <c r="U427" cm="1">
        <f t="array" ref="U427">IFERROR(_xlfn.IFS(tblPedidos[[#This Row],[estado_operativo]]="ENTREGADO",tblPedidos[[#This Row],[ganancia_calc]],tblPedidos[[#This Row],[estado_operativo]]="DEVOLUCION",tblPedidos[[#This Row],[costo_devolucion_estimado]]),0)</f>
        <v>23142.5</v>
      </c>
      <c r="V427">
        <v>46285</v>
      </c>
      <c r="W427">
        <v>59900</v>
      </c>
      <c r="X427">
        <v>11757.5</v>
      </c>
      <c r="Y427">
        <v>25000</v>
      </c>
      <c r="Z427" s="11">
        <v>46039</v>
      </c>
      <c r="AA427">
        <v>5</v>
      </c>
      <c r="AB427" s="12">
        <v>0.74444444444444446</v>
      </c>
      <c r="AC427" t="s">
        <v>399</v>
      </c>
      <c r="AD427" t="s">
        <v>720</v>
      </c>
      <c r="AE427" t="s">
        <v>720</v>
      </c>
    </row>
    <row r="428" spans="1:31">
      <c r="A428" t="s">
        <v>33</v>
      </c>
      <c r="C428">
        <v>666</v>
      </c>
      <c r="D428" t="s">
        <v>2530</v>
      </c>
      <c r="E428" s="11">
        <v>46038</v>
      </c>
      <c r="F428" t="s">
        <v>2531</v>
      </c>
      <c r="G428" t="s">
        <v>36</v>
      </c>
      <c r="J428" t="s">
        <v>720</v>
      </c>
      <c r="K428" t="s">
        <v>2532</v>
      </c>
      <c r="L428" t="s">
        <v>81</v>
      </c>
      <c r="M428" t="s">
        <v>118</v>
      </c>
      <c r="N428" t="s">
        <v>2533</v>
      </c>
      <c r="O428" t="s">
        <v>2534</v>
      </c>
      <c r="P428" s="46" t="str" cm="1">
        <f t="array" aca="1" ref="P428" ca="1">IFERROR(_xlfn.XLOOKUP(tblPedidos[[#This Row],[id_dropi]],tblNotas[[#This Row],[id__dropi]],tblNotas[[#This Row],[Notas Manuales]], “”, 0),"")</f>
        <v/>
      </c>
      <c r="Q428" t="s">
        <v>2535</v>
      </c>
      <c r="R428" t="s">
        <v>2311</v>
      </c>
      <c r="S428">
        <v>25511.5</v>
      </c>
      <c r="T428">
        <v>-11990.800000000001</v>
      </c>
      <c r="U428" cm="1">
        <f t="array" ref="U428">IFERROR(_xlfn.IFS(tblPedidos[[#This Row],[estado_operativo]]="ENTREGADO",tblPedidos[[#This Row],[ganancia_calc]],tblPedidos[[#This Row],[estado_operativo]]="DEVOLUCION",tblPedidos[[#This Row],[costo_devolucion_estimado]]),0)</f>
        <v>25511.5</v>
      </c>
      <c r="V428">
        <v>0</v>
      </c>
      <c r="W428">
        <v>54900</v>
      </c>
      <c r="X428">
        <v>14988.5</v>
      </c>
      <c r="Y428">
        <v>14400</v>
      </c>
      <c r="Z428" s="11">
        <v>46039</v>
      </c>
      <c r="AA428">
        <v>5</v>
      </c>
      <c r="AB428" s="12">
        <v>0.55555555555555558</v>
      </c>
      <c r="AC428" t="s">
        <v>399</v>
      </c>
      <c r="AD428" t="s">
        <v>720</v>
      </c>
      <c r="AE428" t="s">
        <v>720</v>
      </c>
    </row>
    <row r="429" spans="1:31">
      <c r="A429" t="s">
        <v>1343</v>
      </c>
      <c r="C429">
        <v>669</v>
      </c>
      <c r="D429" t="s">
        <v>2536</v>
      </c>
      <c r="E429" s="11">
        <v>46038</v>
      </c>
      <c r="F429" t="s">
        <v>2537</v>
      </c>
      <c r="G429" t="s">
        <v>45</v>
      </c>
      <c r="J429" t="s">
        <v>720</v>
      </c>
      <c r="K429" t="s">
        <v>2538</v>
      </c>
      <c r="L429" t="s">
        <v>46</v>
      </c>
      <c r="M429" t="s">
        <v>100</v>
      </c>
      <c r="N429" t="s">
        <v>2539</v>
      </c>
      <c r="O429" t="s">
        <v>2540</v>
      </c>
      <c r="P429" s="46" t="str" cm="1">
        <f t="array" aca="1" ref="P429" ca="1">IFERROR(_xlfn.XLOOKUP(tblPedidos[[#This Row],[id_dropi]],tblNotas[[#This Row],[id__dropi]],tblNotas[[#This Row],[Notas Manuales]], “”, 0),"")</f>
        <v/>
      </c>
      <c r="Q429" t="s">
        <v>2541</v>
      </c>
      <c r="R429" t="s">
        <v>2152</v>
      </c>
      <c r="S429">
        <v>20654.5</v>
      </c>
      <c r="T429">
        <v>-19245.5</v>
      </c>
      <c r="U429" cm="1">
        <f t="array" ref="U429">IFERROR(_xlfn.IFS(tblPedidos[[#This Row],[estado_operativo]]="ENTREGADO",tblPedidos[[#This Row],[ganancia_calc]],tblPedidos[[#This Row],[estado_operativo]]="DEVOLUCION",tblPedidos[[#This Row],[costo_devolucion_estimado]]),0)</f>
        <v>20654.5</v>
      </c>
      <c r="V429">
        <v>41309</v>
      </c>
      <c r="W429">
        <v>89900</v>
      </c>
      <c r="X429">
        <v>19245.5</v>
      </c>
      <c r="Y429">
        <v>50000</v>
      </c>
      <c r="Z429" s="11">
        <v>46041</v>
      </c>
      <c r="AA429">
        <v>3</v>
      </c>
      <c r="AB429" s="12">
        <v>0.42638888888888887</v>
      </c>
      <c r="AC429" t="s">
        <v>720</v>
      </c>
      <c r="AD429" t="s">
        <v>720</v>
      </c>
      <c r="AE429" t="s">
        <v>720</v>
      </c>
    </row>
    <row r="430" spans="1:31">
      <c r="A430" t="s">
        <v>33</v>
      </c>
      <c r="C430">
        <v>668</v>
      </c>
      <c r="D430" t="s">
        <v>2542</v>
      </c>
      <c r="E430" s="11">
        <v>46038</v>
      </c>
      <c r="F430" t="s">
        <v>2543</v>
      </c>
      <c r="G430" t="s">
        <v>45</v>
      </c>
      <c r="J430" t="s">
        <v>386</v>
      </c>
      <c r="K430" t="s">
        <v>2544</v>
      </c>
      <c r="L430" t="s">
        <v>54</v>
      </c>
      <c r="M430" t="s">
        <v>2545</v>
      </c>
      <c r="N430" t="s">
        <v>2546</v>
      </c>
      <c r="O430" t="s">
        <v>2547</v>
      </c>
      <c r="P430" s="46" t="str" cm="1">
        <f t="array" aca="1" ref="P430" ca="1">IFERROR(_xlfn.XLOOKUP(tblPedidos[[#This Row],[id_dropi]],tblNotas[[#This Row],[id__dropi]],tblNotas[[#This Row],[Notas Manuales]], “”, 0),"")</f>
        <v/>
      </c>
      <c r="Q430" t="s">
        <v>2548</v>
      </c>
      <c r="R430" t="s">
        <v>2207</v>
      </c>
      <c r="S430">
        <v>27529.5</v>
      </c>
      <c r="T430">
        <v>-18570.5</v>
      </c>
      <c r="U430" cm="1">
        <f t="array" ref="U430">IFERROR(_xlfn.IFS(tblPedidos[[#This Row],[estado_operativo]]="ENTREGADO",tblPedidos[[#This Row],[ganancia_calc]],tblPedidos[[#This Row],[estado_operativo]]="DEVOLUCION",tblPedidos[[#This Row],[costo_devolucion_estimado]]),0)</f>
        <v>0</v>
      </c>
      <c r="V430">
        <v>0</v>
      </c>
      <c r="W430">
        <v>74900</v>
      </c>
      <c r="X430">
        <v>18570.5</v>
      </c>
      <c r="Y430">
        <v>28800</v>
      </c>
      <c r="Z430" s="11">
        <v>46043</v>
      </c>
      <c r="AA430">
        <v>1</v>
      </c>
      <c r="AB430" s="12">
        <v>0.43055555555555558</v>
      </c>
      <c r="AC430" t="s">
        <v>982</v>
      </c>
      <c r="AD430" t="s">
        <v>709</v>
      </c>
      <c r="AE430" t="s">
        <v>386</v>
      </c>
    </row>
    <row r="431" spans="1:31">
      <c r="A431" t="s">
        <v>33</v>
      </c>
      <c r="C431">
        <v>675</v>
      </c>
      <c r="D431" t="s">
        <v>2549</v>
      </c>
      <c r="E431" s="11">
        <v>46038</v>
      </c>
      <c r="F431" t="s">
        <v>2550</v>
      </c>
      <c r="G431" t="s">
        <v>45</v>
      </c>
      <c r="J431" t="s">
        <v>1090</v>
      </c>
      <c r="L431" t="s">
        <v>54</v>
      </c>
      <c r="M431" t="s">
        <v>2551</v>
      </c>
      <c r="N431" t="s">
        <v>2552</v>
      </c>
      <c r="O431" t="s">
        <v>2553</v>
      </c>
      <c r="P431" s="46" t="str" cm="1">
        <f t="array" aca="1" ref="P431" ca="1">IFERROR(_xlfn.XLOOKUP(tblPedidos[[#This Row],[id_dropi]],tblNotas[[#This Row],[id__dropi]],tblNotas[[#This Row],[Notas Manuales]], “”, 0),"")</f>
        <v/>
      </c>
      <c r="Q431" t="s">
        <v>2554</v>
      </c>
      <c r="R431" t="s">
        <v>2207</v>
      </c>
      <c r="S431">
        <v>22754.5</v>
      </c>
      <c r="T431">
        <v>-18345.5</v>
      </c>
      <c r="U431" cm="1">
        <f t="array" ref="U431">IFERROR(_xlfn.IFS(tblPedidos[[#This Row],[estado_operativo]]="ENTREGADO",tblPedidos[[#This Row],[ganancia_calc]],tblPedidos[[#This Row],[estado_operativo]]="DEVOLUCION",tblPedidos[[#This Row],[costo_devolucion_estimado]]),0)</f>
        <v>0</v>
      </c>
      <c r="V431">
        <v>0</v>
      </c>
      <c r="W431">
        <v>69900</v>
      </c>
      <c r="X431">
        <v>18345.5</v>
      </c>
      <c r="Y431">
        <v>28800</v>
      </c>
      <c r="Z431" s="11">
        <v>46042</v>
      </c>
      <c r="AA431">
        <v>2</v>
      </c>
      <c r="AB431" s="12">
        <v>0.67083333333333328</v>
      </c>
      <c r="AC431" t="s">
        <v>2146</v>
      </c>
      <c r="AD431" t="s">
        <v>2146</v>
      </c>
      <c r="AE431" t="s">
        <v>1090</v>
      </c>
    </row>
    <row r="432" spans="1:31">
      <c r="A432" t="s">
        <v>33</v>
      </c>
      <c r="C432">
        <v>682</v>
      </c>
      <c r="D432" t="s">
        <v>2555</v>
      </c>
      <c r="E432" s="11">
        <v>46038</v>
      </c>
      <c r="F432" t="s">
        <v>2556</v>
      </c>
      <c r="G432" t="s">
        <v>45</v>
      </c>
      <c r="J432" t="s">
        <v>386</v>
      </c>
      <c r="K432" t="s">
        <v>2557</v>
      </c>
      <c r="L432" t="s">
        <v>166</v>
      </c>
      <c r="M432" t="s">
        <v>1748</v>
      </c>
      <c r="N432" t="s">
        <v>2558</v>
      </c>
      <c r="O432" t="s">
        <v>2559</v>
      </c>
      <c r="P432" s="46" t="str" cm="1">
        <f t="array" aca="1" ref="P432" ca="1">IFERROR(_xlfn.XLOOKUP(tblPedidos[[#This Row],[id_dropi]],tblNotas[[#This Row],[id__dropi]],tblNotas[[#This Row],[Notas Manuales]], “”, 0),"")</f>
        <v/>
      </c>
      <c r="Q432" t="s">
        <v>2560</v>
      </c>
      <c r="R432" t="s">
        <v>2207</v>
      </c>
      <c r="S432">
        <v>27529.5</v>
      </c>
      <c r="T432">
        <v>-18570.5</v>
      </c>
      <c r="U432" cm="1">
        <f t="array" ref="U432">IFERROR(_xlfn.IFS(tblPedidos[[#This Row],[estado_operativo]]="ENTREGADO",tblPedidos[[#This Row],[ganancia_calc]],tblPedidos[[#This Row],[estado_operativo]]="DEVOLUCION",tblPedidos[[#This Row],[costo_devolucion_estimado]]),0)</f>
        <v>0</v>
      </c>
      <c r="V432">
        <v>0</v>
      </c>
      <c r="W432">
        <v>74900</v>
      </c>
      <c r="X432">
        <v>18570.5</v>
      </c>
      <c r="Y432">
        <v>28800</v>
      </c>
      <c r="Z432" s="11">
        <v>46043</v>
      </c>
      <c r="AA432">
        <v>1</v>
      </c>
      <c r="AB432" s="12">
        <v>0.43333333333333335</v>
      </c>
      <c r="AC432" t="s">
        <v>708</v>
      </c>
      <c r="AD432" t="s">
        <v>709</v>
      </c>
      <c r="AE432" t="s">
        <v>386</v>
      </c>
    </row>
    <row r="433" spans="1:31">
      <c r="A433" t="s">
        <v>33</v>
      </c>
      <c r="C433">
        <v>681</v>
      </c>
      <c r="D433" t="s">
        <v>2561</v>
      </c>
      <c r="E433" s="11">
        <v>46038</v>
      </c>
      <c r="F433" t="s">
        <v>2562</v>
      </c>
      <c r="G433" t="s">
        <v>45</v>
      </c>
      <c r="J433" t="s">
        <v>386</v>
      </c>
      <c r="K433" t="s">
        <v>2563</v>
      </c>
      <c r="L433" t="s">
        <v>54</v>
      </c>
      <c r="M433" t="s">
        <v>2564</v>
      </c>
      <c r="N433" t="s">
        <v>2565</v>
      </c>
      <c r="O433" t="s">
        <v>2566</v>
      </c>
      <c r="P433" s="46" t="str" cm="1">
        <f t="array" aca="1" ref="P433" ca="1">IFERROR(_xlfn.XLOOKUP(tblPedidos[[#This Row],[id_dropi]],tblNotas[[#This Row],[id__dropi]],tblNotas[[#This Row],[Notas Manuales]], “”, 0),"")</f>
        <v/>
      </c>
      <c r="Q433" t="s">
        <v>2567</v>
      </c>
      <c r="R433" t="s">
        <v>2311</v>
      </c>
      <c r="S433">
        <v>22829.5</v>
      </c>
      <c r="T433">
        <v>-17670.5</v>
      </c>
      <c r="U433" cm="1">
        <f t="array" ref="U433">IFERROR(_xlfn.IFS(tblPedidos[[#This Row],[estado_operativo]]="ENTREGADO",tblPedidos[[#This Row],[ganancia_calc]],tblPedidos[[#This Row],[estado_operativo]]="DEVOLUCION",tblPedidos[[#This Row],[costo_devolucion_estimado]]),0)</f>
        <v>0</v>
      </c>
      <c r="V433">
        <v>0</v>
      </c>
      <c r="W433">
        <v>54900</v>
      </c>
      <c r="X433">
        <v>17670.5</v>
      </c>
      <c r="Y433">
        <v>14400</v>
      </c>
      <c r="Z433" s="11">
        <v>46043</v>
      </c>
      <c r="AA433">
        <v>1</v>
      </c>
      <c r="AB433" s="12">
        <v>0.43194444444444446</v>
      </c>
      <c r="AC433" t="s">
        <v>982</v>
      </c>
      <c r="AD433" t="s">
        <v>709</v>
      </c>
      <c r="AE433" t="s">
        <v>386</v>
      </c>
    </row>
    <row r="434" spans="1:31">
      <c r="A434" t="s">
        <v>33</v>
      </c>
      <c r="C434">
        <v>684</v>
      </c>
      <c r="D434" t="s">
        <v>2568</v>
      </c>
      <c r="E434" s="11">
        <v>46038</v>
      </c>
      <c r="F434" t="s">
        <v>2569</v>
      </c>
      <c r="G434" t="s">
        <v>45</v>
      </c>
      <c r="J434" t="s">
        <v>386</v>
      </c>
      <c r="K434" t="s">
        <v>2570</v>
      </c>
      <c r="L434" t="s">
        <v>166</v>
      </c>
      <c r="M434" t="s">
        <v>199</v>
      </c>
      <c r="N434" t="s">
        <v>2571</v>
      </c>
      <c r="O434" t="s">
        <v>2572</v>
      </c>
      <c r="P434" s="46" t="str" cm="1">
        <f t="array" aca="1" ref="P434" ca="1">IFERROR(_xlfn.XLOOKUP(tblPedidos[[#This Row],[id_dropi]],tblNotas[[#This Row],[id__dropi]],tblNotas[[#This Row],[Notas Manuales]], “”, 0),"")</f>
        <v/>
      </c>
      <c r="R434" t="s">
        <v>2207</v>
      </c>
      <c r="S434">
        <v>27529.5</v>
      </c>
      <c r="T434">
        <v>-18570.5</v>
      </c>
      <c r="U434" cm="1">
        <f t="array" ref="U434">IFERROR(_xlfn.IFS(tblPedidos[[#This Row],[estado_operativo]]="ENTREGADO",tblPedidos[[#This Row],[ganancia_calc]],tblPedidos[[#This Row],[estado_operativo]]="DEVOLUCION",tblPedidos[[#This Row],[costo_devolucion_estimado]]),0)</f>
        <v>0</v>
      </c>
      <c r="V434">
        <v>0</v>
      </c>
      <c r="W434">
        <v>74900</v>
      </c>
      <c r="X434">
        <v>18570.5</v>
      </c>
      <c r="Y434">
        <v>28800</v>
      </c>
      <c r="Z434" s="11">
        <v>46043</v>
      </c>
      <c r="AA434">
        <v>1</v>
      </c>
      <c r="AB434" s="12">
        <v>0.43263888888888891</v>
      </c>
      <c r="AC434" t="s">
        <v>708</v>
      </c>
      <c r="AD434" t="s">
        <v>709</v>
      </c>
      <c r="AE434" t="s">
        <v>386</v>
      </c>
    </row>
    <row r="435" spans="1:31">
      <c r="A435" t="s">
        <v>33</v>
      </c>
      <c r="C435">
        <v>683</v>
      </c>
      <c r="D435" t="s">
        <v>2573</v>
      </c>
      <c r="E435" s="11">
        <v>46038</v>
      </c>
      <c r="F435" t="s">
        <v>2574</v>
      </c>
      <c r="G435" t="s">
        <v>45</v>
      </c>
      <c r="J435" t="s">
        <v>939</v>
      </c>
      <c r="K435" t="s">
        <v>2575</v>
      </c>
      <c r="L435" t="s">
        <v>74</v>
      </c>
      <c r="M435" t="s">
        <v>1555</v>
      </c>
      <c r="N435" t="s">
        <v>2576</v>
      </c>
      <c r="O435" t="s">
        <v>2577</v>
      </c>
      <c r="P435" s="46" t="str" cm="1">
        <f t="array" aca="1" ref="P435" ca="1">IFERROR(_xlfn.XLOOKUP(tblPedidos[[#This Row],[id_dropi]],tblNotas[[#This Row],[id__dropi]],tblNotas[[#This Row],[Notas Manuales]], “”, 0),"")</f>
        <v/>
      </c>
      <c r="Q435" t="s">
        <v>2578</v>
      </c>
      <c r="R435" t="s">
        <v>2311</v>
      </c>
      <c r="S435">
        <v>22829.5</v>
      </c>
      <c r="T435">
        <v>-17670.5</v>
      </c>
      <c r="U435" cm="1">
        <f t="array" ref="U435">IFERROR(_xlfn.IFS(tblPedidos[[#This Row],[estado_operativo]]="ENTREGADO",tblPedidos[[#This Row],[ganancia_calc]],tblPedidos[[#This Row],[estado_operativo]]="DEVOLUCION",tblPedidos[[#This Row],[costo_devolucion_estimado]]),0)</f>
        <v>0</v>
      </c>
      <c r="V435">
        <v>0</v>
      </c>
      <c r="W435">
        <v>54900</v>
      </c>
      <c r="X435">
        <v>17670.5</v>
      </c>
      <c r="Y435">
        <v>14400</v>
      </c>
      <c r="Z435" s="11">
        <v>46043</v>
      </c>
      <c r="AA435">
        <v>1</v>
      </c>
      <c r="AB435" s="12">
        <v>0.75624999999999998</v>
      </c>
      <c r="AC435" t="s">
        <v>944</v>
      </c>
      <c r="AD435" t="s">
        <v>944</v>
      </c>
      <c r="AE435" t="s">
        <v>939</v>
      </c>
    </row>
    <row r="436" spans="1:31">
      <c r="A436" t="s">
        <v>1343</v>
      </c>
      <c r="C436">
        <v>680</v>
      </c>
      <c r="D436" t="s">
        <v>2579</v>
      </c>
      <c r="E436" s="11">
        <v>46038</v>
      </c>
      <c r="F436" t="s">
        <v>2580</v>
      </c>
      <c r="G436" t="s">
        <v>45</v>
      </c>
      <c r="J436" t="s">
        <v>720</v>
      </c>
      <c r="K436" t="s">
        <v>2581</v>
      </c>
      <c r="L436" t="s">
        <v>234</v>
      </c>
      <c r="M436" t="s">
        <v>2582</v>
      </c>
      <c r="N436" t="s">
        <v>2583</v>
      </c>
      <c r="O436" t="s">
        <v>2584</v>
      </c>
      <c r="P436" s="46" t="str" cm="1">
        <f t="array" aca="1" ref="P436" ca="1">IFERROR(_xlfn.XLOOKUP(tblPedidos[[#This Row],[id_dropi]],tblNotas[[#This Row],[id__dropi]],tblNotas[[#This Row],[Notas Manuales]], “”, 0),"")</f>
        <v/>
      </c>
      <c r="R436" t="s">
        <v>2311</v>
      </c>
      <c r="S436">
        <v>22829.5</v>
      </c>
      <c r="T436">
        <v>-17670.5</v>
      </c>
      <c r="U436" cm="1">
        <f t="array" ref="U436">IFERROR(_xlfn.IFS(tblPedidos[[#This Row],[estado_operativo]]="ENTREGADO",tblPedidos[[#This Row],[ganancia_calc]],tblPedidos[[#This Row],[estado_operativo]]="DEVOLUCION",tblPedidos[[#This Row],[costo_devolucion_estimado]]),0)</f>
        <v>22829.5</v>
      </c>
      <c r="V436">
        <v>45659</v>
      </c>
      <c r="W436">
        <v>54900</v>
      </c>
      <c r="X436">
        <v>17670.5</v>
      </c>
      <c r="Y436">
        <v>14400</v>
      </c>
      <c r="Z436" s="11">
        <v>46041</v>
      </c>
      <c r="AA436">
        <v>3</v>
      </c>
      <c r="AB436" s="12">
        <v>0.65138888888888891</v>
      </c>
      <c r="AC436" t="s">
        <v>720</v>
      </c>
      <c r="AD436" t="s">
        <v>720</v>
      </c>
      <c r="AE436" t="s">
        <v>720</v>
      </c>
    </row>
    <row r="437" spans="1:31">
      <c r="A437" t="s">
        <v>1343</v>
      </c>
      <c r="C437">
        <v>677</v>
      </c>
      <c r="D437" t="s">
        <v>2585</v>
      </c>
      <c r="E437" s="11">
        <v>46038</v>
      </c>
      <c r="F437" t="s">
        <v>2586</v>
      </c>
      <c r="G437" t="s">
        <v>45</v>
      </c>
      <c r="J437" t="s">
        <v>720</v>
      </c>
      <c r="K437" t="s">
        <v>2587</v>
      </c>
      <c r="L437" t="s">
        <v>54</v>
      </c>
      <c r="M437" t="s">
        <v>2588</v>
      </c>
      <c r="N437" t="s">
        <v>2589</v>
      </c>
      <c r="O437" t="s">
        <v>2590</v>
      </c>
      <c r="P437" s="46" t="str" cm="1">
        <f t="array" aca="1" ref="P437" ca="1">IFERROR(_xlfn.XLOOKUP(tblPedidos[[#This Row],[id_dropi]],tblNotas[[#This Row],[id__dropi]],tblNotas[[#This Row],[Notas Manuales]], “”, 0),"")</f>
        <v/>
      </c>
      <c r="Q437" t="s">
        <v>2591</v>
      </c>
      <c r="R437" t="s">
        <v>2592</v>
      </c>
      <c r="S437">
        <v>21201</v>
      </c>
      <c r="T437">
        <v>-18699</v>
      </c>
      <c r="U437" cm="1">
        <f t="array" ref="U437">IFERROR(_xlfn.IFS(tblPedidos[[#This Row],[estado_operativo]]="ENTREGADO",tblPedidos[[#This Row],[ganancia_calc]],tblPedidos[[#This Row],[estado_operativo]]="DEVOLUCION",tblPedidos[[#This Row],[costo_devolucion_estimado]]),0)</f>
        <v>21201</v>
      </c>
      <c r="V437">
        <v>21201</v>
      </c>
      <c r="W437">
        <v>49900</v>
      </c>
      <c r="X437">
        <v>18699</v>
      </c>
      <c r="Y437">
        <v>10000</v>
      </c>
      <c r="Z437" s="11">
        <v>46042</v>
      </c>
      <c r="AA437">
        <v>2</v>
      </c>
      <c r="AB437" s="12">
        <v>0.83819444444444446</v>
      </c>
      <c r="AC437" t="s">
        <v>720</v>
      </c>
      <c r="AD437" t="s">
        <v>720</v>
      </c>
      <c r="AE437" t="s">
        <v>720</v>
      </c>
    </row>
    <row r="438" spans="1:31">
      <c r="A438" t="s">
        <v>1343</v>
      </c>
      <c r="C438">
        <v>676</v>
      </c>
      <c r="D438" t="s">
        <v>2593</v>
      </c>
      <c r="E438" s="11">
        <v>46038</v>
      </c>
      <c r="F438" t="s">
        <v>2594</v>
      </c>
      <c r="G438" t="s">
        <v>36</v>
      </c>
      <c r="J438" t="s">
        <v>720</v>
      </c>
      <c r="K438" t="s">
        <v>2595</v>
      </c>
      <c r="L438" t="s">
        <v>46</v>
      </c>
      <c r="M438" t="s">
        <v>100</v>
      </c>
      <c r="N438" t="s">
        <v>2596</v>
      </c>
      <c r="O438" t="s">
        <v>2597</v>
      </c>
      <c r="P438" s="46" t="str" cm="1">
        <f t="array" aca="1" ref="P438" ca="1">IFERROR(_xlfn.XLOOKUP(tblPedidos[[#This Row],[id_dropi]],tblNotas[[#This Row],[id__dropi]],tblNotas[[#This Row],[Notas Manuales]], “”, 0),"")</f>
        <v/>
      </c>
      <c r="R438" t="s">
        <v>2194</v>
      </c>
      <c r="S438">
        <v>30786.5</v>
      </c>
      <c r="T438">
        <v>-12530.800000000001</v>
      </c>
      <c r="U438" cm="1">
        <f t="array" ref="U438">IFERROR(_xlfn.IFS(tblPedidos[[#This Row],[estado_operativo]]="ENTREGADO",tblPedidos[[#This Row],[ganancia_calc]],tblPedidos[[#This Row],[estado_operativo]]="DEVOLUCION",tblPedidos[[#This Row],[costo_devolucion_estimado]]),0)</f>
        <v>30786.5</v>
      </c>
      <c r="V438">
        <v>30786.5</v>
      </c>
      <c r="W438">
        <v>69900</v>
      </c>
      <c r="X438">
        <v>15663.5</v>
      </c>
      <c r="Y438">
        <v>23450</v>
      </c>
      <c r="Z438" s="11">
        <v>46039</v>
      </c>
      <c r="AA438">
        <v>5</v>
      </c>
      <c r="AB438" s="12">
        <v>0.73819444444444449</v>
      </c>
      <c r="AC438" t="s">
        <v>399</v>
      </c>
      <c r="AD438" t="s">
        <v>720</v>
      </c>
      <c r="AE438" t="s">
        <v>720</v>
      </c>
    </row>
    <row r="439" spans="1:31">
      <c r="A439" t="s">
        <v>1343</v>
      </c>
      <c r="C439">
        <v>679</v>
      </c>
      <c r="D439" t="s">
        <v>2598</v>
      </c>
      <c r="E439" s="11">
        <v>46038</v>
      </c>
      <c r="F439" t="s">
        <v>2599</v>
      </c>
      <c r="G439" t="s">
        <v>45</v>
      </c>
      <c r="J439" t="s">
        <v>720</v>
      </c>
      <c r="K439" t="s">
        <v>2600</v>
      </c>
      <c r="L439" t="s">
        <v>328</v>
      </c>
      <c r="M439" t="s">
        <v>329</v>
      </c>
      <c r="N439" t="s">
        <v>2601</v>
      </c>
      <c r="O439" t="s">
        <v>2602</v>
      </c>
      <c r="P439" s="46" t="str" cm="1">
        <f t="array" aca="1" ref="P439" ca="1">IFERROR(_xlfn.XLOOKUP(tblPedidos[[#This Row],[id_dropi]],tblNotas[[#This Row],[id__dropi]],tblNotas[[#This Row],[Notas Manuales]], “”, 0),"")</f>
        <v/>
      </c>
      <c r="Q439" t="s">
        <v>2603</v>
      </c>
      <c r="R439" t="s">
        <v>2604</v>
      </c>
      <c r="S439">
        <v>31329.5</v>
      </c>
      <c r="T439">
        <v>-13570.5</v>
      </c>
      <c r="U439" cm="1">
        <f t="array" ref="U439">IFERROR(_xlfn.IFS(tblPedidos[[#This Row],[estado_operativo]]="ENTREGADO",tblPedidos[[#This Row],[ganancia_calc]],tblPedidos[[#This Row],[estado_operativo]]="DEVOLUCION",tblPedidos[[#This Row],[costo_devolucion_estimado]]),0)</f>
        <v>31329.5</v>
      </c>
      <c r="V439">
        <v>31329.5</v>
      </c>
      <c r="W439">
        <v>64900</v>
      </c>
      <c r="X439">
        <v>13570.5</v>
      </c>
      <c r="Y439">
        <v>20000</v>
      </c>
      <c r="Z439" s="11">
        <v>46043</v>
      </c>
      <c r="AA439">
        <v>1</v>
      </c>
      <c r="AB439" s="12">
        <v>0.5180555555555556</v>
      </c>
      <c r="AC439" t="s">
        <v>750</v>
      </c>
      <c r="AD439" t="s">
        <v>720</v>
      </c>
      <c r="AE439" t="s">
        <v>720</v>
      </c>
    </row>
    <row r="440" spans="1:31">
      <c r="A440" t="s">
        <v>33</v>
      </c>
      <c r="C440">
        <v>678</v>
      </c>
      <c r="D440" t="s">
        <v>2605</v>
      </c>
      <c r="E440" s="11">
        <v>46038</v>
      </c>
      <c r="F440" t="s">
        <v>2606</v>
      </c>
      <c r="G440" t="s">
        <v>36</v>
      </c>
      <c r="J440" t="s">
        <v>750</v>
      </c>
      <c r="K440" t="s">
        <v>2607</v>
      </c>
      <c r="L440" t="s">
        <v>46</v>
      </c>
      <c r="M440" t="s">
        <v>100</v>
      </c>
      <c r="N440" t="s">
        <v>2608</v>
      </c>
      <c r="O440" t="s">
        <v>2609</v>
      </c>
      <c r="P440" s="46" t="str" cm="1">
        <f t="array" aca="1" ref="P440" ca="1">IFERROR(_xlfn.XLOOKUP(tblPedidos[[#This Row],[id_dropi]],tblNotas[[#This Row],[id__dropi]],tblNotas[[#This Row],[Notas Manuales]], “”, 0),"")</f>
        <v/>
      </c>
      <c r="Q440" t="s">
        <v>2610</v>
      </c>
      <c r="R440" t="s">
        <v>2283</v>
      </c>
      <c r="S440">
        <v>23142.5</v>
      </c>
      <c r="T440">
        <v>-9406</v>
      </c>
      <c r="U440" cm="1">
        <f t="array" ref="U440">IFERROR(_xlfn.IFS(tblPedidos[[#This Row],[estado_operativo]]="ENTREGADO",tblPedidos[[#This Row],[ganancia_calc]],tblPedidos[[#This Row],[estado_operativo]]="DEVOLUCION",tblPedidos[[#This Row],[costo_devolucion_estimado]]),0)</f>
        <v>0</v>
      </c>
      <c r="V440">
        <v>0</v>
      </c>
      <c r="W440">
        <v>59900</v>
      </c>
      <c r="X440">
        <v>11757.5</v>
      </c>
      <c r="Y440">
        <v>25000</v>
      </c>
      <c r="Z440" s="11">
        <v>46040</v>
      </c>
      <c r="AA440">
        <v>4</v>
      </c>
      <c r="AB440" s="12">
        <v>0.56388888888888888</v>
      </c>
      <c r="AC440" t="s">
        <v>788</v>
      </c>
      <c r="AD440" t="s">
        <v>1027</v>
      </c>
      <c r="AE440" t="s">
        <v>750</v>
      </c>
    </row>
    <row r="441" spans="1:31">
      <c r="A441" t="s">
        <v>1343</v>
      </c>
      <c r="C441">
        <v>593</v>
      </c>
      <c r="D441" t="s">
        <v>2611</v>
      </c>
      <c r="E441" s="11">
        <v>46037</v>
      </c>
      <c r="F441" t="s">
        <v>2612</v>
      </c>
      <c r="G441" t="s">
        <v>36</v>
      </c>
      <c r="J441" t="s">
        <v>720</v>
      </c>
      <c r="K441" t="s">
        <v>2613</v>
      </c>
      <c r="L441" t="s">
        <v>322</v>
      </c>
      <c r="M441" t="s">
        <v>323</v>
      </c>
      <c r="N441" t="s">
        <v>2614</v>
      </c>
      <c r="O441" t="s">
        <v>2615</v>
      </c>
      <c r="P441" s="46" t="str" cm="1">
        <f t="array" aca="1" ref="P441" ca="1">IFERROR(_xlfn.XLOOKUP(tblPedidos[[#This Row],[id_dropi]],tblNotas[[#This Row],[id__dropi]],tblNotas[[#This Row],[Notas Manuales]], “”, 0),"")</f>
        <v/>
      </c>
      <c r="R441" t="s">
        <v>2616</v>
      </c>
      <c r="S441">
        <v>18561.5</v>
      </c>
      <c r="T441">
        <v>-13070.800000000001</v>
      </c>
      <c r="U441" cm="1">
        <f t="array" ref="U441">IFERROR(_xlfn.IFS(tblPedidos[[#This Row],[estado_operativo]]="ENTREGADO",tblPedidos[[#This Row],[ganancia_calc]],tblPedidos[[#This Row],[estado_operativo]]="DEVOLUCION",tblPedidos[[#This Row],[costo_devolucion_estimado]]),0)</f>
        <v>18561.5</v>
      </c>
      <c r="V441">
        <v>55684.5</v>
      </c>
      <c r="W441">
        <v>84900</v>
      </c>
      <c r="X441">
        <v>16338.5</v>
      </c>
      <c r="Y441">
        <v>50000</v>
      </c>
      <c r="Z441" s="11">
        <v>46038</v>
      </c>
      <c r="AA441">
        <v>6</v>
      </c>
      <c r="AB441" s="12">
        <v>0.91249999999999998</v>
      </c>
      <c r="AC441" t="s">
        <v>399</v>
      </c>
      <c r="AD441" t="s">
        <v>720</v>
      </c>
      <c r="AE441" t="s">
        <v>720</v>
      </c>
    </row>
    <row r="442" spans="1:31">
      <c r="A442" t="s">
        <v>1343</v>
      </c>
      <c r="C442">
        <v>594</v>
      </c>
      <c r="D442" t="s">
        <v>2617</v>
      </c>
      <c r="E442" s="11">
        <v>46037</v>
      </c>
      <c r="F442" t="s">
        <v>2618</v>
      </c>
      <c r="G442" t="s">
        <v>45</v>
      </c>
      <c r="J442" t="s">
        <v>720</v>
      </c>
      <c r="K442" t="s">
        <v>2619</v>
      </c>
      <c r="L442" t="s">
        <v>136</v>
      </c>
      <c r="M442" t="s">
        <v>2620</v>
      </c>
      <c r="N442" t="s">
        <v>2621</v>
      </c>
      <c r="O442" t="s">
        <v>2622</v>
      </c>
      <c r="P442" s="46" t="str" cm="1">
        <f t="array" aca="1" ref="P442" ca="1">IFERROR(_xlfn.XLOOKUP(tblPedidos[[#This Row],[id_dropi]],tblNotas[[#This Row],[id__dropi]],tblNotas[[#This Row],[Notas Manuales]], “”, 0),"")</f>
        <v/>
      </c>
      <c r="Q442" t="s">
        <v>50</v>
      </c>
      <c r="R442" t="s">
        <v>2623</v>
      </c>
      <c r="S442">
        <v>26779.5</v>
      </c>
      <c r="T442">
        <v>-18120.5</v>
      </c>
      <c r="U442" cm="1">
        <f t="array" ref="U442">IFERROR(_xlfn.IFS(tblPedidos[[#This Row],[estado_operativo]]="ENTREGADO",tblPedidos[[#This Row],[ganancia_calc]],tblPedidos[[#This Row],[estado_operativo]]="DEVOLUCION",tblPedidos[[#This Row],[costo_devolucion_estimado]]),0)</f>
        <v>26779.5</v>
      </c>
      <c r="V442">
        <v>26779.5</v>
      </c>
      <c r="W442">
        <v>64900</v>
      </c>
      <c r="X442">
        <v>18120.5</v>
      </c>
      <c r="Y442">
        <v>20000</v>
      </c>
      <c r="Z442" s="11">
        <v>46043</v>
      </c>
      <c r="AA442">
        <v>1</v>
      </c>
      <c r="AB442" s="12">
        <v>0.6694444444444444</v>
      </c>
      <c r="AC442" t="s">
        <v>725</v>
      </c>
      <c r="AD442" t="s">
        <v>720</v>
      </c>
      <c r="AE442" t="s">
        <v>720</v>
      </c>
    </row>
    <row r="443" spans="1:31">
      <c r="A443" t="s">
        <v>1343</v>
      </c>
      <c r="C443">
        <v>595</v>
      </c>
      <c r="D443" t="s">
        <v>2624</v>
      </c>
      <c r="E443" s="11">
        <v>46037</v>
      </c>
      <c r="F443" t="s">
        <v>2625</v>
      </c>
      <c r="G443" t="s">
        <v>45</v>
      </c>
      <c r="J443" t="s">
        <v>720</v>
      </c>
      <c r="K443" t="s">
        <v>2626</v>
      </c>
      <c r="L443" t="s">
        <v>136</v>
      </c>
      <c r="M443" t="s">
        <v>2627</v>
      </c>
      <c r="N443" t="s">
        <v>2628</v>
      </c>
      <c r="O443" t="s">
        <v>2629</v>
      </c>
      <c r="P443" s="46" t="str" cm="1">
        <f t="array" aca="1" ref="P443" ca="1">IFERROR(_xlfn.XLOOKUP(tblPedidos[[#This Row],[id_dropi]],tblNotas[[#This Row],[id__dropi]],tblNotas[[#This Row],[Notas Manuales]], “”, 0),"")</f>
        <v/>
      </c>
      <c r="R443" t="s">
        <v>2630</v>
      </c>
      <c r="S443">
        <v>26554.5</v>
      </c>
      <c r="T443">
        <v>-18345.5</v>
      </c>
      <c r="U443" cm="1">
        <f t="array" ref="U443">IFERROR(_xlfn.IFS(tblPedidos[[#This Row],[estado_operativo]]="ENTREGADO",tblPedidos[[#This Row],[ganancia_calc]],tblPedidos[[#This Row],[estado_operativo]]="DEVOLUCION",tblPedidos[[#This Row],[costo_devolucion_estimado]]),0)</f>
        <v>26554.5</v>
      </c>
      <c r="V443">
        <v>79663.5</v>
      </c>
      <c r="W443">
        <v>69900</v>
      </c>
      <c r="X443">
        <v>18345.5</v>
      </c>
      <c r="Y443">
        <v>25000</v>
      </c>
      <c r="Z443" s="11">
        <v>46041</v>
      </c>
      <c r="AA443">
        <v>3</v>
      </c>
      <c r="AB443" s="12">
        <v>0.83819444444444446</v>
      </c>
      <c r="AC443" t="s">
        <v>720</v>
      </c>
      <c r="AD443" t="s">
        <v>720</v>
      </c>
      <c r="AE443" t="s">
        <v>720</v>
      </c>
    </row>
    <row r="444" spans="1:31">
      <c r="A444" t="s">
        <v>33</v>
      </c>
      <c r="C444">
        <v>590</v>
      </c>
      <c r="D444" t="s">
        <v>2631</v>
      </c>
      <c r="E444" s="11">
        <v>46037</v>
      </c>
      <c r="F444" t="s">
        <v>2632</v>
      </c>
      <c r="G444" t="s">
        <v>45</v>
      </c>
      <c r="J444" t="s">
        <v>750</v>
      </c>
      <c r="K444" t="s">
        <v>2633</v>
      </c>
      <c r="L444" t="s">
        <v>159</v>
      </c>
      <c r="M444" t="s">
        <v>160</v>
      </c>
      <c r="N444" t="s">
        <v>2634</v>
      </c>
      <c r="O444" t="s">
        <v>2635</v>
      </c>
      <c r="P444" s="46" t="str" cm="1">
        <f t="array" aca="1" ref="P444" ca="1">IFERROR(_xlfn.XLOOKUP(tblPedidos[[#This Row],[id_dropi]],tblNotas[[#This Row],[id__dropi]],tblNotas[[#This Row],[Notas Manuales]], “”, 0),"")</f>
        <v/>
      </c>
      <c r="R444" t="s">
        <v>2630</v>
      </c>
      <c r="S444">
        <v>31104.5</v>
      </c>
      <c r="T444">
        <v>-13795.5</v>
      </c>
      <c r="U444" cm="1">
        <f t="array" ref="U444">IFERROR(_xlfn.IFS(tblPedidos[[#This Row],[estado_operativo]]="ENTREGADO",tblPedidos[[#This Row],[ganancia_calc]],tblPedidos[[#This Row],[estado_operativo]]="DEVOLUCION",tblPedidos[[#This Row],[costo_devolucion_estimado]]),0)</f>
        <v>0</v>
      </c>
      <c r="V444">
        <v>0</v>
      </c>
      <c r="W444">
        <v>69900</v>
      </c>
      <c r="X444">
        <v>13795.5</v>
      </c>
      <c r="Y444">
        <v>25000</v>
      </c>
      <c r="Z444" s="11">
        <v>46043</v>
      </c>
      <c r="AA444">
        <v>1</v>
      </c>
      <c r="AB444" s="12">
        <v>0.50486111111111109</v>
      </c>
      <c r="AC444" t="s">
        <v>944</v>
      </c>
      <c r="AD444" t="s">
        <v>757</v>
      </c>
      <c r="AE444" t="s">
        <v>750</v>
      </c>
    </row>
    <row r="445" spans="1:31">
      <c r="A445" t="s">
        <v>1343</v>
      </c>
      <c r="C445">
        <v>591</v>
      </c>
      <c r="D445" t="s">
        <v>2636</v>
      </c>
      <c r="E445" s="11">
        <v>46037</v>
      </c>
      <c r="F445" t="s">
        <v>2637</v>
      </c>
      <c r="G445" t="s">
        <v>36</v>
      </c>
      <c r="J445" t="s">
        <v>720</v>
      </c>
      <c r="K445" t="s">
        <v>2638</v>
      </c>
      <c r="L445" t="s">
        <v>590</v>
      </c>
      <c r="M445" t="s">
        <v>783</v>
      </c>
      <c r="N445" t="s">
        <v>2639</v>
      </c>
      <c r="O445" t="s">
        <v>2640</v>
      </c>
      <c r="P445" s="46" t="str" cm="1">
        <f t="array" aca="1" ref="P445" ca="1">IFERROR(_xlfn.XLOOKUP(tblPedidos[[#This Row],[id_dropi]],tblNotas[[#This Row],[id__dropi]],tblNotas[[#This Row],[Notas Manuales]], “”, 0),"")</f>
        <v/>
      </c>
      <c r="R445" t="s">
        <v>2630</v>
      </c>
      <c r="S445">
        <v>29236.5</v>
      </c>
      <c r="T445">
        <v>-12530.800000000001</v>
      </c>
      <c r="U445" cm="1">
        <f t="array" ref="U445">IFERROR(_xlfn.IFS(tblPedidos[[#This Row],[estado_operativo]]="ENTREGADO",tblPedidos[[#This Row],[ganancia_calc]],tblPedidos[[#This Row],[estado_operativo]]="DEVOLUCION",tblPedidos[[#This Row],[costo_devolucion_estimado]]),0)</f>
        <v>29236.5</v>
      </c>
      <c r="V445">
        <v>87709.5</v>
      </c>
      <c r="W445">
        <v>69900</v>
      </c>
      <c r="X445">
        <v>15663.5</v>
      </c>
      <c r="Y445">
        <v>25000</v>
      </c>
      <c r="Z445" s="11">
        <v>46038</v>
      </c>
      <c r="AA445">
        <v>6</v>
      </c>
      <c r="AB445" s="12">
        <v>0.91527777777777775</v>
      </c>
      <c r="AC445" t="s">
        <v>399</v>
      </c>
      <c r="AD445" t="s">
        <v>720</v>
      </c>
      <c r="AE445" t="s">
        <v>720</v>
      </c>
    </row>
    <row r="446" spans="1:31">
      <c r="A446" t="s">
        <v>1343</v>
      </c>
      <c r="C446">
        <v>592</v>
      </c>
      <c r="D446" t="s">
        <v>2641</v>
      </c>
      <c r="E446" s="11">
        <v>46037</v>
      </c>
      <c r="F446" t="s">
        <v>2642</v>
      </c>
      <c r="G446" t="s">
        <v>45</v>
      </c>
      <c r="J446" t="s">
        <v>720</v>
      </c>
      <c r="K446" t="s">
        <v>2643</v>
      </c>
      <c r="L446" t="s">
        <v>590</v>
      </c>
      <c r="M446" t="s">
        <v>2644</v>
      </c>
      <c r="N446" t="s">
        <v>2645</v>
      </c>
      <c r="O446" t="s">
        <v>2646</v>
      </c>
      <c r="P446" s="46" t="str" cm="1">
        <f t="array" aca="1" ref="P446" ca="1">IFERROR(_xlfn.XLOOKUP(tblPedidos[[#This Row],[id_dropi]],tblNotas[[#This Row],[id__dropi]],tblNotas[[#This Row],[Notas Manuales]], “”, 0),"")</f>
        <v/>
      </c>
      <c r="Q446" t="s">
        <v>50</v>
      </c>
      <c r="R446" t="s">
        <v>2647</v>
      </c>
      <c r="S446">
        <v>17004.5</v>
      </c>
      <c r="T446">
        <v>-17895.5</v>
      </c>
      <c r="U446" cm="1">
        <f t="array" ref="U446">IFERROR(_xlfn.IFS(tblPedidos[[#This Row],[estado_operativo]]="ENTREGADO",tblPedidos[[#This Row],[ganancia_calc]],tblPedidos[[#This Row],[estado_operativo]]="DEVOLUCION",tblPedidos[[#This Row],[costo_devolucion_estimado]]),0)</f>
        <v>17004.5</v>
      </c>
      <c r="V446">
        <v>17004.5</v>
      </c>
      <c r="W446">
        <v>59900</v>
      </c>
      <c r="X446">
        <v>17895.5</v>
      </c>
      <c r="Y446">
        <v>25000</v>
      </c>
      <c r="Z446" s="11">
        <v>46042</v>
      </c>
      <c r="AA446">
        <v>2</v>
      </c>
      <c r="AB446" s="12">
        <v>0.75972222222222219</v>
      </c>
      <c r="AC446" t="s">
        <v>720</v>
      </c>
      <c r="AD446" t="s">
        <v>720</v>
      </c>
      <c r="AE446" t="s">
        <v>720</v>
      </c>
    </row>
    <row r="447" spans="1:31">
      <c r="A447" t="s">
        <v>33</v>
      </c>
      <c r="C447">
        <v>599</v>
      </c>
      <c r="D447" t="s">
        <v>2648</v>
      </c>
      <c r="E447" s="11">
        <v>46037</v>
      </c>
      <c r="F447" t="s">
        <v>2649</v>
      </c>
      <c r="G447" t="s">
        <v>45</v>
      </c>
      <c r="J447" t="s">
        <v>1371</v>
      </c>
      <c r="K447" t="s">
        <v>2650</v>
      </c>
      <c r="L447" t="s">
        <v>152</v>
      </c>
      <c r="M447" t="s">
        <v>2651</v>
      </c>
      <c r="N447" t="s">
        <v>2652</v>
      </c>
      <c r="O447" t="s">
        <v>2653</v>
      </c>
      <c r="P447" s="46" t="str" cm="1">
        <f t="array" aca="1" ref="P447" ca="1">IFERROR(_xlfn.XLOOKUP(tblPedidos[[#This Row],[id_dropi]],tblNotas[[#This Row],[id__dropi]],tblNotas[[#This Row],[Notas Manuales]], “”, 0),"")</f>
        <v/>
      </c>
      <c r="Q447" t="s">
        <v>50</v>
      </c>
      <c r="R447" t="s">
        <v>2647</v>
      </c>
      <c r="S447">
        <v>17004.5</v>
      </c>
      <c r="T447">
        <v>-17895.5</v>
      </c>
      <c r="U447" cm="1">
        <f t="array" ref="U447">IFERROR(_xlfn.IFS(tblPedidos[[#This Row],[estado_operativo]]="ENTREGADO",tblPedidos[[#This Row],[ganancia_calc]],tblPedidos[[#This Row],[estado_operativo]]="DEVOLUCION",tblPedidos[[#This Row],[costo_devolucion_estimado]]),0)</f>
        <v>0</v>
      </c>
      <c r="V447">
        <v>0</v>
      </c>
      <c r="W447">
        <v>59900</v>
      </c>
      <c r="X447">
        <v>17895.5</v>
      </c>
      <c r="Y447">
        <v>25000</v>
      </c>
      <c r="Z447" s="11">
        <v>46043</v>
      </c>
      <c r="AA447">
        <v>1</v>
      </c>
      <c r="AB447" s="12">
        <v>0.42708333333333331</v>
      </c>
      <c r="AC447" t="s">
        <v>982</v>
      </c>
      <c r="AD447" t="s">
        <v>982</v>
      </c>
      <c r="AE447" t="s">
        <v>1371</v>
      </c>
    </row>
    <row r="448" spans="1:31">
      <c r="A448" t="s">
        <v>1343</v>
      </c>
      <c r="C448">
        <v>600</v>
      </c>
      <c r="D448" t="s">
        <v>2654</v>
      </c>
      <c r="E448" s="11">
        <v>46037</v>
      </c>
      <c r="F448" t="s">
        <v>2655</v>
      </c>
      <c r="G448" t="s">
        <v>45</v>
      </c>
      <c r="J448" t="s">
        <v>720</v>
      </c>
      <c r="K448" t="s">
        <v>2656</v>
      </c>
      <c r="L448" t="s">
        <v>427</v>
      </c>
      <c r="M448" t="s">
        <v>2657</v>
      </c>
      <c r="N448" t="s">
        <v>2658</v>
      </c>
      <c r="O448" t="s">
        <v>2659</v>
      </c>
      <c r="P448" s="46" t="str" cm="1">
        <f t="array" aca="1" ref="P448" ca="1">IFERROR(_xlfn.XLOOKUP(tblPedidos[[#This Row],[id_dropi]],tblNotas[[#This Row],[id__dropi]],tblNotas[[#This Row],[Notas Manuales]], “”, 0),"")</f>
        <v/>
      </c>
      <c r="Q448" t="s">
        <v>50</v>
      </c>
      <c r="R448" t="s">
        <v>2630</v>
      </c>
      <c r="S448">
        <v>26554.5</v>
      </c>
      <c r="T448">
        <v>-18345.5</v>
      </c>
      <c r="U448" cm="1">
        <f t="array" ref="U448">IFERROR(_xlfn.IFS(tblPedidos[[#This Row],[estado_operativo]]="ENTREGADO",tblPedidos[[#This Row],[ganancia_calc]],tblPedidos[[#This Row],[estado_operativo]]="DEVOLUCION",tblPedidos[[#This Row],[costo_devolucion_estimado]]),0)</f>
        <v>26554.5</v>
      </c>
      <c r="V448">
        <v>26554.5</v>
      </c>
      <c r="W448">
        <v>69900</v>
      </c>
      <c r="X448">
        <v>18345.5</v>
      </c>
      <c r="Y448">
        <v>25000</v>
      </c>
      <c r="Z448" s="11">
        <v>46042</v>
      </c>
      <c r="AA448">
        <v>2</v>
      </c>
      <c r="AB448" s="12">
        <v>0.43125000000000002</v>
      </c>
      <c r="AC448" t="s">
        <v>720</v>
      </c>
      <c r="AD448" t="s">
        <v>720</v>
      </c>
      <c r="AE448" t="s">
        <v>720</v>
      </c>
    </row>
    <row r="449" spans="1:31">
      <c r="A449" t="s">
        <v>1343</v>
      </c>
      <c r="C449">
        <v>601</v>
      </c>
      <c r="D449" t="s">
        <v>2660</v>
      </c>
      <c r="E449" s="11">
        <v>46037</v>
      </c>
      <c r="F449" t="s">
        <v>2661</v>
      </c>
      <c r="G449" t="s">
        <v>45</v>
      </c>
      <c r="J449" t="s">
        <v>720</v>
      </c>
      <c r="K449" t="s">
        <v>2662</v>
      </c>
      <c r="L449" t="s">
        <v>125</v>
      </c>
      <c r="M449" t="s">
        <v>306</v>
      </c>
      <c r="N449" t="s">
        <v>2663</v>
      </c>
      <c r="O449" t="s">
        <v>2664</v>
      </c>
      <c r="P449" s="46" t="str" cm="1">
        <f t="array" aca="1" ref="P449" ca="1">IFERROR(_xlfn.XLOOKUP(tblPedidos[[#This Row],[id_dropi]],tblNotas[[#This Row],[id__dropi]],tblNotas[[#This Row],[Notas Manuales]], “”, 0),"")</f>
        <v/>
      </c>
      <c r="Q449" t="s">
        <v>2665</v>
      </c>
      <c r="R449" t="s">
        <v>2647</v>
      </c>
      <c r="S449">
        <v>17004.5</v>
      </c>
      <c r="T449">
        <v>-17895.5</v>
      </c>
      <c r="U449" cm="1">
        <f t="array" ref="U449">IFERROR(_xlfn.IFS(tblPedidos[[#This Row],[estado_operativo]]="ENTREGADO",tblPedidos[[#This Row],[ganancia_calc]],tblPedidos[[#This Row],[estado_operativo]]="DEVOLUCION",tblPedidos[[#This Row],[costo_devolucion_estimado]]),0)</f>
        <v>17004.5</v>
      </c>
      <c r="V449">
        <v>17004.5</v>
      </c>
      <c r="W449">
        <v>59900</v>
      </c>
      <c r="X449">
        <v>17895.5</v>
      </c>
      <c r="Y449">
        <v>25000</v>
      </c>
      <c r="Z449" s="11">
        <v>46043</v>
      </c>
      <c r="AA449">
        <v>1</v>
      </c>
      <c r="AB449" s="12">
        <v>0.57291666666666663</v>
      </c>
      <c r="AC449" t="s">
        <v>2056</v>
      </c>
      <c r="AD449" t="s">
        <v>720</v>
      </c>
      <c r="AE449" t="s">
        <v>720</v>
      </c>
    </row>
    <row r="450" spans="1:31">
      <c r="A450" t="s">
        <v>1343</v>
      </c>
      <c r="C450">
        <v>596</v>
      </c>
      <c r="D450" t="s">
        <v>2666</v>
      </c>
      <c r="E450" s="11">
        <v>46037</v>
      </c>
      <c r="F450" t="s">
        <v>2667</v>
      </c>
      <c r="G450" t="s">
        <v>45</v>
      </c>
      <c r="J450" t="s">
        <v>1657</v>
      </c>
      <c r="K450" t="s">
        <v>2668</v>
      </c>
      <c r="L450" t="s">
        <v>46</v>
      </c>
      <c r="M450" t="s">
        <v>100</v>
      </c>
      <c r="N450" t="s">
        <v>2669</v>
      </c>
      <c r="O450" t="s">
        <v>2670</v>
      </c>
      <c r="P450" s="46" t="str" cm="1">
        <f t="array" aca="1" ref="P450" ca="1">IFERROR(_xlfn.XLOOKUP(tblPedidos[[#This Row],[id_dropi]],tblNotas[[#This Row],[id__dropi]],tblNotas[[#This Row],[Notas Manuales]], “”, 0),"")</f>
        <v/>
      </c>
      <c r="Q450" t="s">
        <v>2671</v>
      </c>
      <c r="R450" t="s">
        <v>2630</v>
      </c>
      <c r="S450">
        <v>26554.5</v>
      </c>
      <c r="T450">
        <v>-18345.5</v>
      </c>
      <c r="U450" cm="1">
        <f t="array" ref="U450">IFERROR(_xlfn.IFS(tblPedidos[[#This Row],[estado_operativo]]="ENTREGADO",tblPedidos[[#This Row],[ganancia_calc]],tblPedidos[[#This Row],[estado_operativo]]="DEVOLUCION",tblPedidos[[#This Row],[costo_devolucion_estimado]]),0)</f>
        <v>-18345.5</v>
      </c>
      <c r="V450">
        <v>-18345.5</v>
      </c>
      <c r="W450">
        <v>69900</v>
      </c>
      <c r="X450">
        <v>18345.5</v>
      </c>
      <c r="Y450">
        <v>25000</v>
      </c>
      <c r="Z450" s="11">
        <v>46043</v>
      </c>
      <c r="AA450">
        <v>1</v>
      </c>
      <c r="AB450" s="12">
        <v>0.42569444444444443</v>
      </c>
      <c r="AC450" t="s">
        <v>1657</v>
      </c>
      <c r="AD450" t="s">
        <v>1657</v>
      </c>
      <c r="AE450" t="s">
        <v>1657</v>
      </c>
    </row>
    <row r="451" spans="1:31">
      <c r="A451" t="s">
        <v>33</v>
      </c>
      <c r="C451">
        <v>597</v>
      </c>
      <c r="D451" t="s">
        <v>2672</v>
      </c>
      <c r="E451" s="11">
        <v>46037</v>
      </c>
      <c r="F451" t="s">
        <v>2673</v>
      </c>
      <c r="G451" t="s">
        <v>36</v>
      </c>
      <c r="J451" t="s">
        <v>939</v>
      </c>
      <c r="K451" t="s">
        <v>2674</v>
      </c>
      <c r="L451" t="s">
        <v>38</v>
      </c>
      <c r="M451" t="s">
        <v>39</v>
      </c>
      <c r="N451" t="s">
        <v>2675</v>
      </c>
      <c r="O451" t="s">
        <v>2676</v>
      </c>
      <c r="P451" s="46" t="str" cm="1">
        <f t="array" aca="1" ref="P451" ca="1">IFERROR(_xlfn.XLOOKUP(tblPedidos[[#This Row],[id_dropi]],tblNotas[[#This Row],[id__dropi]],tblNotas[[#This Row],[Notas Manuales]], “”, 0),"")</f>
        <v/>
      </c>
      <c r="Q451" t="s">
        <v>2677</v>
      </c>
      <c r="R451" t="s">
        <v>2647</v>
      </c>
      <c r="S451">
        <v>19686.5</v>
      </c>
      <c r="T451">
        <v>-12170.800000000001</v>
      </c>
      <c r="U451" cm="1">
        <f t="array" ref="U451">IFERROR(_xlfn.IFS(tblPedidos[[#This Row],[estado_operativo]]="ENTREGADO",tblPedidos[[#This Row],[ganancia_calc]],tblPedidos[[#This Row],[estado_operativo]]="DEVOLUCION",tblPedidos[[#This Row],[costo_devolucion_estimado]]),0)</f>
        <v>0</v>
      </c>
      <c r="V451">
        <v>0</v>
      </c>
      <c r="W451">
        <v>59900</v>
      </c>
      <c r="X451">
        <v>15213.5</v>
      </c>
      <c r="Y451">
        <v>25000</v>
      </c>
      <c r="Z451" s="11">
        <v>46039</v>
      </c>
      <c r="AA451">
        <v>5</v>
      </c>
      <c r="AB451" s="12">
        <v>0.74583333333333335</v>
      </c>
      <c r="AC451" t="s">
        <v>399</v>
      </c>
      <c r="AD451" t="s">
        <v>939</v>
      </c>
      <c r="AE451" t="s">
        <v>939</v>
      </c>
    </row>
    <row r="452" spans="1:31">
      <c r="A452" t="s">
        <v>1343</v>
      </c>
      <c r="C452">
        <v>598</v>
      </c>
      <c r="D452" t="s">
        <v>2678</v>
      </c>
      <c r="E452" s="11">
        <v>46037</v>
      </c>
      <c r="F452" t="s">
        <v>2679</v>
      </c>
      <c r="G452" t="s">
        <v>45</v>
      </c>
      <c r="J452" t="s">
        <v>720</v>
      </c>
      <c r="K452" t="s">
        <v>2680</v>
      </c>
      <c r="L452" t="s">
        <v>111</v>
      </c>
      <c r="M452" t="s">
        <v>695</v>
      </c>
      <c r="N452" t="s">
        <v>2681</v>
      </c>
      <c r="O452" t="s">
        <v>2682</v>
      </c>
      <c r="P452" s="46" t="str" cm="1">
        <f t="array" aca="1" ref="P452" ca="1">IFERROR(_xlfn.XLOOKUP(tblPedidos[[#This Row],[id_dropi]],tblNotas[[#This Row],[id__dropi]],tblNotas[[#This Row],[Notas Manuales]], “”, 0),"")</f>
        <v/>
      </c>
      <c r="R452" t="s">
        <v>2630</v>
      </c>
      <c r="S452">
        <v>31104.5</v>
      </c>
      <c r="T452">
        <v>-13795.5</v>
      </c>
      <c r="U452" cm="1">
        <f t="array" ref="U452">IFERROR(_xlfn.IFS(tblPedidos[[#This Row],[estado_operativo]]="ENTREGADO",tblPedidos[[#This Row],[ganancia_calc]],tblPedidos[[#This Row],[estado_operativo]]="DEVOLUCION",tblPedidos[[#This Row],[costo_devolucion_estimado]]),0)</f>
        <v>31104.5</v>
      </c>
      <c r="V452">
        <v>93313.5</v>
      </c>
      <c r="W452">
        <v>69900</v>
      </c>
      <c r="X452">
        <v>13795.5</v>
      </c>
      <c r="Y452">
        <v>25000</v>
      </c>
      <c r="Z452" s="11">
        <v>46041</v>
      </c>
      <c r="AA452">
        <v>3</v>
      </c>
      <c r="AB452" s="12">
        <v>0.61597222222222225</v>
      </c>
      <c r="AC452" t="s">
        <v>720</v>
      </c>
      <c r="AD452" t="s">
        <v>720</v>
      </c>
      <c r="AE452" t="s">
        <v>720</v>
      </c>
    </row>
    <row r="453" spans="1:31">
      <c r="A453" t="s">
        <v>33</v>
      </c>
      <c r="C453">
        <v>581</v>
      </c>
      <c r="D453" t="s">
        <v>2683</v>
      </c>
      <c r="E453" s="11">
        <v>46037</v>
      </c>
      <c r="F453" t="s">
        <v>2684</v>
      </c>
      <c r="G453" t="s">
        <v>36</v>
      </c>
      <c r="J453" t="s">
        <v>720</v>
      </c>
      <c r="K453" t="s">
        <v>2685</v>
      </c>
      <c r="L453" t="s">
        <v>38</v>
      </c>
      <c r="M453" t="s">
        <v>39</v>
      </c>
      <c r="N453" t="s">
        <v>2686</v>
      </c>
      <c r="O453" t="s">
        <v>2687</v>
      </c>
      <c r="P453" s="46" t="str" cm="1">
        <f t="array" aca="1" ref="P453" ca="1">IFERROR(_xlfn.XLOOKUP(tblPedidos[[#This Row],[id_dropi]],tblNotas[[#This Row],[id__dropi]],tblNotas[[#This Row],[Notas Manuales]], “”, 0),"")</f>
        <v/>
      </c>
      <c r="R453" t="s">
        <v>2630</v>
      </c>
      <c r="S453">
        <v>29236.5</v>
      </c>
      <c r="T453">
        <v>-12530.800000000001</v>
      </c>
      <c r="U453" cm="1">
        <f t="array" ref="U453">IFERROR(_xlfn.IFS(tblPedidos[[#This Row],[estado_operativo]]="ENTREGADO",tblPedidos[[#This Row],[ganancia_calc]],tblPedidos[[#This Row],[estado_operativo]]="DEVOLUCION",tblPedidos[[#This Row],[costo_devolucion_estimado]]),0)</f>
        <v>29236.5</v>
      </c>
      <c r="V453">
        <v>0</v>
      </c>
      <c r="W453">
        <v>69900</v>
      </c>
      <c r="X453">
        <v>15663.5</v>
      </c>
      <c r="Y453">
        <v>25000</v>
      </c>
      <c r="Z453" s="11">
        <v>46038</v>
      </c>
      <c r="AA453">
        <v>6</v>
      </c>
      <c r="AB453" s="12">
        <v>0.91249999999999998</v>
      </c>
      <c r="AC453" t="s">
        <v>399</v>
      </c>
      <c r="AD453" t="s">
        <v>720</v>
      </c>
      <c r="AE453" t="s">
        <v>720</v>
      </c>
    </row>
    <row r="454" spans="1:31">
      <c r="A454" t="s">
        <v>33</v>
      </c>
      <c r="C454">
        <v>582</v>
      </c>
      <c r="D454" t="s">
        <v>2688</v>
      </c>
      <c r="E454" s="11">
        <v>46037</v>
      </c>
      <c r="F454" t="s">
        <v>2689</v>
      </c>
      <c r="G454" t="s">
        <v>45</v>
      </c>
      <c r="J454" t="s">
        <v>1371</v>
      </c>
      <c r="K454" t="s">
        <v>2690</v>
      </c>
      <c r="L454" t="s">
        <v>545</v>
      </c>
      <c r="M454" t="s">
        <v>2691</v>
      </c>
      <c r="N454" t="s">
        <v>2692</v>
      </c>
      <c r="O454" t="s">
        <v>2693</v>
      </c>
      <c r="P454" s="46" t="str" cm="1">
        <f t="array" aca="1" ref="P454" ca="1">IFERROR(_xlfn.XLOOKUP(tblPedidos[[#This Row],[id_dropi]],tblNotas[[#This Row],[id__dropi]],tblNotas[[#This Row],[Notas Manuales]], “”, 0),"")</f>
        <v/>
      </c>
      <c r="Q454" t="s">
        <v>50</v>
      </c>
      <c r="R454" t="s">
        <v>2630</v>
      </c>
      <c r="S454">
        <v>26554.5</v>
      </c>
      <c r="T454">
        <v>-18345.5</v>
      </c>
      <c r="U454" cm="1">
        <f t="array" ref="U454">IFERROR(_xlfn.IFS(tblPedidos[[#This Row],[estado_operativo]]="ENTREGADO",tblPedidos[[#This Row],[ganancia_calc]],tblPedidos[[#This Row],[estado_operativo]]="DEVOLUCION",tblPedidos[[#This Row],[costo_devolucion_estimado]]),0)</f>
        <v>0</v>
      </c>
      <c r="V454">
        <v>0</v>
      </c>
      <c r="W454">
        <v>69900</v>
      </c>
      <c r="X454">
        <v>18345.5</v>
      </c>
      <c r="Y454">
        <v>25000</v>
      </c>
      <c r="Z454" s="11">
        <v>46043</v>
      </c>
      <c r="AA454">
        <v>1</v>
      </c>
      <c r="AB454" s="12">
        <v>0.43194444444444446</v>
      </c>
      <c r="AC454" t="s">
        <v>982</v>
      </c>
      <c r="AD454" t="s">
        <v>982</v>
      </c>
      <c r="AE454" t="s">
        <v>1371</v>
      </c>
    </row>
    <row r="455" spans="1:31">
      <c r="A455" t="s">
        <v>1343</v>
      </c>
      <c r="C455">
        <v>583</v>
      </c>
      <c r="D455" t="s">
        <v>2694</v>
      </c>
      <c r="E455" s="11">
        <v>46037</v>
      </c>
      <c r="F455" t="s">
        <v>2695</v>
      </c>
      <c r="G455" t="s">
        <v>45</v>
      </c>
      <c r="J455" t="s">
        <v>720</v>
      </c>
      <c r="K455" t="s">
        <v>2696</v>
      </c>
      <c r="L455" t="s">
        <v>46</v>
      </c>
      <c r="M455" t="s">
        <v>2697</v>
      </c>
      <c r="N455" t="s">
        <v>2698</v>
      </c>
      <c r="O455" t="s">
        <v>2699</v>
      </c>
      <c r="P455" s="46" t="str" cm="1">
        <f t="array" aca="1" ref="P455" ca="1">IFERROR(_xlfn.XLOOKUP(tblPedidos[[#This Row],[id_dropi]],tblNotas[[#This Row],[id__dropi]],tblNotas[[#This Row],[Notas Manuales]], “”, 0),"")</f>
        <v/>
      </c>
      <c r="Q455" t="s">
        <v>50</v>
      </c>
      <c r="R455" t="s">
        <v>2647</v>
      </c>
      <c r="S455">
        <v>21554.5</v>
      </c>
      <c r="T455">
        <v>-13345.5</v>
      </c>
      <c r="U455" cm="1">
        <f t="array" ref="U455">IFERROR(_xlfn.IFS(tblPedidos[[#This Row],[estado_operativo]]="ENTREGADO",tblPedidos[[#This Row],[ganancia_calc]],tblPedidos[[#This Row],[estado_operativo]]="DEVOLUCION",tblPedidos[[#This Row],[costo_devolucion_estimado]]),0)</f>
        <v>21554.5</v>
      </c>
      <c r="V455">
        <v>21554.5</v>
      </c>
      <c r="W455">
        <v>59900</v>
      </c>
      <c r="X455">
        <v>13345.5</v>
      </c>
      <c r="Y455">
        <v>25000</v>
      </c>
      <c r="Z455" s="11">
        <v>46042</v>
      </c>
      <c r="AA455">
        <v>2</v>
      </c>
      <c r="AB455" s="12">
        <v>0.6166666666666667</v>
      </c>
      <c r="AC455" t="s">
        <v>720</v>
      </c>
      <c r="AD455" t="s">
        <v>720</v>
      </c>
      <c r="AE455" t="s">
        <v>720</v>
      </c>
    </row>
    <row r="456" spans="1:31">
      <c r="A456" t="s">
        <v>33</v>
      </c>
      <c r="C456">
        <v>578</v>
      </c>
      <c r="D456" t="s">
        <v>2700</v>
      </c>
      <c r="E456" s="11">
        <v>46037</v>
      </c>
      <c r="F456" t="s">
        <v>2701</v>
      </c>
      <c r="G456" t="s">
        <v>36</v>
      </c>
      <c r="J456" t="s">
        <v>750</v>
      </c>
      <c r="K456" t="s">
        <v>2702</v>
      </c>
      <c r="L456" t="s">
        <v>38</v>
      </c>
      <c r="M456" t="s">
        <v>39</v>
      </c>
      <c r="N456" t="s">
        <v>2703</v>
      </c>
      <c r="O456" t="s">
        <v>2704</v>
      </c>
      <c r="P456" s="46" t="str" cm="1">
        <f t="array" aca="1" ref="P456" ca="1">IFERROR(_xlfn.XLOOKUP(tblPedidos[[#This Row],[id_dropi]],tblNotas[[#This Row],[id__dropi]],tblNotas[[#This Row],[Notas Manuales]], “”, 0),"")</f>
        <v/>
      </c>
      <c r="R456" t="s">
        <v>2705</v>
      </c>
      <c r="S456">
        <v>24736.5</v>
      </c>
      <c r="T456">
        <v>-12170.800000000001</v>
      </c>
      <c r="U456" cm="1">
        <f t="array" ref="U456">IFERROR(_xlfn.IFS(tblPedidos[[#This Row],[estado_operativo]]="ENTREGADO",tblPedidos[[#This Row],[ganancia_calc]],tblPedidos[[#This Row],[estado_operativo]]="DEVOLUCION",tblPedidos[[#This Row],[costo_devolucion_estimado]]),0)</f>
        <v>0</v>
      </c>
      <c r="V456">
        <v>0</v>
      </c>
      <c r="W456">
        <v>59900</v>
      </c>
      <c r="X456">
        <v>15213.5</v>
      </c>
      <c r="Y456">
        <v>19950</v>
      </c>
      <c r="Z456" s="11">
        <v>46038</v>
      </c>
      <c r="AA456">
        <v>6</v>
      </c>
      <c r="AB456" s="12">
        <v>0.87291666666666667</v>
      </c>
      <c r="AC456" t="s">
        <v>399</v>
      </c>
      <c r="AD456" t="s">
        <v>1027</v>
      </c>
      <c r="AE456" t="s">
        <v>750</v>
      </c>
    </row>
    <row r="457" spans="1:31">
      <c r="A457" t="s">
        <v>1343</v>
      </c>
      <c r="C457">
        <v>579</v>
      </c>
      <c r="D457" t="s">
        <v>2706</v>
      </c>
      <c r="E457" s="11">
        <v>46037</v>
      </c>
      <c r="F457" t="s">
        <v>2707</v>
      </c>
      <c r="G457" t="s">
        <v>36</v>
      </c>
      <c r="J457" t="s">
        <v>720</v>
      </c>
      <c r="K457" t="s">
        <v>2708</v>
      </c>
      <c r="L457" t="s">
        <v>81</v>
      </c>
      <c r="M457" t="s">
        <v>118</v>
      </c>
      <c r="N457" t="s">
        <v>2709</v>
      </c>
      <c r="O457" t="s">
        <v>2710</v>
      </c>
      <c r="P457" s="46" t="str" cm="1">
        <f t="array" aca="1" ref="P457" ca="1">IFERROR(_xlfn.XLOOKUP(tblPedidos[[#This Row],[id_dropi]],tblNotas[[#This Row],[id__dropi]],tblNotas[[#This Row],[Notas Manuales]], “”, 0),"")</f>
        <v/>
      </c>
      <c r="R457" t="s">
        <v>2711</v>
      </c>
      <c r="S457">
        <v>32946.5</v>
      </c>
      <c r="T457">
        <v>-10802.800000000001</v>
      </c>
      <c r="U457" cm="1">
        <f t="array" ref="U457">IFERROR(_xlfn.IFS(tblPedidos[[#This Row],[estado_operativo]]="ENTREGADO",tblPedidos[[#This Row],[ganancia_calc]],tblPedidos[[#This Row],[estado_operativo]]="DEVOLUCION",tblPedidos[[#This Row],[costo_devolucion_estimado]]),0)</f>
        <v>32946.5</v>
      </c>
      <c r="V457">
        <v>98839.5</v>
      </c>
      <c r="W457">
        <v>69900</v>
      </c>
      <c r="X457">
        <v>13503.5</v>
      </c>
      <c r="Y457">
        <v>23450</v>
      </c>
      <c r="Z457" s="11">
        <v>46038</v>
      </c>
      <c r="AA457">
        <v>6</v>
      </c>
      <c r="AB457" s="12">
        <v>0.87291666666666667</v>
      </c>
      <c r="AC457" t="s">
        <v>399</v>
      </c>
      <c r="AD457" t="s">
        <v>720</v>
      </c>
      <c r="AE457" t="s">
        <v>720</v>
      </c>
    </row>
    <row r="458" spans="1:31">
      <c r="A458" t="s">
        <v>1343</v>
      </c>
      <c r="C458">
        <v>580</v>
      </c>
      <c r="D458" t="s">
        <v>2712</v>
      </c>
      <c r="E458" s="11">
        <v>46037</v>
      </c>
      <c r="F458" t="s">
        <v>2713</v>
      </c>
      <c r="G458" t="s">
        <v>45</v>
      </c>
      <c r="J458" t="s">
        <v>720</v>
      </c>
      <c r="K458" t="s">
        <v>2714</v>
      </c>
      <c r="L458" t="s">
        <v>328</v>
      </c>
      <c r="M458" t="s">
        <v>329</v>
      </c>
      <c r="N458" t="s">
        <v>2715</v>
      </c>
      <c r="O458" t="s">
        <v>2716</v>
      </c>
      <c r="P458" s="46" t="str" cm="1">
        <f t="array" aca="1" ref="P458" ca="1">IFERROR(_xlfn.XLOOKUP(tblPedidos[[#This Row],[id_dropi]],tblNotas[[#This Row],[id__dropi]],tblNotas[[#This Row],[Notas Manuales]], “”, 0),"")</f>
        <v/>
      </c>
      <c r="R458" t="s">
        <v>2647</v>
      </c>
      <c r="S458">
        <v>16779.5</v>
      </c>
      <c r="T458">
        <v>-13120.5</v>
      </c>
      <c r="U458" cm="1">
        <f t="array" ref="U458">IFERROR(_xlfn.IFS(tblPedidos[[#This Row],[estado_operativo]]="ENTREGADO",tblPedidos[[#This Row],[ganancia_calc]],tblPedidos[[#This Row],[estado_operativo]]="DEVOLUCION",tblPedidos[[#This Row],[costo_devolucion_estimado]]),0)</f>
        <v>16779.5</v>
      </c>
      <c r="V458">
        <v>83897.5</v>
      </c>
      <c r="W458">
        <v>54900</v>
      </c>
      <c r="X458">
        <v>13120.5</v>
      </c>
      <c r="Y458">
        <v>25000</v>
      </c>
      <c r="Z458" s="11">
        <v>46039</v>
      </c>
      <c r="AA458">
        <v>5</v>
      </c>
      <c r="AB458" s="12">
        <v>0.67291666666666672</v>
      </c>
      <c r="AC458" t="s">
        <v>720</v>
      </c>
      <c r="AD458" t="s">
        <v>720</v>
      </c>
      <c r="AE458" t="s">
        <v>720</v>
      </c>
    </row>
    <row r="459" spans="1:31">
      <c r="A459" t="s">
        <v>1343</v>
      </c>
      <c r="C459">
        <v>587</v>
      </c>
      <c r="D459" t="s">
        <v>2717</v>
      </c>
      <c r="E459" s="11">
        <v>46037</v>
      </c>
      <c r="F459" t="s">
        <v>2718</v>
      </c>
      <c r="G459" t="s">
        <v>36</v>
      </c>
      <c r="J459" t="s">
        <v>720</v>
      </c>
      <c r="K459" t="s">
        <v>2719</v>
      </c>
      <c r="L459" t="s">
        <v>81</v>
      </c>
      <c r="M459" t="s">
        <v>2720</v>
      </c>
      <c r="N459" t="s">
        <v>2721</v>
      </c>
      <c r="O459" t="s">
        <v>2722</v>
      </c>
      <c r="P459" s="46" t="str" cm="1">
        <f t="array" aca="1" ref="P459" ca="1">IFERROR(_xlfn.XLOOKUP(tblPedidos[[#This Row],[id_dropi]],tblNotas[[#This Row],[id__dropi]],tblNotas[[#This Row],[Notas Manuales]], “”, 0),"")</f>
        <v/>
      </c>
      <c r="R459" t="s">
        <v>2711</v>
      </c>
      <c r="S459">
        <v>32946.5</v>
      </c>
      <c r="T459">
        <v>-10802.800000000001</v>
      </c>
      <c r="U459" cm="1">
        <f t="array" ref="U459">IFERROR(_xlfn.IFS(tblPedidos[[#This Row],[estado_operativo]]="ENTREGADO",tblPedidos[[#This Row],[ganancia_calc]],tblPedidos[[#This Row],[estado_operativo]]="DEVOLUCION",tblPedidos[[#This Row],[costo_devolucion_estimado]]),0)</f>
        <v>32946.5</v>
      </c>
      <c r="V459">
        <v>98839.5</v>
      </c>
      <c r="W459">
        <v>69900</v>
      </c>
      <c r="X459">
        <v>13503.5</v>
      </c>
      <c r="Y459">
        <v>23450</v>
      </c>
      <c r="Z459" s="11">
        <v>46038</v>
      </c>
      <c r="AA459">
        <v>6</v>
      </c>
      <c r="AB459" s="12">
        <v>0.87291666666666667</v>
      </c>
      <c r="AC459" t="s">
        <v>399</v>
      </c>
      <c r="AD459" t="s">
        <v>720</v>
      </c>
      <c r="AE459" t="s">
        <v>720</v>
      </c>
    </row>
    <row r="460" spans="1:31">
      <c r="A460" t="s">
        <v>33</v>
      </c>
      <c r="C460">
        <v>588</v>
      </c>
      <c r="D460" t="s">
        <v>2723</v>
      </c>
      <c r="E460" s="11">
        <v>46037</v>
      </c>
      <c r="F460" t="s">
        <v>2724</v>
      </c>
      <c r="G460" t="s">
        <v>45</v>
      </c>
      <c r="J460" t="s">
        <v>1371</v>
      </c>
      <c r="K460" t="s">
        <v>2725</v>
      </c>
      <c r="L460" t="s">
        <v>545</v>
      </c>
      <c r="M460" t="s">
        <v>2726</v>
      </c>
      <c r="N460" t="s">
        <v>2727</v>
      </c>
      <c r="O460" t="s">
        <v>2728</v>
      </c>
      <c r="P460" s="46" t="str" cm="1">
        <f t="array" aca="1" ref="P460" ca="1">IFERROR(_xlfn.XLOOKUP(tblPedidos[[#This Row],[id_dropi]],tblNotas[[#This Row],[id__dropi]],tblNotas[[#This Row],[Notas Manuales]], “”, 0),"")</f>
        <v/>
      </c>
      <c r="Q460" t="s">
        <v>50</v>
      </c>
      <c r="R460" t="s">
        <v>2711</v>
      </c>
      <c r="S460">
        <v>28104.5</v>
      </c>
      <c r="T460">
        <v>-18345.5</v>
      </c>
      <c r="U460" cm="1">
        <f t="array" ref="U460">IFERROR(_xlfn.IFS(tblPedidos[[#This Row],[estado_operativo]]="ENTREGADO",tblPedidos[[#This Row],[ganancia_calc]],tblPedidos[[#This Row],[estado_operativo]]="DEVOLUCION",tblPedidos[[#This Row],[costo_devolucion_estimado]]),0)</f>
        <v>0</v>
      </c>
      <c r="V460">
        <v>0</v>
      </c>
      <c r="W460">
        <v>69900</v>
      </c>
      <c r="X460">
        <v>18345.5</v>
      </c>
      <c r="Y460">
        <v>23450</v>
      </c>
      <c r="Z460" s="11">
        <v>46043</v>
      </c>
      <c r="AA460">
        <v>1</v>
      </c>
      <c r="AB460" s="12">
        <v>0.42708333333333331</v>
      </c>
      <c r="AC460" t="s">
        <v>982</v>
      </c>
      <c r="AD460" t="s">
        <v>982</v>
      </c>
      <c r="AE460" t="s">
        <v>1371</v>
      </c>
    </row>
    <row r="461" spans="1:31">
      <c r="A461" t="s">
        <v>33</v>
      </c>
      <c r="C461">
        <v>589</v>
      </c>
      <c r="D461" t="s">
        <v>2729</v>
      </c>
      <c r="E461" s="11">
        <v>46037</v>
      </c>
      <c r="F461" t="s">
        <v>2730</v>
      </c>
      <c r="G461" t="s">
        <v>36</v>
      </c>
      <c r="J461" t="s">
        <v>720</v>
      </c>
      <c r="K461" t="s">
        <v>2731</v>
      </c>
      <c r="L461" t="s">
        <v>38</v>
      </c>
      <c r="M461" t="s">
        <v>39</v>
      </c>
      <c r="N461" t="s">
        <v>2732</v>
      </c>
      <c r="O461" t="s">
        <v>2733</v>
      </c>
      <c r="P461" s="46" t="str" cm="1">
        <f t="array" aca="1" ref="P461" ca="1">IFERROR(_xlfn.XLOOKUP(tblPedidos[[#This Row],[id_dropi]],tblNotas[[#This Row],[id__dropi]],tblNotas[[#This Row],[Notas Manuales]], “”, 0),"")</f>
        <v/>
      </c>
      <c r="R461" t="s">
        <v>2711</v>
      </c>
      <c r="S461">
        <v>30786.5</v>
      </c>
      <c r="T461">
        <v>-12530.800000000001</v>
      </c>
      <c r="U461" cm="1">
        <f t="array" ref="U461">IFERROR(_xlfn.IFS(tblPedidos[[#This Row],[estado_operativo]]="ENTREGADO",tblPedidos[[#This Row],[ganancia_calc]],tblPedidos[[#This Row],[estado_operativo]]="DEVOLUCION",tblPedidos[[#This Row],[costo_devolucion_estimado]]),0)</f>
        <v>30786.5</v>
      </c>
      <c r="V461">
        <v>0</v>
      </c>
      <c r="W461">
        <v>69900</v>
      </c>
      <c r="X461">
        <v>15663.5</v>
      </c>
      <c r="Y461">
        <v>23450</v>
      </c>
      <c r="Z461" s="11">
        <v>46038</v>
      </c>
      <c r="AA461">
        <v>6</v>
      </c>
      <c r="AB461" s="12">
        <v>0.87291666666666667</v>
      </c>
      <c r="AC461" t="s">
        <v>399</v>
      </c>
      <c r="AD461" t="s">
        <v>720</v>
      </c>
      <c r="AE461" t="s">
        <v>720</v>
      </c>
    </row>
    <row r="462" spans="1:31">
      <c r="A462" t="s">
        <v>33</v>
      </c>
      <c r="C462">
        <v>584</v>
      </c>
      <c r="D462" t="s">
        <v>2734</v>
      </c>
      <c r="E462" s="11">
        <v>46037</v>
      </c>
      <c r="F462" t="s">
        <v>2735</v>
      </c>
      <c r="G462" t="s">
        <v>36</v>
      </c>
      <c r="J462" t="s">
        <v>750</v>
      </c>
      <c r="K462" t="s">
        <v>2736</v>
      </c>
      <c r="L462" t="s">
        <v>662</v>
      </c>
      <c r="M462" t="s">
        <v>1989</v>
      </c>
      <c r="N462" t="s">
        <v>2737</v>
      </c>
      <c r="O462" t="s">
        <v>2738</v>
      </c>
      <c r="P462" s="46" t="str" cm="1">
        <f t="array" aca="1" ref="P462" ca="1">IFERROR(_xlfn.XLOOKUP(tblPedidos[[#This Row],[id_dropi]],tblNotas[[#This Row],[id__dropi]],tblNotas[[#This Row],[Notas Manuales]], “”, 0),"")</f>
        <v/>
      </c>
      <c r="R462" t="s">
        <v>2711</v>
      </c>
      <c r="S462">
        <v>30786.5</v>
      </c>
      <c r="T462">
        <v>-12530.800000000001</v>
      </c>
      <c r="U462" cm="1">
        <f t="array" ref="U462">IFERROR(_xlfn.IFS(tblPedidos[[#This Row],[estado_operativo]]="ENTREGADO",tblPedidos[[#This Row],[ganancia_calc]],tblPedidos[[#This Row],[estado_operativo]]="DEVOLUCION",tblPedidos[[#This Row],[costo_devolucion_estimado]]),0)</f>
        <v>0</v>
      </c>
      <c r="V462">
        <v>0</v>
      </c>
      <c r="W462">
        <v>69900</v>
      </c>
      <c r="X462">
        <v>15663.5</v>
      </c>
      <c r="Y462">
        <v>23450</v>
      </c>
      <c r="Z462" s="11">
        <v>46038</v>
      </c>
      <c r="AA462">
        <v>6</v>
      </c>
      <c r="AB462" s="12">
        <v>0.87291666666666667</v>
      </c>
      <c r="AC462" t="s">
        <v>399</v>
      </c>
      <c r="AD462" t="s">
        <v>1027</v>
      </c>
      <c r="AE462" t="s">
        <v>750</v>
      </c>
    </row>
    <row r="463" spans="1:31">
      <c r="A463" t="s">
        <v>1343</v>
      </c>
      <c r="C463">
        <v>585</v>
      </c>
      <c r="D463" t="s">
        <v>2739</v>
      </c>
      <c r="E463" s="11">
        <v>46037</v>
      </c>
      <c r="F463" t="s">
        <v>2740</v>
      </c>
      <c r="G463" t="s">
        <v>45</v>
      </c>
      <c r="J463" t="s">
        <v>720</v>
      </c>
      <c r="K463" t="s">
        <v>2741</v>
      </c>
      <c r="L463" t="s">
        <v>46</v>
      </c>
      <c r="M463" t="s">
        <v>100</v>
      </c>
      <c r="N463" t="s">
        <v>2742</v>
      </c>
      <c r="O463" t="s">
        <v>2743</v>
      </c>
      <c r="P463" s="46" t="str" cm="1">
        <f t="array" aca="1" ref="P463" ca="1">IFERROR(_xlfn.XLOOKUP(tblPedidos[[#This Row],[id_dropi]],tblNotas[[#This Row],[id__dropi]],tblNotas[[#This Row],[Notas Manuales]], “”, 0),"")</f>
        <v/>
      </c>
      <c r="R463" t="s">
        <v>2705</v>
      </c>
      <c r="S463">
        <v>17279.5</v>
      </c>
      <c r="T463">
        <v>-17670.5</v>
      </c>
      <c r="U463" cm="1">
        <f t="array" ref="U463">IFERROR(_xlfn.IFS(tblPedidos[[#This Row],[estado_operativo]]="ENTREGADO",tblPedidos[[#This Row],[ganancia_calc]],tblPedidos[[#This Row],[estado_operativo]]="DEVOLUCION",tblPedidos[[#This Row],[costo_devolucion_estimado]]),0)</f>
        <v>17279.5</v>
      </c>
      <c r="V463">
        <v>51838.5</v>
      </c>
      <c r="W463">
        <v>54900</v>
      </c>
      <c r="X463">
        <v>17670.5</v>
      </c>
      <c r="Y463">
        <v>19950</v>
      </c>
      <c r="Z463" s="11">
        <v>46041</v>
      </c>
      <c r="AA463">
        <v>3</v>
      </c>
      <c r="AB463" s="12">
        <v>0.44791666666666669</v>
      </c>
      <c r="AC463" t="s">
        <v>720</v>
      </c>
      <c r="AD463" t="s">
        <v>720</v>
      </c>
      <c r="AE463" t="s">
        <v>720</v>
      </c>
    </row>
    <row r="464" spans="1:31">
      <c r="A464" t="s">
        <v>1343</v>
      </c>
      <c r="C464">
        <v>586</v>
      </c>
      <c r="D464" t="s">
        <v>2744</v>
      </c>
      <c r="E464" s="11">
        <v>46037</v>
      </c>
      <c r="F464" t="s">
        <v>2745</v>
      </c>
      <c r="G464" t="s">
        <v>36</v>
      </c>
      <c r="J464" t="s">
        <v>720</v>
      </c>
      <c r="K464" t="s">
        <v>2746</v>
      </c>
      <c r="L464" t="s">
        <v>662</v>
      </c>
      <c r="M464" t="s">
        <v>2747</v>
      </c>
      <c r="N464" t="s">
        <v>2748</v>
      </c>
      <c r="O464" t="s">
        <v>2749</v>
      </c>
      <c r="P464" s="46" t="str" cm="1">
        <f t="array" aca="1" ref="P464" ca="1">IFERROR(_xlfn.XLOOKUP(tblPedidos[[#This Row],[id_dropi]],tblNotas[[#This Row],[id__dropi]],tblNotas[[#This Row],[Notas Manuales]], “”, 0),"")</f>
        <v/>
      </c>
      <c r="R464" t="s">
        <v>2711</v>
      </c>
      <c r="S464">
        <v>30786.5</v>
      </c>
      <c r="T464">
        <v>-12530.800000000001</v>
      </c>
      <c r="U464" cm="1">
        <f t="array" ref="U464">IFERROR(_xlfn.IFS(tblPedidos[[#This Row],[estado_operativo]]="ENTREGADO",tblPedidos[[#This Row],[ganancia_calc]],tblPedidos[[#This Row],[estado_operativo]]="DEVOLUCION",tblPedidos[[#This Row],[costo_devolucion_estimado]]),0)</f>
        <v>30786.5</v>
      </c>
      <c r="V464">
        <v>30786.5</v>
      </c>
      <c r="W464">
        <v>69900</v>
      </c>
      <c r="X464">
        <v>15663.5</v>
      </c>
      <c r="Y464">
        <v>23450</v>
      </c>
      <c r="Z464" s="11">
        <v>46038</v>
      </c>
      <c r="AA464">
        <v>6</v>
      </c>
      <c r="AB464" s="12">
        <v>0.87291666666666667</v>
      </c>
      <c r="AC464" t="s">
        <v>399</v>
      </c>
      <c r="AD464" t="s">
        <v>720</v>
      </c>
      <c r="AE464" t="s">
        <v>720</v>
      </c>
    </row>
    <row r="465" spans="1:31">
      <c r="A465" t="s">
        <v>1343</v>
      </c>
      <c r="C465">
        <v>617</v>
      </c>
      <c r="D465" t="s">
        <v>2750</v>
      </c>
      <c r="E465" s="11">
        <v>46037</v>
      </c>
      <c r="F465" t="s">
        <v>2751</v>
      </c>
      <c r="G465" t="s">
        <v>36</v>
      </c>
      <c r="J465" t="s">
        <v>720</v>
      </c>
      <c r="K465" t="s">
        <v>2752</v>
      </c>
      <c r="L465" t="s">
        <v>81</v>
      </c>
      <c r="M465" t="s">
        <v>118</v>
      </c>
      <c r="N465" t="s">
        <v>2753</v>
      </c>
      <c r="O465" t="s">
        <v>2754</v>
      </c>
      <c r="P465" s="46" t="str" cm="1">
        <f t="array" aca="1" ref="P465" ca="1">IFERROR(_xlfn.XLOOKUP(tblPedidos[[#This Row],[id_dropi]],tblNotas[[#This Row],[id__dropi]],tblNotas[[#This Row],[Notas Manuales]], “”, 0),"")</f>
        <v/>
      </c>
      <c r="R465" t="s">
        <v>2711</v>
      </c>
      <c r="S465">
        <v>32946.5</v>
      </c>
      <c r="T465">
        <v>-10802.800000000001</v>
      </c>
      <c r="U465" cm="1">
        <f t="array" ref="U465">IFERROR(_xlfn.IFS(tblPedidos[[#This Row],[estado_operativo]]="ENTREGADO",tblPedidos[[#This Row],[ganancia_calc]],tblPedidos[[#This Row],[estado_operativo]]="DEVOLUCION",tblPedidos[[#This Row],[costo_devolucion_estimado]]),0)</f>
        <v>32946.5</v>
      </c>
      <c r="V465">
        <v>98839.5</v>
      </c>
      <c r="W465">
        <v>69900</v>
      </c>
      <c r="X465">
        <v>13503.5</v>
      </c>
      <c r="Y465">
        <v>23450</v>
      </c>
      <c r="Z465" s="11">
        <v>46038</v>
      </c>
      <c r="AA465">
        <v>6</v>
      </c>
      <c r="AB465" s="12">
        <v>0.87291666666666667</v>
      </c>
      <c r="AC465" t="s">
        <v>399</v>
      </c>
      <c r="AD465" t="s">
        <v>720</v>
      </c>
      <c r="AE465" t="s">
        <v>720</v>
      </c>
    </row>
    <row r="466" spans="1:31">
      <c r="A466" t="s">
        <v>33</v>
      </c>
      <c r="C466">
        <v>618</v>
      </c>
      <c r="D466" t="s">
        <v>2755</v>
      </c>
      <c r="E466" s="11">
        <v>46037</v>
      </c>
      <c r="F466" t="s">
        <v>2756</v>
      </c>
      <c r="G466" t="s">
        <v>36</v>
      </c>
      <c r="J466" t="s">
        <v>939</v>
      </c>
      <c r="K466" t="s">
        <v>2757</v>
      </c>
      <c r="L466" t="s">
        <v>54</v>
      </c>
      <c r="M466" t="s">
        <v>844</v>
      </c>
      <c r="N466" t="s">
        <v>2758</v>
      </c>
      <c r="O466" t="s">
        <v>2759</v>
      </c>
      <c r="P466" s="46" t="str" cm="1">
        <f t="array" aca="1" ref="P466" ca="1">IFERROR(_xlfn.XLOOKUP(tblPedidos[[#This Row],[id_dropi]],tblNotas[[#This Row],[id__dropi]],tblNotas[[#This Row],[Notas Manuales]], “”, 0),"")</f>
        <v/>
      </c>
      <c r="R466" t="s">
        <v>2760</v>
      </c>
      <c r="S466">
        <v>33096.5</v>
      </c>
      <c r="T466">
        <v>-11882.800000000001</v>
      </c>
      <c r="U466" cm="1">
        <f t="array" ref="U466">IFERROR(_xlfn.IFS(tblPedidos[[#This Row],[estado_operativo]]="ENTREGADO",tblPedidos[[#This Row],[ganancia_calc]],tblPedidos[[#This Row],[estado_operativo]]="DEVOLUCION",tblPedidos[[#This Row],[costo_devolucion_estimado]]),0)</f>
        <v>0</v>
      </c>
      <c r="V466">
        <v>0</v>
      </c>
      <c r="W466">
        <v>99900</v>
      </c>
      <c r="X466">
        <v>14853.5</v>
      </c>
      <c r="Y466">
        <v>51950</v>
      </c>
      <c r="Z466" s="11">
        <v>46038</v>
      </c>
      <c r="AA466">
        <v>6</v>
      </c>
      <c r="AB466" s="12">
        <v>0.87291666666666667</v>
      </c>
      <c r="AC466" t="s">
        <v>399</v>
      </c>
      <c r="AD466" t="s">
        <v>939</v>
      </c>
      <c r="AE466" t="s">
        <v>939</v>
      </c>
    </row>
    <row r="467" spans="1:31">
      <c r="A467" t="s">
        <v>1343</v>
      </c>
      <c r="C467">
        <v>619</v>
      </c>
      <c r="D467" t="s">
        <v>2761</v>
      </c>
      <c r="E467" s="11">
        <v>46037</v>
      </c>
      <c r="F467" t="s">
        <v>2762</v>
      </c>
      <c r="G467" t="s">
        <v>45</v>
      </c>
      <c r="J467" t="s">
        <v>720</v>
      </c>
      <c r="K467" t="s">
        <v>2763</v>
      </c>
      <c r="L467" t="s">
        <v>328</v>
      </c>
      <c r="M467" t="s">
        <v>1902</v>
      </c>
      <c r="N467" t="s">
        <v>2764</v>
      </c>
      <c r="O467" t="s">
        <v>2765</v>
      </c>
      <c r="P467" s="46" t="str" cm="1">
        <f t="array" aca="1" ref="P467" ca="1">IFERROR(_xlfn.XLOOKUP(tblPedidos[[#This Row],[id_dropi]],tblNotas[[#This Row],[id__dropi]],tblNotas[[#This Row],[Notas Manuales]], “”, 0),"")</f>
        <v/>
      </c>
      <c r="Q467" t="s">
        <v>50</v>
      </c>
      <c r="R467" t="s">
        <v>2711</v>
      </c>
      <c r="S467">
        <v>28104.5</v>
      </c>
      <c r="T467">
        <v>-18345.5</v>
      </c>
      <c r="U467" cm="1">
        <f t="array" ref="U467">IFERROR(_xlfn.IFS(tblPedidos[[#This Row],[estado_operativo]]="ENTREGADO",tblPedidos[[#This Row],[ganancia_calc]],tblPedidos[[#This Row],[estado_operativo]]="DEVOLUCION",tblPedidos[[#This Row],[costo_devolucion_estimado]]),0)</f>
        <v>28104.5</v>
      </c>
      <c r="V467">
        <v>84313.5</v>
      </c>
      <c r="W467">
        <v>69900</v>
      </c>
      <c r="X467">
        <v>18345.5</v>
      </c>
      <c r="Y467">
        <v>23450</v>
      </c>
      <c r="Z467" s="11">
        <v>46041</v>
      </c>
      <c r="AA467">
        <v>3</v>
      </c>
      <c r="AB467" s="12">
        <v>0.48055555555555557</v>
      </c>
      <c r="AC467" t="s">
        <v>720</v>
      </c>
      <c r="AD467" t="s">
        <v>720</v>
      </c>
      <c r="AE467" t="s">
        <v>720</v>
      </c>
    </row>
    <row r="468" spans="1:31">
      <c r="A468" t="s">
        <v>33</v>
      </c>
      <c r="C468">
        <v>614</v>
      </c>
      <c r="D468" t="s">
        <v>2766</v>
      </c>
      <c r="E468" s="11">
        <v>46037</v>
      </c>
      <c r="F468" t="s">
        <v>2767</v>
      </c>
      <c r="G468" t="s">
        <v>36</v>
      </c>
      <c r="J468" t="s">
        <v>720</v>
      </c>
      <c r="K468" t="s">
        <v>2768</v>
      </c>
      <c r="L468" t="s">
        <v>590</v>
      </c>
      <c r="M468" t="s">
        <v>2769</v>
      </c>
      <c r="N468" t="s">
        <v>2770</v>
      </c>
      <c r="O468" t="s">
        <v>2771</v>
      </c>
      <c r="P468" s="46" t="str" cm="1">
        <f t="array" aca="1" ref="P468" ca="1">IFERROR(_xlfn.XLOOKUP(tblPedidos[[#This Row],[id_dropi]],tblNotas[[#This Row],[id__dropi]],tblNotas[[#This Row],[Notas Manuales]], “”, 0),"")</f>
        <v/>
      </c>
      <c r="R468" t="s">
        <v>2711</v>
      </c>
      <c r="S468">
        <v>26011.5</v>
      </c>
      <c r="T468">
        <v>-12350.800000000001</v>
      </c>
      <c r="U468" cm="1">
        <f t="array" ref="U468">IFERROR(_xlfn.IFS(tblPedidos[[#This Row],[estado_operativo]]="ENTREGADO",tblPedidos[[#This Row],[ganancia_calc]],tblPedidos[[#This Row],[estado_operativo]]="DEVOLUCION",tblPedidos[[#This Row],[costo_devolucion_estimado]]),0)</f>
        <v>26011.5</v>
      </c>
      <c r="V468">
        <v>0</v>
      </c>
      <c r="W468">
        <v>64900</v>
      </c>
      <c r="X468">
        <v>15438.5</v>
      </c>
      <c r="Y468">
        <v>23450</v>
      </c>
      <c r="Z468" s="11">
        <v>46038</v>
      </c>
      <c r="AA468">
        <v>6</v>
      </c>
      <c r="AB468" s="12">
        <v>0.87291666666666667</v>
      </c>
      <c r="AC468" t="s">
        <v>399</v>
      </c>
      <c r="AD468" t="s">
        <v>720</v>
      </c>
      <c r="AE468" t="s">
        <v>720</v>
      </c>
    </row>
    <row r="469" spans="1:31">
      <c r="A469" t="s">
        <v>1343</v>
      </c>
      <c r="C469">
        <v>615</v>
      </c>
      <c r="D469" t="s">
        <v>2772</v>
      </c>
      <c r="E469" s="11">
        <v>46037</v>
      </c>
      <c r="F469" t="s">
        <v>2773</v>
      </c>
      <c r="G469" t="s">
        <v>45</v>
      </c>
      <c r="J469" t="s">
        <v>720</v>
      </c>
      <c r="K469" t="s">
        <v>2774</v>
      </c>
      <c r="L469" t="s">
        <v>54</v>
      </c>
      <c r="M469" t="s">
        <v>2775</v>
      </c>
      <c r="N469" t="s">
        <v>2776</v>
      </c>
      <c r="O469" t="s">
        <v>2777</v>
      </c>
      <c r="P469" s="46" t="str" cm="1">
        <f t="array" aca="1" ref="P469" ca="1">IFERROR(_xlfn.XLOOKUP(tblPedidos[[#This Row],[id_dropi]],tblNotas[[#This Row],[id__dropi]],tblNotas[[#This Row],[Notas Manuales]], “”, 0),"")</f>
        <v/>
      </c>
      <c r="Q469" t="s">
        <v>50</v>
      </c>
      <c r="R469" t="s">
        <v>2711</v>
      </c>
      <c r="S469">
        <v>28104.5</v>
      </c>
      <c r="T469">
        <v>-18345.5</v>
      </c>
      <c r="U469" cm="1">
        <f t="array" ref="U469">IFERROR(_xlfn.IFS(tblPedidos[[#This Row],[estado_operativo]]="ENTREGADO",tblPedidos[[#This Row],[ganancia_calc]],tblPedidos[[#This Row],[estado_operativo]]="DEVOLUCION",tblPedidos[[#This Row],[costo_devolucion_estimado]]),0)</f>
        <v>28104.5</v>
      </c>
      <c r="V469">
        <v>84313.5</v>
      </c>
      <c r="W469">
        <v>69900</v>
      </c>
      <c r="X469">
        <v>18345.5</v>
      </c>
      <c r="Y469">
        <v>23450</v>
      </c>
      <c r="Z469" s="11">
        <v>46041</v>
      </c>
      <c r="AA469">
        <v>3</v>
      </c>
      <c r="AB469" s="12">
        <v>0.65625</v>
      </c>
      <c r="AC469" t="s">
        <v>720</v>
      </c>
      <c r="AD469" t="s">
        <v>720</v>
      </c>
      <c r="AE469" t="s">
        <v>720</v>
      </c>
    </row>
    <row r="470" spans="1:31">
      <c r="A470" t="s">
        <v>33</v>
      </c>
      <c r="C470">
        <v>616</v>
      </c>
      <c r="D470" t="s">
        <v>2778</v>
      </c>
      <c r="E470" s="11">
        <v>46037</v>
      </c>
      <c r="F470" t="s">
        <v>2779</v>
      </c>
      <c r="G470" t="s">
        <v>45</v>
      </c>
      <c r="J470" t="s">
        <v>1371</v>
      </c>
      <c r="K470" t="s">
        <v>2780</v>
      </c>
      <c r="L470" t="s">
        <v>427</v>
      </c>
      <c r="M470" t="s">
        <v>2781</v>
      </c>
      <c r="N470" t="s">
        <v>2782</v>
      </c>
      <c r="O470" t="s">
        <v>2783</v>
      </c>
      <c r="P470" s="46" t="str" cm="1">
        <f t="array" aca="1" ref="P470" ca="1">IFERROR(_xlfn.XLOOKUP(tblPedidos[[#This Row],[id_dropi]],tblNotas[[#This Row],[id__dropi]],tblNotas[[#This Row],[Notas Manuales]], “”, 0),"")</f>
        <v/>
      </c>
      <c r="Q470" t="s">
        <v>50</v>
      </c>
      <c r="R470" t="s">
        <v>2784</v>
      </c>
      <c r="S470">
        <v>42604.5</v>
      </c>
      <c r="T470">
        <v>-19695.5</v>
      </c>
      <c r="U470" cm="1">
        <f t="array" ref="U470">IFERROR(_xlfn.IFS(tblPedidos[[#This Row],[estado_operativo]]="ENTREGADO",tblPedidos[[#This Row],[ganancia_calc]],tblPedidos[[#This Row],[estado_operativo]]="DEVOLUCION",tblPedidos[[#This Row],[costo_devolucion_estimado]]),0)</f>
        <v>0</v>
      </c>
      <c r="V470">
        <v>0</v>
      </c>
      <c r="W470">
        <v>99900</v>
      </c>
      <c r="X470">
        <v>19695.5</v>
      </c>
      <c r="Y470">
        <v>37600</v>
      </c>
      <c r="Z470" s="11">
        <v>46043</v>
      </c>
      <c r="AA470">
        <v>1</v>
      </c>
      <c r="AB470" s="12">
        <v>0.43194444444444446</v>
      </c>
      <c r="AC470" t="s">
        <v>982</v>
      </c>
      <c r="AD470" t="s">
        <v>982</v>
      </c>
      <c r="AE470" t="s">
        <v>1371</v>
      </c>
    </row>
    <row r="471" spans="1:31">
      <c r="A471" t="s">
        <v>33</v>
      </c>
      <c r="C471">
        <v>623</v>
      </c>
      <c r="D471" t="s">
        <v>2785</v>
      </c>
      <c r="E471" s="11">
        <v>46037</v>
      </c>
      <c r="F471" t="s">
        <v>2786</v>
      </c>
      <c r="G471" t="s">
        <v>36</v>
      </c>
      <c r="J471" t="s">
        <v>939</v>
      </c>
      <c r="K471" t="s">
        <v>2787</v>
      </c>
      <c r="L471" t="s">
        <v>322</v>
      </c>
      <c r="M471" t="s">
        <v>2788</v>
      </c>
      <c r="N471" t="s">
        <v>2789</v>
      </c>
      <c r="O471" t="s">
        <v>2790</v>
      </c>
      <c r="P471" s="46" t="str" cm="1">
        <f t="array" aca="1" ref="P471" ca="1">IFERROR(_xlfn.XLOOKUP(tblPedidos[[#This Row],[id_dropi]],tblNotas[[#This Row],[id__dropi]],tblNotas[[#This Row],[Notas Manuales]], “”, 0),"")</f>
        <v/>
      </c>
      <c r="Q471" t="s">
        <v>2791</v>
      </c>
      <c r="R471" t="s">
        <v>2616</v>
      </c>
      <c r="S471">
        <v>23336.5</v>
      </c>
      <c r="T471">
        <v>-13250.800000000001</v>
      </c>
      <c r="U471" cm="1">
        <f t="array" ref="U471">IFERROR(_xlfn.IFS(tblPedidos[[#This Row],[estado_operativo]]="ENTREGADO",tblPedidos[[#This Row],[ganancia_calc]],tblPedidos[[#This Row],[estado_operativo]]="DEVOLUCION",tblPedidos[[#This Row],[costo_devolucion_estimado]]),0)</f>
        <v>0</v>
      </c>
      <c r="V471">
        <v>0</v>
      </c>
      <c r="W471">
        <v>89900</v>
      </c>
      <c r="X471">
        <v>16563.5</v>
      </c>
      <c r="Y471">
        <v>50000</v>
      </c>
      <c r="Z471" s="11">
        <v>46038</v>
      </c>
      <c r="AA471">
        <v>6</v>
      </c>
      <c r="AB471" s="12">
        <v>0.9145833333333333</v>
      </c>
      <c r="AC471" t="s">
        <v>399</v>
      </c>
      <c r="AD471" t="s">
        <v>939</v>
      </c>
      <c r="AE471" t="s">
        <v>939</v>
      </c>
    </row>
    <row r="472" spans="1:31">
      <c r="A472" t="s">
        <v>33</v>
      </c>
      <c r="C472">
        <v>624</v>
      </c>
      <c r="D472" t="s">
        <v>2792</v>
      </c>
      <c r="E472" s="11">
        <v>46037</v>
      </c>
      <c r="F472" t="s">
        <v>2793</v>
      </c>
      <c r="G472" t="s">
        <v>45</v>
      </c>
      <c r="J472" t="s">
        <v>1371</v>
      </c>
      <c r="K472" t="s">
        <v>2794</v>
      </c>
      <c r="L472" t="s">
        <v>1003</v>
      </c>
      <c r="M472" t="s">
        <v>159</v>
      </c>
      <c r="N472" t="s">
        <v>2795</v>
      </c>
      <c r="O472" t="s">
        <v>2796</v>
      </c>
      <c r="P472" s="46" t="str" cm="1">
        <f t="array" aca="1" ref="P472" ca="1">IFERROR(_xlfn.XLOOKUP(tblPedidos[[#This Row],[id_dropi]],tblNotas[[#This Row],[id__dropi]],tblNotas[[#This Row],[Notas Manuales]], “”, 0),"")</f>
        <v/>
      </c>
      <c r="R472" t="s">
        <v>2616</v>
      </c>
      <c r="S472">
        <v>20654.5</v>
      </c>
      <c r="T472">
        <v>-19245.5</v>
      </c>
      <c r="U472" cm="1">
        <f t="array" ref="U472">IFERROR(_xlfn.IFS(tblPedidos[[#This Row],[estado_operativo]]="ENTREGADO",tblPedidos[[#This Row],[ganancia_calc]],tblPedidos[[#This Row],[estado_operativo]]="DEVOLUCION",tblPedidos[[#This Row],[costo_devolucion_estimado]]),0)</f>
        <v>0</v>
      </c>
      <c r="V472">
        <v>0</v>
      </c>
      <c r="W472">
        <v>89900</v>
      </c>
      <c r="X472">
        <v>19245.5</v>
      </c>
      <c r="Y472">
        <v>50000</v>
      </c>
      <c r="Z472" s="11">
        <v>46043</v>
      </c>
      <c r="AA472">
        <v>1</v>
      </c>
      <c r="AB472" s="12">
        <v>0.43333333333333335</v>
      </c>
      <c r="AC472" t="s">
        <v>982</v>
      </c>
      <c r="AD472" t="s">
        <v>982</v>
      </c>
      <c r="AE472" t="s">
        <v>1371</v>
      </c>
    </row>
    <row r="473" spans="1:31">
      <c r="A473" t="s">
        <v>33</v>
      </c>
      <c r="C473">
        <v>625</v>
      </c>
      <c r="D473" t="s">
        <v>2797</v>
      </c>
      <c r="E473" s="11">
        <v>46037</v>
      </c>
      <c r="F473" t="s">
        <v>2798</v>
      </c>
      <c r="G473" t="s">
        <v>45</v>
      </c>
      <c r="J473" t="s">
        <v>750</v>
      </c>
      <c r="K473" t="s">
        <v>2799</v>
      </c>
      <c r="L473" t="s">
        <v>152</v>
      </c>
      <c r="M473" t="s">
        <v>2800</v>
      </c>
      <c r="N473" t="s">
        <v>2801</v>
      </c>
      <c r="O473" t="s">
        <v>2802</v>
      </c>
      <c r="P473" s="46" t="str" cm="1">
        <f t="array" aca="1" ref="P473" ca="1">IFERROR(_xlfn.XLOOKUP(tblPedidos[[#This Row],[id_dropi]],tblNotas[[#This Row],[id__dropi]],tblNotas[[#This Row],[Notas Manuales]], “”, 0),"")</f>
        <v/>
      </c>
      <c r="Q473" t="s">
        <v>2803</v>
      </c>
      <c r="R473" t="s">
        <v>2804</v>
      </c>
      <c r="S473">
        <v>17004.5</v>
      </c>
      <c r="T473">
        <v>-17895.5</v>
      </c>
      <c r="U473" cm="1">
        <f t="array" ref="U473">IFERROR(_xlfn.IFS(tblPedidos[[#This Row],[estado_operativo]]="ENTREGADO",tblPedidos[[#This Row],[ganancia_calc]],tblPedidos[[#This Row],[estado_operativo]]="DEVOLUCION",tblPedidos[[#This Row],[costo_devolucion_estimado]]),0)</f>
        <v>0</v>
      </c>
      <c r="V473">
        <v>0</v>
      </c>
      <c r="W473">
        <v>59900</v>
      </c>
      <c r="X473">
        <v>17895.5</v>
      </c>
      <c r="Y473">
        <v>25000</v>
      </c>
      <c r="Z473" s="11">
        <v>46043</v>
      </c>
      <c r="AA473">
        <v>1</v>
      </c>
      <c r="AB473" s="12">
        <v>0.43125000000000002</v>
      </c>
      <c r="AC473" t="s">
        <v>756</v>
      </c>
      <c r="AD473" t="s">
        <v>1027</v>
      </c>
      <c r="AE473" t="s">
        <v>750</v>
      </c>
    </row>
    <row r="474" spans="1:31">
      <c r="A474" t="s">
        <v>1343</v>
      </c>
      <c r="C474">
        <v>620</v>
      </c>
      <c r="D474" t="s">
        <v>2805</v>
      </c>
      <c r="E474" s="11">
        <v>46037</v>
      </c>
      <c r="F474" t="s">
        <v>2806</v>
      </c>
      <c r="G474" t="s">
        <v>45</v>
      </c>
      <c r="J474" t="s">
        <v>720</v>
      </c>
      <c r="K474" t="s">
        <v>2807</v>
      </c>
      <c r="L474" t="s">
        <v>136</v>
      </c>
      <c r="M474" t="s">
        <v>2808</v>
      </c>
      <c r="N474" t="s">
        <v>2809</v>
      </c>
      <c r="O474" t="s">
        <v>2810</v>
      </c>
      <c r="P474" s="46" t="str" cm="1">
        <f t="array" aca="1" ref="P474" ca="1">IFERROR(_xlfn.XLOOKUP(tblPedidos[[#This Row],[id_dropi]],tblNotas[[#This Row],[id__dropi]],tblNotas[[#This Row],[Notas Manuales]], “”, 0),"")</f>
        <v/>
      </c>
      <c r="Q474" t="s">
        <v>50</v>
      </c>
      <c r="R474" t="s">
        <v>2811</v>
      </c>
      <c r="S474">
        <v>41879.5</v>
      </c>
      <c r="T474">
        <v>-19020.5</v>
      </c>
      <c r="U474" cm="1">
        <f t="array" ref="U474">IFERROR(_xlfn.IFS(tblPedidos[[#This Row],[estado_operativo]]="ENTREGADO",tblPedidos[[#This Row],[ganancia_calc]],tblPedidos[[#This Row],[estado_operativo]]="DEVOLUCION",tblPedidos[[#This Row],[costo_devolucion_estimado]]),0)</f>
        <v>41879.5</v>
      </c>
      <c r="V474">
        <v>41879.5</v>
      </c>
      <c r="W474">
        <v>84900</v>
      </c>
      <c r="X474">
        <v>19020.5</v>
      </c>
      <c r="Y474">
        <v>24000</v>
      </c>
      <c r="Z474" s="11">
        <v>46042</v>
      </c>
      <c r="AA474">
        <v>2</v>
      </c>
      <c r="AB474" s="12">
        <v>0.67708333333333337</v>
      </c>
      <c r="AC474" t="s">
        <v>720</v>
      </c>
      <c r="AD474" t="s">
        <v>720</v>
      </c>
      <c r="AE474" t="s">
        <v>720</v>
      </c>
    </row>
    <row r="475" spans="1:31">
      <c r="A475" t="s">
        <v>1343</v>
      </c>
      <c r="C475">
        <v>621</v>
      </c>
      <c r="D475" t="s">
        <v>2812</v>
      </c>
      <c r="E475" s="11">
        <v>46037</v>
      </c>
      <c r="F475" t="s">
        <v>2813</v>
      </c>
      <c r="G475" t="s">
        <v>36</v>
      </c>
      <c r="J475" t="s">
        <v>720</v>
      </c>
      <c r="K475" t="s">
        <v>2814</v>
      </c>
      <c r="L475" t="s">
        <v>38</v>
      </c>
      <c r="M475" t="s">
        <v>39</v>
      </c>
      <c r="N475" t="s">
        <v>2815</v>
      </c>
      <c r="O475" t="s">
        <v>2816</v>
      </c>
      <c r="P475" s="46" t="str" cm="1">
        <f t="array" aca="1" ref="P475" ca="1">IFERROR(_xlfn.XLOOKUP(tblPedidos[[#This Row],[id_dropi]],tblNotas[[#This Row],[id__dropi]],tblNotas[[#This Row],[Notas Manuales]], “”, 0),"")</f>
        <v/>
      </c>
      <c r="Q475" t="s">
        <v>2817</v>
      </c>
      <c r="R475" t="s">
        <v>2616</v>
      </c>
      <c r="S475">
        <v>23336.5</v>
      </c>
      <c r="T475">
        <v>-13250.800000000001</v>
      </c>
      <c r="U475" cm="1">
        <f t="array" ref="U475">IFERROR(_xlfn.IFS(tblPedidos[[#This Row],[estado_operativo]]="ENTREGADO",tblPedidos[[#This Row],[ganancia_calc]],tblPedidos[[#This Row],[estado_operativo]]="DEVOLUCION",tblPedidos[[#This Row],[costo_devolucion_estimado]]),0)</f>
        <v>23336.5</v>
      </c>
      <c r="V475">
        <v>23336.5</v>
      </c>
      <c r="W475">
        <v>89900</v>
      </c>
      <c r="X475">
        <v>16563.5</v>
      </c>
      <c r="Y475">
        <v>50000</v>
      </c>
      <c r="Z475" s="11">
        <v>46038</v>
      </c>
      <c r="AA475">
        <v>6</v>
      </c>
      <c r="AB475" s="12">
        <v>0.9145833333333333</v>
      </c>
      <c r="AC475" t="s">
        <v>399</v>
      </c>
      <c r="AD475" t="s">
        <v>720</v>
      </c>
      <c r="AE475" t="s">
        <v>720</v>
      </c>
    </row>
    <row r="476" spans="1:31">
      <c r="A476" t="s">
        <v>33</v>
      </c>
      <c r="C476">
        <v>622</v>
      </c>
      <c r="D476" t="s">
        <v>2818</v>
      </c>
      <c r="E476" s="11">
        <v>46037</v>
      </c>
      <c r="F476" t="s">
        <v>2819</v>
      </c>
      <c r="G476" t="s">
        <v>36</v>
      </c>
      <c r="J476" t="s">
        <v>720</v>
      </c>
      <c r="K476" t="s">
        <v>2820</v>
      </c>
      <c r="L476" t="s">
        <v>38</v>
      </c>
      <c r="M476" t="s">
        <v>2821</v>
      </c>
      <c r="N476" t="s">
        <v>2822</v>
      </c>
      <c r="O476" t="s">
        <v>2823</v>
      </c>
      <c r="P476" s="46" t="str" cm="1">
        <f t="array" aca="1" ref="P476" ca="1">IFERROR(_xlfn.XLOOKUP(tblPedidos[[#This Row],[id_dropi]],tblNotas[[#This Row],[id__dropi]],tblNotas[[#This Row],[Notas Manuales]], “”, 0),"")</f>
        <v/>
      </c>
      <c r="R476" t="s">
        <v>2616</v>
      </c>
      <c r="S476">
        <v>23336.5</v>
      </c>
      <c r="T476">
        <v>-13250.800000000001</v>
      </c>
      <c r="U476" cm="1">
        <f t="array" ref="U476">IFERROR(_xlfn.IFS(tblPedidos[[#This Row],[estado_operativo]]="ENTREGADO",tblPedidos[[#This Row],[ganancia_calc]],tblPedidos[[#This Row],[estado_operativo]]="DEVOLUCION",tblPedidos[[#This Row],[costo_devolucion_estimado]]),0)</f>
        <v>23336.5</v>
      </c>
      <c r="V476">
        <v>0</v>
      </c>
      <c r="W476">
        <v>89900</v>
      </c>
      <c r="X476">
        <v>16563.5</v>
      </c>
      <c r="Y476">
        <v>50000</v>
      </c>
      <c r="Z476" s="11">
        <v>46038</v>
      </c>
      <c r="AA476">
        <v>6</v>
      </c>
      <c r="AB476" s="12">
        <v>0.91597222222222219</v>
      </c>
      <c r="AC476" t="s">
        <v>399</v>
      </c>
      <c r="AD476" t="s">
        <v>720</v>
      </c>
      <c r="AE476" t="s">
        <v>720</v>
      </c>
    </row>
    <row r="477" spans="1:31">
      <c r="A477" t="s">
        <v>1343</v>
      </c>
      <c r="C477">
        <v>605</v>
      </c>
      <c r="D477" t="s">
        <v>2824</v>
      </c>
      <c r="E477" s="11">
        <v>46037</v>
      </c>
      <c r="F477" t="s">
        <v>2825</v>
      </c>
      <c r="G477" t="s">
        <v>45</v>
      </c>
      <c r="J477" t="s">
        <v>1657</v>
      </c>
      <c r="K477" t="s">
        <v>2826</v>
      </c>
      <c r="L477" t="s">
        <v>328</v>
      </c>
      <c r="M477" t="s">
        <v>2827</v>
      </c>
      <c r="N477" t="s">
        <v>2828</v>
      </c>
      <c r="O477" t="s">
        <v>2829</v>
      </c>
      <c r="P477" s="46" t="str" cm="1">
        <f t="array" aca="1" ref="P477" ca="1">IFERROR(_xlfn.XLOOKUP(tblPedidos[[#This Row],[id_dropi]],tblNotas[[#This Row],[id__dropi]],tblNotas[[#This Row],[Notas Manuales]], “”, 0),"")</f>
        <v/>
      </c>
      <c r="Q477" t="s">
        <v>2830</v>
      </c>
      <c r="R477" t="s">
        <v>2623</v>
      </c>
      <c r="S477">
        <v>26779.5</v>
      </c>
      <c r="T477">
        <v>-18120.5</v>
      </c>
      <c r="U477" cm="1">
        <f t="array" ref="U477">IFERROR(_xlfn.IFS(tblPedidos[[#This Row],[estado_operativo]]="ENTREGADO",tblPedidos[[#This Row],[ganancia_calc]],tblPedidos[[#This Row],[estado_operativo]]="DEVOLUCION",tblPedidos[[#This Row],[costo_devolucion_estimado]]),0)</f>
        <v>-18120.5</v>
      </c>
      <c r="V477">
        <v>-18120.5</v>
      </c>
      <c r="W477">
        <v>64900</v>
      </c>
      <c r="X477">
        <v>18120.5</v>
      </c>
      <c r="Y477">
        <v>20000</v>
      </c>
      <c r="Z477" s="11">
        <v>46043</v>
      </c>
      <c r="AA477">
        <v>1</v>
      </c>
      <c r="AB477" s="12">
        <v>0.67152777777777772</v>
      </c>
      <c r="AC477" t="s">
        <v>2068</v>
      </c>
      <c r="AD477" t="s">
        <v>1657</v>
      </c>
      <c r="AE477" t="s">
        <v>1657</v>
      </c>
    </row>
    <row r="478" spans="1:31">
      <c r="A478" t="s">
        <v>33</v>
      </c>
      <c r="C478">
        <v>606</v>
      </c>
      <c r="D478" t="s">
        <v>2831</v>
      </c>
      <c r="E478" s="11">
        <v>46037</v>
      </c>
      <c r="F478" t="s">
        <v>2832</v>
      </c>
      <c r="G478" t="s">
        <v>45</v>
      </c>
      <c r="J478" t="s">
        <v>720</v>
      </c>
      <c r="K478" t="s">
        <v>2833</v>
      </c>
      <c r="L478" t="s">
        <v>1003</v>
      </c>
      <c r="M478" t="s">
        <v>2834</v>
      </c>
      <c r="N478" t="s">
        <v>2835</v>
      </c>
      <c r="O478" t="s">
        <v>2836</v>
      </c>
      <c r="P478" s="46" t="str" cm="1">
        <f t="array" aca="1" ref="P478" ca="1">IFERROR(_xlfn.XLOOKUP(tblPedidos[[#This Row],[id_dropi]],tblNotas[[#This Row],[id__dropi]],tblNotas[[#This Row],[Notas Manuales]], “”, 0),"")</f>
        <v/>
      </c>
      <c r="R478" t="s">
        <v>2616</v>
      </c>
      <c r="S478">
        <v>15879.5</v>
      </c>
      <c r="T478">
        <v>-19020.5</v>
      </c>
      <c r="U478" cm="1">
        <f t="array" ref="U478">IFERROR(_xlfn.IFS(tblPedidos[[#This Row],[estado_operativo]]="ENTREGADO",tblPedidos[[#This Row],[ganancia_calc]],tblPedidos[[#This Row],[estado_operativo]]="DEVOLUCION",tblPedidos[[#This Row],[costo_devolucion_estimado]]),0)</f>
        <v>15879.5</v>
      </c>
      <c r="V478">
        <v>0</v>
      </c>
      <c r="W478">
        <v>84900</v>
      </c>
      <c r="X478">
        <v>19020.5</v>
      </c>
      <c r="Y478">
        <v>50000</v>
      </c>
      <c r="Z478" s="11">
        <v>46043</v>
      </c>
      <c r="AA478">
        <v>1</v>
      </c>
      <c r="AB478" s="12">
        <v>0.43333333333333335</v>
      </c>
      <c r="AC478" t="s">
        <v>982</v>
      </c>
      <c r="AD478" t="s">
        <v>720</v>
      </c>
      <c r="AE478" t="s">
        <v>720</v>
      </c>
    </row>
    <row r="479" spans="1:31">
      <c r="A479" t="s">
        <v>33</v>
      </c>
      <c r="C479">
        <v>607</v>
      </c>
      <c r="D479" t="s">
        <v>2837</v>
      </c>
      <c r="E479" s="11">
        <v>46037</v>
      </c>
      <c r="F479" t="s">
        <v>2838</v>
      </c>
      <c r="G479" t="s">
        <v>45</v>
      </c>
      <c r="J479" t="s">
        <v>1371</v>
      </c>
      <c r="K479" t="s">
        <v>2839</v>
      </c>
      <c r="L479" t="s">
        <v>590</v>
      </c>
      <c r="M479" t="s">
        <v>2769</v>
      </c>
      <c r="N479" t="s">
        <v>2835</v>
      </c>
      <c r="O479" t="s">
        <v>2840</v>
      </c>
      <c r="P479" s="46" t="str" cm="1">
        <f t="array" aca="1" ref="P479" ca="1">IFERROR(_xlfn.XLOOKUP(tblPedidos[[#This Row],[id_dropi]],tblNotas[[#This Row],[id__dropi]],tblNotas[[#This Row],[Notas Manuales]], “”, 0),"")</f>
        <v/>
      </c>
      <c r="R479" t="s">
        <v>2616</v>
      </c>
      <c r="S479">
        <v>20654.5</v>
      </c>
      <c r="T479">
        <v>-19245.5</v>
      </c>
      <c r="U479" cm="1">
        <f t="array" ref="U479">IFERROR(_xlfn.IFS(tblPedidos[[#This Row],[estado_operativo]]="ENTREGADO",tblPedidos[[#This Row],[ganancia_calc]],tblPedidos[[#This Row],[estado_operativo]]="DEVOLUCION",tblPedidos[[#This Row],[costo_devolucion_estimado]]),0)</f>
        <v>0</v>
      </c>
      <c r="V479">
        <v>0</v>
      </c>
      <c r="W479">
        <v>89900</v>
      </c>
      <c r="X479">
        <v>19245.5</v>
      </c>
      <c r="Y479">
        <v>50000</v>
      </c>
      <c r="Z479" s="11">
        <v>46043</v>
      </c>
      <c r="AA479">
        <v>1</v>
      </c>
      <c r="AB479" s="12">
        <v>0.43125000000000002</v>
      </c>
      <c r="AC479" t="s">
        <v>982</v>
      </c>
      <c r="AD479" t="s">
        <v>982</v>
      </c>
      <c r="AE479" t="s">
        <v>1371</v>
      </c>
    </row>
    <row r="480" spans="1:31">
      <c r="A480" t="s">
        <v>1343</v>
      </c>
      <c r="C480">
        <v>602</v>
      </c>
      <c r="D480" t="s">
        <v>2841</v>
      </c>
      <c r="E480" s="11">
        <v>46037</v>
      </c>
      <c r="F480" t="s">
        <v>2842</v>
      </c>
      <c r="G480" t="s">
        <v>45</v>
      </c>
      <c r="J480" t="s">
        <v>1657</v>
      </c>
      <c r="K480" t="s">
        <v>2843</v>
      </c>
      <c r="L480" t="s">
        <v>125</v>
      </c>
      <c r="M480" t="s">
        <v>306</v>
      </c>
      <c r="N480" t="s">
        <v>2844</v>
      </c>
      <c r="O480" t="s">
        <v>2845</v>
      </c>
      <c r="P480" s="46" t="str" cm="1">
        <f t="array" aca="1" ref="P480" ca="1">IFERROR(_xlfn.XLOOKUP(tblPedidos[[#This Row],[id_dropi]],tblNotas[[#This Row],[id__dropi]],tblNotas[[#This Row],[Notas Manuales]], “”, 0),"")</f>
        <v/>
      </c>
      <c r="R480" t="s">
        <v>2616</v>
      </c>
      <c r="S480">
        <v>20654.5</v>
      </c>
      <c r="T480">
        <v>-19245.5</v>
      </c>
      <c r="U480" cm="1">
        <f t="array" ref="U480">IFERROR(_xlfn.IFS(tblPedidos[[#This Row],[estado_operativo]]="ENTREGADO",tblPedidos[[#This Row],[ganancia_calc]],tblPedidos[[#This Row],[estado_operativo]]="DEVOLUCION",tblPedidos[[#This Row],[costo_devolucion_estimado]]),0)</f>
        <v>-19245.5</v>
      </c>
      <c r="V480">
        <v>-57736.5</v>
      </c>
      <c r="W480">
        <v>89900</v>
      </c>
      <c r="X480">
        <v>19245.5</v>
      </c>
      <c r="Y480">
        <v>50000</v>
      </c>
      <c r="Z480" s="11">
        <v>46041</v>
      </c>
      <c r="AA480">
        <v>3</v>
      </c>
      <c r="AB480" s="12">
        <v>0.62430555555555556</v>
      </c>
      <c r="AC480" t="s">
        <v>1657</v>
      </c>
      <c r="AD480" t="s">
        <v>1657</v>
      </c>
      <c r="AE480" t="s">
        <v>1657</v>
      </c>
    </row>
    <row r="481" spans="1:31">
      <c r="A481" t="s">
        <v>33</v>
      </c>
      <c r="C481">
        <v>603</v>
      </c>
      <c r="D481" t="s">
        <v>2846</v>
      </c>
      <c r="E481" s="11">
        <v>46037</v>
      </c>
      <c r="F481" t="s">
        <v>2847</v>
      </c>
      <c r="G481" t="s">
        <v>45</v>
      </c>
      <c r="J481" t="s">
        <v>1090</v>
      </c>
      <c r="L481" t="s">
        <v>136</v>
      </c>
      <c r="M481" t="s">
        <v>2808</v>
      </c>
      <c r="N481" t="s">
        <v>2848</v>
      </c>
      <c r="O481" t="s">
        <v>2810</v>
      </c>
      <c r="P481" s="46" t="str" cm="1">
        <f t="array" aca="1" ref="P481" ca="1">IFERROR(_xlfn.XLOOKUP(tblPedidos[[#This Row],[id_dropi]],tblNotas[[#This Row],[id__dropi]],tblNotas[[#This Row],[Notas Manuales]], “”, 0),"")</f>
        <v/>
      </c>
      <c r="Q481" t="s">
        <v>2849</v>
      </c>
      <c r="R481" t="s">
        <v>2850</v>
      </c>
      <c r="S481">
        <v>21201</v>
      </c>
      <c r="T481">
        <v>-18699</v>
      </c>
      <c r="U481" cm="1">
        <f t="array" ref="U481">IFERROR(_xlfn.IFS(tblPedidos[[#This Row],[estado_operativo]]="ENTREGADO",tblPedidos[[#This Row],[ganancia_calc]],tblPedidos[[#This Row],[estado_operativo]]="DEVOLUCION",tblPedidos[[#This Row],[costo_devolucion_estimado]]),0)</f>
        <v>0</v>
      </c>
      <c r="V481">
        <v>0</v>
      </c>
      <c r="W481">
        <v>49900</v>
      </c>
      <c r="X481">
        <v>18699</v>
      </c>
      <c r="Y481">
        <v>10000</v>
      </c>
      <c r="Z481" s="11">
        <v>46037</v>
      </c>
      <c r="AA481">
        <v>7</v>
      </c>
      <c r="AB481" s="12">
        <v>0.7680555555555556</v>
      </c>
      <c r="AC481" t="s">
        <v>1090</v>
      </c>
      <c r="AD481" t="s">
        <v>1090</v>
      </c>
      <c r="AE481" t="s">
        <v>1090</v>
      </c>
    </row>
    <row r="482" spans="1:31">
      <c r="A482" t="s">
        <v>1343</v>
      </c>
      <c r="C482">
        <v>604</v>
      </c>
      <c r="D482" t="s">
        <v>2851</v>
      </c>
      <c r="E482" s="11">
        <v>46037</v>
      </c>
      <c r="F482" t="s">
        <v>2852</v>
      </c>
      <c r="G482" t="s">
        <v>45</v>
      </c>
      <c r="J482" t="s">
        <v>720</v>
      </c>
      <c r="K482" t="s">
        <v>2853</v>
      </c>
      <c r="L482" t="s">
        <v>1003</v>
      </c>
      <c r="M482" t="s">
        <v>1823</v>
      </c>
      <c r="N482" t="s">
        <v>2854</v>
      </c>
      <c r="O482" t="s">
        <v>2855</v>
      </c>
      <c r="P482" s="46" t="str" cm="1">
        <f t="array" aca="1" ref="P482" ca="1">IFERROR(_xlfn.XLOOKUP(tblPedidos[[#This Row],[id_dropi]],tblNotas[[#This Row],[id__dropi]],tblNotas[[#This Row],[Notas Manuales]], “”, 0),"")</f>
        <v/>
      </c>
      <c r="Q482" t="s">
        <v>2856</v>
      </c>
      <c r="R482" t="s">
        <v>2616</v>
      </c>
      <c r="S482">
        <v>25204.5</v>
      </c>
      <c r="T482">
        <v>-14695.5</v>
      </c>
      <c r="U482" cm="1">
        <f t="array" ref="U482">IFERROR(_xlfn.IFS(tblPedidos[[#This Row],[estado_operativo]]="ENTREGADO",tblPedidos[[#This Row],[ganancia_calc]],tblPedidos[[#This Row],[estado_operativo]]="DEVOLUCION",tblPedidos[[#This Row],[costo_devolucion_estimado]]),0)</f>
        <v>25204.5</v>
      </c>
      <c r="V482">
        <v>100818</v>
      </c>
      <c r="W482">
        <v>89900</v>
      </c>
      <c r="X482">
        <v>14695.5</v>
      </c>
      <c r="Y482">
        <v>50000</v>
      </c>
      <c r="Z482" s="11">
        <v>46040</v>
      </c>
      <c r="AA482">
        <v>4</v>
      </c>
      <c r="AB482" s="12">
        <v>4.7222222222222221E-2</v>
      </c>
      <c r="AC482" t="s">
        <v>720</v>
      </c>
      <c r="AD482" t="s">
        <v>720</v>
      </c>
      <c r="AE482" t="s">
        <v>720</v>
      </c>
    </row>
    <row r="483" spans="1:31">
      <c r="A483" t="s">
        <v>33</v>
      </c>
      <c r="C483">
        <v>611</v>
      </c>
      <c r="D483" t="s">
        <v>2857</v>
      </c>
      <c r="E483" s="11">
        <v>46037</v>
      </c>
      <c r="F483" t="s">
        <v>2858</v>
      </c>
      <c r="G483" t="s">
        <v>45</v>
      </c>
      <c r="J483" t="s">
        <v>1371</v>
      </c>
      <c r="K483" t="s">
        <v>2859</v>
      </c>
      <c r="L483" t="s">
        <v>152</v>
      </c>
      <c r="M483" t="s">
        <v>153</v>
      </c>
      <c r="N483" t="s">
        <v>2860</v>
      </c>
      <c r="O483" t="s">
        <v>2861</v>
      </c>
      <c r="P483" s="46" t="str" cm="1">
        <f t="array" aca="1" ref="P483" ca="1">IFERROR(_xlfn.XLOOKUP(tblPedidos[[#This Row],[id_dropi]],tblNotas[[#This Row],[id__dropi]],tblNotas[[#This Row],[Notas Manuales]], “”, 0),"")</f>
        <v/>
      </c>
      <c r="R483" t="s">
        <v>2616</v>
      </c>
      <c r="S483">
        <v>15879.5</v>
      </c>
      <c r="T483">
        <v>-19020.5</v>
      </c>
      <c r="U483" cm="1">
        <f t="array" ref="U483">IFERROR(_xlfn.IFS(tblPedidos[[#This Row],[estado_operativo]]="ENTREGADO",tblPedidos[[#This Row],[ganancia_calc]],tblPedidos[[#This Row],[estado_operativo]]="DEVOLUCION",tblPedidos[[#This Row],[costo_devolucion_estimado]]),0)</f>
        <v>0</v>
      </c>
      <c r="V483">
        <v>0</v>
      </c>
      <c r="W483">
        <v>84900</v>
      </c>
      <c r="X483">
        <v>19020.5</v>
      </c>
      <c r="Y483">
        <v>50000</v>
      </c>
      <c r="Z483" s="11">
        <v>46043</v>
      </c>
      <c r="AA483">
        <v>1</v>
      </c>
      <c r="AB483" s="12">
        <v>0.43125000000000002</v>
      </c>
      <c r="AC483" t="s">
        <v>982</v>
      </c>
      <c r="AD483" t="s">
        <v>982</v>
      </c>
      <c r="AE483" t="s">
        <v>1371</v>
      </c>
    </row>
    <row r="484" spans="1:31">
      <c r="A484" t="s">
        <v>33</v>
      </c>
      <c r="C484">
        <v>612</v>
      </c>
      <c r="D484" t="s">
        <v>2862</v>
      </c>
      <c r="E484" s="11">
        <v>46037</v>
      </c>
      <c r="F484" t="s">
        <v>2863</v>
      </c>
      <c r="G484" t="s">
        <v>36</v>
      </c>
      <c r="J484" t="s">
        <v>939</v>
      </c>
      <c r="K484" t="s">
        <v>2864</v>
      </c>
      <c r="L484" t="s">
        <v>54</v>
      </c>
      <c r="M484" t="s">
        <v>373</v>
      </c>
      <c r="N484" t="s">
        <v>2865</v>
      </c>
      <c r="O484" t="s">
        <v>2866</v>
      </c>
      <c r="P484" s="46" t="str" cm="1">
        <f t="array" aca="1" ref="P484" ca="1">IFERROR(_xlfn.XLOOKUP(tblPedidos[[#This Row],[id_dropi]],tblNotas[[#This Row],[id__dropi]],tblNotas[[#This Row],[Notas Manuales]], “”, 0),"")</f>
        <v/>
      </c>
      <c r="Q484" t="s">
        <v>2867</v>
      </c>
      <c r="R484" t="s">
        <v>2623</v>
      </c>
      <c r="S484">
        <v>29461.5</v>
      </c>
      <c r="T484">
        <v>-12350.800000000001</v>
      </c>
      <c r="U484" cm="1">
        <f t="array" ref="U484">IFERROR(_xlfn.IFS(tblPedidos[[#This Row],[estado_operativo]]="ENTREGADO",tblPedidos[[#This Row],[ganancia_calc]],tblPedidos[[#This Row],[estado_operativo]]="DEVOLUCION",tblPedidos[[#This Row],[costo_devolucion_estimado]]),0)</f>
        <v>0</v>
      </c>
      <c r="V484">
        <v>0</v>
      </c>
      <c r="W484">
        <v>64900</v>
      </c>
      <c r="X484">
        <v>15438.5</v>
      </c>
      <c r="Y484">
        <v>20000</v>
      </c>
      <c r="Z484" s="11">
        <v>46040</v>
      </c>
      <c r="AA484">
        <v>4</v>
      </c>
      <c r="AB484" s="12">
        <v>7.013888888888889E-2</v>
      </c>
      <c r="AC484" t="s">
        <v>788</v>
      </c>
      <c r="AD484" t="s">
        <v>939</v>
      </c>
      <c r="AE484" t="s">
        <v>939</v>
      </c>
    </row>
    <row r="485" spans="1:31">
      <c r="A485" t="s">
        <v>33</v>
      </c>
      <c r="C485">
        <v>613</v>
      </c>
      <c r="D485" t="s">
        <v>2868</v>
      </c>
      <c r="E485" s="11">
        <v>46037</v>
      </c>
      <c r="F485" t="s">
        <v>2869</v>
      </c>
      <c r="G485" t="s">
        <v>45</v>
      </c>
      <c r="J485" t="s">
        <v>720</v>
      </c>
      <c r="K485" t="s">
        <v>2870</v>
      </c>
      <c r="L485" t="s">
        <v>38</v>
      </c>
      <c r="M485" t="s">
        <v>2871</v>
      </c>
      <c r="N485" t="s">
        <v>2872</v>
      </c>
      <c r="O485" t="s">
        <v>2873</v>
      </c>
      <c r="P485" s="46" t="str" cm="1">
        <f t="array" aca="1" ref="P485" ca="1">IFERROR(_xlfn.XLOOKUP(tblPedidos[[#This Row],[id_dropi]],tblNotas[[#This Row],[id__dropi]],tblNotas[[#This Row],[Notas Manuales]], “”, 0),"")</f>
        <v/>
      </c>
      <c r="Q485" t="s">
        <v>2874</v>
      </c>
      <c r="R485" t="s">
        <v>2875</v>
      </c>
      <c r="S485">
        <v>22829.5</v>
      </c>
      <c r="T485">
        <v>-17670.5</v>
      </c>
      <c r="U485" cm="1">
        <f t="array" ref="U485">IFERROR(_xlfn.IFS(tblPedidos[[#This Row],[estado_operativo]]="ENTREGADO",tblPedidos[[#This Row],[ganancia_calc]],tblPedidos[[#This Row],[estado_operativo]]="DEVOLUCION",tblPedidos[[#This Row],[costo_devolucion_estimado]]),0)</f>
        <v>22829.5</v>
      </c>
      <c r="V485">
        <v>0</v>
      </c>
      <c r="W485">
        <v>54900</v>
      </c>
      <c r="X485">
        <v>17670.5</v>
      </c>
      <c r="Y485">
        <v>14400</v>
      </c>
      <c r="Z485" s="11">
        <v>46043</v>
      </c>
      <c r="AA485">
        <v>1</v>
      </c>
      <c r="AB485" s="12">
        <v>0.42986111111111114</v>
      </c>
      <c r="AC485" t="s">
        <v>982</v>
      </c>
      <c r="AD485" t="s">
        <v>720</v>
      </c>
      <c r="AE485" t="s">
        <v>720</v>
      </c>
    </row>
    <row r="486" spans="1:31">
      <c r="A486" t="s">
        <v>33</v>
      </c>
      <c r="C486">
        <v>608</v>
      </c>
      <c r="D486" t="s">
        <v>2876</v>
      </c>
      <c r="E486" s="11">
        <v>46037</v>
      </c>
      <c r="F486" t="s">
        <v>2877</v>
      </c>
      <c r="G486" t="s">
        <v>36</v>
      </c>
      <c r="J486" t="s">
        <v>939</v>
      </c>
      <c r="K486" t="s">
        <v>2878</v>
      </c>
      <c r="L486" t="s">
        <v>38</v>
      </c>
      <c r="M486" t="s">
        <v>39</v>
      </c>
      <c r="N486" t="s">
        <v>2879</v>
      </c>
      <c r="O486" t="s">
        <v>2880</v>
      </c>
      <c r="P486" s="46" t="str" cm="1">
        <f t="array" aca="1" ref="P486" ca="1">IFERROR(_xlfn.XLOOKUP(tblPedidos[[#This Row],[id_dropi]],tblNotas[[#This Row],[id__dropi]],tblNotas[[#This Row],[Notas Manuales]], “”, 0),"")</f>
        <v/>
      </c>
      <c r="Q486" t="s">
        <v>2881</v>
      </c>
      <c r="R486" t="s">
        <v>2875</v>
      </c>
      <c r="S486">
        <v>25511.5</v>
      </c>
      <c r="T486">
        <v>-11990.800000000001</v>
      </c>
      <c r="U486" cm="1">
        <f t="array" ref="U486">IFERROR(_xlfn.IFS(tblPedidos[[#This Row],[estado_operativo]]="ENTREGADO",tblPedidos[[#This Row],[ganancia_calc]],tblPedidos[[#This Row],[estado_operativo]]="DEVOLUCION",tblPedidos[[#This Row],[costo_devolucion_estimado]]),0)</f>
        <v>0</v>
      </c>
      <c r="V486">
        <v>0</v>
      </c>
      <c r="W486">
        <v>54900</v>
      </c>
      <c r="X486">
        <v>14988.5</v>
      </c>
      <c r="Y486">
        <v>14400</v>
      </c>
      <c r="Z486" s="11">
        <v>46038</v>
      </c>
      <c r="AA486">
        <v>6</v>
      </c>
      <c r="AB486" s="12">
        <v>0.69027777777777777</v>
      </c>
      <c r="AC486" t="s">
        <v>399</v>
      </c>
      <c r="AD486" t="s">
        <v>939</v>
      </c>
      <c r="AE486" t="s">
        <v>939</v>
      </c>
    </row>
    <row r="487" spans="1:31">
      <c r="A487" t="s">
        <v>33</v>
      </c>
      <c r="C487">
        <v>609</v>
      </c>
      <c r="D487" t="s">
        <v>2882</v>
      </c>
      <c r="E487" s="11">
        <v>46037</v>
      </c>
      <c r="F487" t="s">
        <v>2883</v>
      </c>
      <c r="G487" t="s">
        <v>45</v>
      </c>
      <c r="J487" t="s">
        <v>720</v>
      </c>
      <c r="K487" t="s">
        <v>2884</v>
      </c>
      <c r="L487" t="s">
        <v>54</v>
      </c>
      <c r="M487" t="s">
        <v>2885</v>
      </c>
      <c r="N487" t="s">
        <v>2886</v>
      </c>
      <c r="O487" t="s">
        <v>2887</v>
      </c>
      <c r="P487" s="46" t="str" cm="1">
        <f t="array" aca="1" ref="P487" ca="1">IFERROR(_xlfn.XLOOKUP(tblPedidos[[#This Row],[id_dropi]],tblNotas[[#This Row],[id__dropi]],tblNotas[[#This Row],[Notas Manuales]], “”, 0),"")</f>
        <v/>
      </c>
      <c r="Q487" t="s">
        <v>2888</v>
      </c>
      <c r="R487" t="s">
        <v>2875</v>
      </c>
      <c r="S487">
        <v>16801</v>
      </c>
      <c r="T487">
        <v>-18699</v>
      </c>
      <c r="U487" cm="1">
        <f t="array" ref="U487">IFERROR(_xlfn.IFS(tblPedidos[[#This Row],[estado_operativo]]="ENTREGADO",tblPedidos[[#This Row],[ganancia_calc]],tblPedidos[[#This Row],[estado_operativo]]="DEVOLUCION",tblPedidos[[#This Row],[costo_devolucion_estimado]]),0)</f>
        <v>16801</v>
      </c>
      <c r="V487">
        <v>0</v>
      </c>
      <c r="W487">
        <v>49900</v>
      </c>
      <c r="X487">
        <v>18699</v>
      </c>
      <c r="Y487">
        <v>14400</v>
      </c>
      <c r="Z487" s="11">
        <v>46043</v>
      </c>
      <c r="AA487">
        <v>1</v>
      </c>
      <c r="AB487" s="12">
        <v>0.43125000000000002</v>
      </c>
      <c r="AC487" t="s">
        <v>982</v>
      </c>
      <c r="AD487" t="s">
        <v>720</v>
      </c>
      <c r="AE487" t="s">
        <v>720</v>
      </c>
    </row>
    <row r="488" spans="1:31">
      <c r="A488" t="s">
        <v>33</v>
      </c>
      <c r="C488">
        <v>610</v>
      </c>
      <c r="D488" t="s">
        <v>2889</v>
      </c>
      <c r="E488" s="11">
        <v>46037</v>
      </c>
      <c r="F488" t="s">
        <v>2890</v>
      </c>
      <c r="G488" t="s">
        <v>36</v>
      </c>
      <c r="J488" t="s">
        <v>750</v>
      </c>
      <c r="K488" t="s">
        <v>2891</v>
      </c>
      <c r="L488" t="s">
        <v>81</v>
      </c>
      <c r="M488" t="s">
        <v>2892</v>
      </c>
      <c r="N488" t="s">
        <v>2893</v>
      </c>
      <c r="O488" t="s">
        <v>2894</v>
      </c>
      <c r="P488" s="46" t="str" cm="1">
        <f t="array" aca="1" ref="P488" ca="1">IFERROR(_xlfn.XLOOKUP(tblPedidos[[#This Row],[id_dropi]],tblNotas[[#This Row],[id__dropi]],tblNotas[[#This Row],[Notas Manuales]], “”, 0),"")</f>
        <v/>
      </c>
      <c r="Q488" t="s">
        <v>2895</v>
      </c>
      <c r="R488" t="s">
        <v>2875</v>
      </c>
      <c r="S488">
        <v>25511.5</v>
      </c>
      <c r="T488">
        <v>-11990.800000000001</v>
      </c>
      <c r="U488" cm="1">
        <f t="array" ref="U488">IFERROR(_xlfn.IFS(tblPedidos[[#This Row],[estado_operativo]]="ENTREGADO",tblPedidos[[#This Row],[ganancia_calc]],tblPedidos[[#This Row],[estado_operativo]]="DEVOLUCION",tblPedidos[[#This Row],[costo_devolucion_estimado]]),0)</f>
        <v>0</v>
      </c>
      <c r="V488">
        <v>0</v>
      </c>
      <c r="W488">
        <v>54900</v>
      </c>
      <c r="X488">
        <v>14988.5</v>
      </c>
      <c r="Y488">
        <v>14400</v>
      </c>
      <c r="Z488" s="11">
        <v>46039</v>
      </c>
      <c r="AA488">
        <v>5</v>
      </c>
      <c r="AB488" s="12">
        <v>0.53402777777777777</v>
      </c>
      <c r="AC488" t="s">
        <v>399</v>
      </c>
      <c r="AD488" t="s">
        <v>1027</v>
      </c>
      <c r="AE488" t="s">
        <v>750</v>
      </c>
    </row>
    <row r="489" spans="1:31">
      <c r="A489" t="s">
        <v>33</v>
      </c>
      <c r="C489">
        <v>549</v>
      </c>
      <c r="D489" t="s">
        <v>2896</v>
      </c>
      <c r="E489" s="11">
        <v>46036</v>
      </c>
      <c r="F489" t="s">
        <v>2897</v>
      </c>
      <c r="G489" t="s">
        <v>36</v>
      </c>
      <c r="J489" t="s">
        <v>720</v>
      </c>
      <c r="K489" t="s">
        <v>2898</v>
      </c>
      <c r="L489" t="s">
        <v>87</v>
      </c>
      <c r="M489" t="s">
        <v>743</v>
      </c>
      <c r="N489" t="s">
        <v>2899</v>
      </c>
      <c r="O489" t="s">
        <v>2900</v>
      </c>
      <c r="P489" s="46" t="str" cm="1">
        <f t="array" aca="1" ref="P489" ca="1">IFERROR(_xlfn.XLOOKUP(tblPedidos[[#This Row],[id_dropi]],tblNotas[[#This Row],[id__dropi]],tblNotas[[#This Row],[Notas Manuales]], “”, 0),"")</f>
        <v/>
      </c>
      <c r="R489" t="s">
        <v>2901</v>
      </c>
      <c r="S489">
        <v>18686.5</v>
      </c>
      <c r="T489">
        <v>-12170.800000000001</v>
      </c>
      <c r="U489" cm="1">
        <f t="array" ref="U489">IFERROR(_xlfn.IFS(tblPedidos[[#This Row],[estado_operativo]]="ENTREGADO",tblPedidos[[#This Row],[ganancia_calc]],tblPedidos[[#This Row],[estado_operativo]]="DEVOLUCION",tblPedidos[[#This Row],[costo_devolucion_estimado]]),0)</f>
        <v>18686.5</v>
      </c>
      <c r="V489">
        <v>0</v>
      </c>
      <c r="W489">
        <v>59900</v>
      </c>
      <c r="X489">
        <v>15213.5</v>
      </c>
      <c r="Y489">
        <v>26000</v>
      </c>
      <c r="Z489" s="11">
        <v>46038</v>
      </c>
      <c r="AA489">
        <v>6</v>
      </c>
      <c r="AB489" s="12">
        <v>0.57847222222222228</v>
      </c>
      <c r="AC489" t="s">
        <v>788</v>
      </c>
      <c r="AD489" t="s">
        <v>720</v>
      </c>
      <c r="AE489" t="s">
        <v>720</v>
      </c>
    </row>
    <row r="490" spans="1:31">
      <c r="A490" t="s">
        <v>1343</v>
      </c>
      <c r="C490">
        <v>550</v>
      </c>
      <c r="D490" t="s">
        <v>2902</v>
      </c>
      <c r="E490" s="11">
        <v>46036</v>
      </c>
      <c r="F490" t="s">
        <v>2903</v>
      </c>
      <c r="G490" t="s">
        <v>45</v>
      </c>
      <c r="J490" t="s">
        <v>720</v>
      </c>
      <c r="K490" t="s">
        <v>2904</v>
      </c>
      <c r="L490" t="s">
        <v>166</v>
      </c>
      <c r="M490" t="s">
        <v>468</v>
      </c>
      <c r="N490" t="s">
        <v>2905</v>
      </c>
      <c r="O490" t="s">
        <v>2906</v>
      </c>
      <c r="P490" s="46" t="str" cm="1">
        <f t="array" aca="1" ref="P490" ca="1">IFERROR(_xlfn.XLOOKUP(tblPedidos[[#This Row],[id_dropi]],tblNotas[[#This Row],[id__dropi]],tblNotas[[#This Row],[Notas Manuales]], “”, 0),"")</f>
        <v/>
      </c>
      <c r="Q490" t="s">
        <v>2907</v>
      </c>
      <c r="R490" t="s">
        <v>2908</v>
      </c>
      <c r="S490">
        <v>15879.5</v>
      </c>
      <c r="T490">
        <v>-19020.5</v>
      </c>
      <c r="U490" cm="1">
        <f t="array" ref="U490">IFERROR(_xlfn.IFS(tblPedidos[[#This Row],[estado_operativo]]="ENTREGADO",tblPedidos[[#This Row],[ganancia_calc]],tblPedidos[[#This Row],[estado_operativo]]="DEVOLUCION",tblPedidos[[#This Row],[costo_devolucion_estimado]]),0)</f>
        <v>15879.5</v>
      </c>
      <c r="V490">
        <v>47638.5</v>
      </c>
      <c r="W490">
        <v>84900</v>
      </c>
      <c r="X490">
        <v>19020.5</v>
      </c>
      <c r="Y490">
        <v>50000</v>
      </c>
      <c r="Z490" s="11">
        <v>46041</v>
      </c>
      <c r="AA490">
        <v>3</v>
      </c>
      <c r="AB490" s="12">
        <v>0.59583333333333333</v>
      </c>
      <c r="AC490" t="s">
        <v>720</v>
      </c>
      <c r="AD490" t="s">
        <v>720</v>
      </c>
      <c r="AE490" t="s">
        <v>720</v>
      </c>
    </row>
    <row r="491" spans="1:31">
      <c r="A491" t="s">
        <v>1343</v>
      </c>
      <c r="C491">
        <v>548</v>
      </c>
      <c r="D491" t="s">
        <v>2909</v>
      </c>
      <c r="E491" s="11">
        <v>46036</v>
      </c>
      <c r="F491" t="s">
        <v>2910</v>
      </c>
      <c r="G491" t="s">
        <v>45</v>
      </c>
      <c r="J491" t="s">
        <v>720</v>
      </c>
      <c r="K491" t="s">
        <v>2911</v>
      </c>
      <c r="L491" t="s">
        <v>152</v>
      </c>
      <c r="M491" t="s">
        <v>2156</v>
      </c>
      <c r="N491" t="s">
        <v>2912</v>
      </c>
      <c r="O491" t="s">
        <v>2913</v>
      </c>
      <c r="P491" s="46" t="str" cm="1">
        <f t="array" aca="1" ref="P491" ca="1">IFERROR(_xlfn.XLOOKUP(tblPedidos[[#This Row],[id_dropi]],tblNotas[[#This Row],[id__dropi]],tblNotas[[#This Row],[Notas Manuales]], “”, 0),"")</f>
        <v/>
      </c>
      <c r="Q491" t="s">
        <v>2914</v>
      </c>
      <c r="R491" t="s">
        <v>2915</v>
      </c>
      <c r="S491">
        <v>20954.5</v>
      </c>
      <c r="T491">
        <v>-18345.5</v>
      </c>
      <c r="U491" cm="1">
        <f t="array" ref="U491">IFERROR(_xlfn.IFS(tblPedidos[[#This Row],[estado_operativo]]="ENTREGADO",tblPedidos[[#This Row],[ganancia_calc]],tblPedidos[[#This Row],[estado_operativo]]="DEVOLUCION",tblPedidos[[#This Row],[costo_devolucion_estimado]]),0)</f>
        <v>20954.5</v>
      </c>
      <c r="V491">
        <v>20954.5</v>
      </c>
      <c r="W491">
        <v>69900</v>
      </c>
      <c r="X491">
        <v>18345.5</v>
      </c>
      <c r="Y491">
        <v>30600</v>
      </c>
      <c r="Z491" s="11">
        <v>46042</v>
      </c>
      <c r="AA491">
        <v>2</v>
      </c>
      <c r="AB491" s="12">
        <v>0.6743055555555556</v>
      </c>
      <c r="AC491" t="s">
        <v>720</v>
      </c>
      <c r="AD491" t="s">
        <v>720</v>
      </c>
      <c r="AE491" t="s">
        <v>720</v>
      </c>
    </row>
    <row r="492" spans="1:31">
      <c r="A492" t="s">
        <v>1343</v>
      </c>
      <c r="C492">
        <v>546</v>
      </c>
      <c r="D492" t="s">
        <v>2916</v>
      </c>
      <c r="E492" s="11">
        <v>46036</v>
      </c>
      <c r="F492" t="s">
        <v>2917</v>
      </c>
      <c r="G492" t="s">
        <v>45</v>
      </c>
      <c r="J492" t="s">
        <v>720</v>
      </c>
      <c r="K492" t="s">
        <v>2918</v>
      </c>
      <c r="L492" t="s">
        <v>54</v>
      </c>
      <c r="M492" t="s">
        <v>2919</v>
      </c>
      <c r="N492" t="s">
        <v>2920</v>
      </c>
      <c r="O492" t="s">
        <v>2921</v>
      </c>
      <c r="P492" s="46" t="str" cm="1">
        <f t="array" aca="1" ref="P492" ca="1">IFERROR(_xlfn.XLOOKUP(tblPedidos[[#This Row],[id_dropi]],tblNotas[[#This Row],[id__dropi]],tblNotas[[#This Row],[Notas Manuales]], “”, 0),"")</f>
        <v/>
      </c>
      <c r="R492" t="s">
        <v>2922</v>
      </c>
      <c r="S492">
        <v>17279.5</v>
      </c>
      <c r="T492">
        <v>-17670.5</v>
      </c>
      <c r="U492" cm="1">
        <f t="array" ref="U492">IFERROR(_xlfn.IFS(tblPedidos[[#This Row],[estado_operativo]]="ENTREGADO",tblPedidos[[#This Row],[ganancia_calc]],tblPedidos[[#This Row],[estado_operativo]]="DEVOLUCION",tblPedidos[[#This Row],[costo_devolucion_estimado]]),0)</f>
        <v>17279.5</v>
      </c>
      <c r="V492">
        <v>17279.5</v>
      </c>
      <c r="W492">
        <v>54900</v>
      </c>
      <c r="X492">
        <v>17670.5</v>
      </c>
      <c r="Y492">
        <v>19950</v>
      </c>
      <c r="Z492" s="11">
        <v>46042</v>
      </c>
      <c r="AA492">
        <v>2</v>
      </c>
      <c r="AB492" s="12">
        <v>5.4166666666666669E-2</v>
      </c>
      <c r="AC492" t="s">
        <v>720</v>
      </c>
      <c r="AD492" t="s">
        <v>720</v>
      </c>
      <c r="AE492" t="s">
        <v>720</v>
      </c>
    </row>
    <row r="493" spans="1:31">
      <c r="A493" t="s">
        <v>33</v>
      </c>
      <c r="C493">
        <v>547</v>
      </c>
      <c r="D493" t="s">
        <v>2923</v>
      </c>
      <c r="E493" s="11">
        <v>46036</v>
      </c>
      <c r="F493" t="s">
        <v>2924</v>
      </c>
      <c r="G493" t="s">
        <v>45</v>
      </c>
      <c r="J493" t="s">
        <v>720</v>
      </c>
      <c r="K493" t="s">
        <v>2925</v>
      </c>
      <c r="L493" t="s">
        <v>46</v>
      </c>
      <c r="M493" t="s">
        <v>2926</v>
      </c>
      <c r="N493" t="s">
        <v>2927</v>
      </c>
      <c r="O493" t="s">
        <v>2928</v>
      </c>
      <c r="P493" s="46" t="str" cm="1">
        <f t="array" aca="1" ref="P493" ca="1">IFERROR(_xlfn.XLOOKUP(tblPedidos[[#This Row],[id_dropi]],tblNotas[[#This Row],[id__dropi]],tblNotas[[#This Row],[Notas Manuales]], “”, 0),"")</f>
        <v/>
      </c>
      <c r="Q493" t="s">
        <v>2929</v>
      </c>
      <c r="R493" t="s">
        <v>2930</v>
      </c>
      <c r="S493">
        <v>32079.5</v>
      </c>
      <c r="T493">
        <v>-14020.5</v>
      </c>
      <c r="U493" cm="1">
        <f t="array" ref="U493">IFERROR(_xlfn.IFS(tblPedidos[[#This Row],[estado_operativo]]="ENTREGADO",tblPedidos[[#This Row],[ganancia_calc]],tblPedidos[[#This Row],[estado_operativo]]="DEVOLUCION",tblPedidos[[#This Row],[costo_devolucion_estimado]]),0)</f>
        <v>32079.5</v>
      </c>
      <c r="V493">
        <v>0</v>
      </c>
      <c r="W493">
        <v>74900</v>
      </c>
      <c r="X493">
        <v>14020.5</v>
      </c>
      <c r="Y493">
        <v>28800</v>
      </c>
      <c r="Z493" s="11">
        <v>46043</v>
      </c>
      <c r="AA493">
        <v>1</v>
      </c>
      <c r="AB493" s="12">
        <v>0.43055555555555558</v>
      </c>
      <c r="AC493" t="s">
        <v>982</v>
      </c>
      <c r="AD493" t="s">
        <v>720</v>
      </c>
      <c r="AE493" t="s">
        <v>720</v>
      </c>
    </row>
    <row r="494" spans="1:31">
      <c r="A494" t="s">
        <v>33</v>
      </c>
      <c r="C494">
        <v>554</v>
      </c>
      <c r="D494" t="s">
        <v>2931</v>
      </c>
      <c r="E494" s="11">
        <v>46036</v>
      </c>
      <c r="F494" t="s">
        <v>2932</v>
      </c>
      <c r="G494" t="s">
        <v>45</v>
      </c>
      <c r="J494" t="s">
        <v>720</v>
      </c>
      <c r="K494" t="s">
        <v>2933</v>
      </c>
      <c r="L494" t="s">
        <v>61</v>
      </c>
      <c r="M494" t="s">
        <v>2934</v>
      </c>
      <c r="N494" t="s">
        <v>2935</v>
      </c>
      <c r="O494" t="s">
        <v>2936</v>
      </c>
      <c r="P494" s="46" t="str" cm="1">
        <f t="array" aca="1" ref="P494" ca="1">IFERROR(_xlfn.XLOOKUP(tblPedidos[[#This Row],[id_dropi]],tblNotas[[#This Row],[id__dropi]],tblNotas[[#This Row],[Notas Manuales]], “”, 0),"")</f>
        <v/>
      </c>
      <c r="Q494" t="s">
        <v>2937</v>
      </c>
      <c r="R494" t="s">
        <v>2922</v>
      </c>
      <c r="S494">
        <v>17279.5</v>
      </c>
      <c r="T494">
        <v>-17670.5</v>
      </c>
      <c r="U494" cm="1">
        <f t="array" ref="U494">IFERROR(_xlfn.IFS(tblPedidos[[#This Row],[estado_operativo]]="ENTREGADO",tblPedidos[[#This Row],[ganancia_calc]],tblPedidos[[#This Row],[estado_operativo]]="DEVOLUCION",tblPedidos[[#This Row],[costo_devolucion_estimado]]),0)</f>
        <v>17279.5</v>
      </c>
      <c r="V494">
        <v>0</v>
      </c>
      <c r="W494">
        <v>54900</v>
      </c>
      <c r="X494">
        <v>17670.5</v>
      </c>
      <c r="Y494">
        <v>19950</v>
      </c>
      <c r="Z494" s="11">
        <v>46043</v>
      </c>
      <c r="AA494">
        <v>1</v>
      </c>
      <c r="AB494" s="12">
        <v>0.43194444444444446</v>
      </c>
      <c r="AC494" t="s">
        <v>725</v>
      </c>
      <c r="AD494" t="s">
        <v>720</v>
      </c>
      <c r="AE494" t="s">
        <v>720</v>
      </c>
    </row>
    <row r="495" spans="1:31">
      <c r="A495" t="s">
        <v>1343</v>
      </c>
      <c r="C495">
        <v>555</v>
      </c>
      <c r="D495" t="s">
        <v>2938</v>
      </c>
      <c r="E495" s="11">
        <v>46036</v>
      </c>
      <c r="F495" t="s">
        <v>2939</v>
      </c>
      <c r="G495" t="s">
        <v>45</v>
      </c>
      <c r="J495" t="s">
        <v>720</v>
      </c>
      <c r="K495" t="s">
        <v>2940</v>
      </c>
      <c r="L495" t="s">
        <v>427</v>
      </c>
      <c r="M495" t="s">
        <v>2941</v>
      </c>
      <c r="N495" t="s">
        <v>2942</v>
      </c>
      <c r="O495" t="s">
        <v>2943</v>
      </c>
      <c r="P495" s="46" t="str" cm="1">
        <f t="array" aca="1" ref="P495" ca="1">IFERROR(_xlfn.XLOOKUP(tblPedidos[[#This Row],[id_dropi]],tblNotas[[#This Row],[id__dropi]],tblNotas[[#This Row],[Notas Manuales]], “”, 0),"")</f>
        <v/>
      </c>
      <c r="Q495" t="s">
        <v>2944</v>
      </c>
      <c r="R495" t="s">
        <v>2945</v>
      </c>
      <c r="S495">
        <v>22829.5</v>
      </c>
      <c r="T495">
        <v>-17670.5</v>
      </c>
      <c r="U495" cm="1">
        <f t="array" ref="U495">IFERROR(_xlfn.IFS(tblPedidos[[#This Row],[estado_operativo]]="ENTREGADO",tblPedidos[[#This Row],[ganancia_calc]],tblPedidos[[#This Row],[estado_operativo]]="DEVOLUCION",tblPedidos[[#This Row],[costo_devolucion_estimado]]),0)</f>
        <v>22829.5</v>
      </c>
      <c r="V495">
        <v>68488.5</v>
      </c>
      <c r="W495">
        <v>54900</v>
      </c>
      <c r="X495">
        <v>17670.5</v>
      </c>
      <c r="Y495">
        <v>14400</v>
      </c>
      <c r="Z495" s="11">
        <v>46041</v>
      </c>
      <c r="AA495">
        <v>3</v>
      </c>
      <c r="AB495" s="12">
        <v>0.84652777777777777</v>
      </c>
      <c r="AC495" t="s">
        <v>720</v>
      </c>
      <c r="AD495" t="s">
        <v>720</v>
      </c>
      <c r="AE495" t="s">
        <v>720</v>
      </c>
    </row>
    <row r="496" spans="1:31">
      <c r="A496" s="44" t="s">
        <v>1343</v>
      </c>
      <c r="B496" s="44" t="s">
        <v>2946</v>
      </c>
      <c r="C496" s="44">
        <v>553</v>
      </c>
      <c r="D496" s="44" t="s">
        <v>2947</v>
      </c>
      <c r="E496" s="45">
        <v>46036</v>
      </c>
      <c r="F496" t="s">
        <v>2948</v>
      </c>
      <c r="G496" s="44" t="s">
        <v>36</v>
      </c>
      <c r="H496" s="44"/>
      <c r="I496" s="44"/>
      <c r="J496" s="44" t="s">
        <v>720</v>
      </c>
      <c r="K496" s="44" t="s">
        <v>2949</v>
      </c>
      <c r="L496" s="44" t="s">
        <v>54</v>
      </c>
      <c r="M496" s="44" t="s">
        <v>373</v>
      </c>
      <c r="N496" s="44" t="s">
        <v>2950</v>
      </c>
      <c r="O496" s="44" t="s">
        <v>2951</v>
      </c>
      <c r="P496" s="46" t="str" cm="1">
        <f t="array" aca="1" ref="P496" ca="1">IFERROR(_xlfn.XLOOKUP(tblPedidos[[#This Row],[id_dropi]],tblNotas[[#This Row],[id__dropi]],tblNotas[[#This Row],[Notas Manuales]], “”, 0),"")</f>
        <v/>
      </c>
      <c r="Q496" s="44" t="s">
        <v>2952</v>
      </c>
      <c r="R496" s="44" t="s">
        <v>2908</v>
      </c>
      <c r="S496" s="44">
        <v>23336.5</v>
      </c>
      <c r="T496" s="44">
        <v>-13250.800000000001</v>
      </c>
      <c r="U496" s="44" cm="1">
        <f t="array" ref="U496">IFERROR(_xlfn.IFS(tblPedidos[[#This Row],[estado_operativo]]="ENTREGADO",tblPedidos[[#This Row],[ganancia_calc]],tblPedidos[[#This Row],[estado_operativo]]="DEVOLUCION",tblPedidos[[#This Row],[costo_devolucion_estimado]]),0)</f>
        <v>23336.5</v>
      </c>
      <c r="V496" s="44">
        <v>116682.5</v>
      </c>
      <c r="W496" s="44">
        <v>89900</v>
      </c>
      <c r="X496" s="44">
        <v>16563.5</v>
      </c>
      <c r="Y496" s="44">
        <v>50000</v>
      </c>
      <c r="Z496" s="11">
        <v>46037</v>
      </c>
      <c r="AA496">
        <v>7</v>
      </c>
      <c r="AB496" s="12">
        <v>0.92500000000000004</v>
      </c>
      <c r="AC496" s="44" t="s">
        <v>527</v>
      </c>
      <c r="AD496" s="44" t="s">
        <v>720</v>
      </c>
      <c r="AE496" s="44" t="s">
        <v>720</v>
      </c>
    </row>
    <row r="497" spans="1:31">
      <c r="A497" t="s">
        <v>1343</v>
      </c>
      <c r="C497">
        <v>551</v>
      </c>
      <c r="D497" t="s">
        <v>2953</v>
      </c>
      <c r="E497" s="11">
        <v>46036</v>
      </c>
      <c r="F497" t="s">
        <v>2954</v>
      </c>
      <c r="G497" t="s">
        <v>45</v>
      </c>
      <c r="J497" t="s">
        <v>720</v>
      </c>
      <c r="K497" t="s">
        <v>2955</v>
      </c>
      <c r="L497" t="s">
        <v>111</v>
      </c>
      <c r="M497" t="s">
        <v>2307</v>
      </c>
      <c r="N497" t="s">
        <v>2956</v>
      </c>
      <c r="O497" t="s">
        <v>2957</v>
      </c>
      <c r="P497" s="46" t="str" cm="1">
        <f t="array" aca="1" ref="P497" ca="1">IFERROR(_xlfn.XLOOKUP(tblPedidos[[#This Row],[id_dropi]],tblNotas[[#This Row],[id__dropi]],tblNotas[[#This Row],[Notas Manuales]], “”, 0),"")</f>
        <v/>
      </c>
      <c r="Q497" t="s">
        <v>2958</v>
      </c>
      <c r="R497" t="s">
        <v>2945</v>
      </c>
      <c r="S497">
        <v>22829.5</v>
      </c>
      <c r="T497">
        <v>-17670.5</v>
      </c>
      <c r="U497" cm="1">
        <f t="array" ref="U497">IFERROR(_xlfn.IFS(tblPedidos[[#This Row],[estado_operativo]]="ENTREGADO",tblPedidos[[#This Row],[ganancia_calc]],tblPedidos[[#This Row],[estado_operativo]]="DEVOLUCION",tblPedidos[[#This Row],[costo_devolucion_estimado]]),0)</f>
        <v>22829.5</v>
      </c>
      <c r="V497">
        <v>91318</v>
      </c>
      <c r="W497">
        <v>54900</v>
      </c>
      <c r="X497">
        <v>17670.5</v>
      </c>
      <c r="Y497">
        <v>14400</v>
      </c>
      <c r="Z497" s="11">
        <v>46040</v>
      </c>
      <c r="AA497">
        <v>4</v>
      </c>
      <c r="AB497" s="12">
        <v>4.6527777777777779E-2</v>
      </c>
      <c r="AC497" t="s">
        <v>720</v>
      </c>
      <c r="AD497" t="s">
        <v>720</v>
      </c>
      <c r="AE497" t="s">
        <v>720</v>
      </c>
    </row>
    <row r="498" spans="1:31">
      <c r="A498" t="s">
        <v>33</v>
      </c>
      <c r="C498">
        <v>552</v>
      </c>
      <c r="D498" t="s">
        <v>2959</v>
      </c>
      <c r="E498" s="11">
        <v>46036</v>
      </c>
      <c r="F498" t="s">
        <v>2960</v>
      </c>
      <c r="G498" t="s">
        <v>45</v>
      </c>
      <c r="J498" t="s">
        <v>1371</v>
      </c>
      <c r="K498" t="s">
        <v>2961</v>
      </c>
      <c r="L498" t="s">
        <v>46</v>
      </c>
      <c r="M498" t="s">
        <v>450</v>
      </c>
      <c r="N498" t="s">
        <v>2962</v>
      </c>
      <c r="O498" t="s">
        <v>2963</v>
      </c>
      <c r="P498" s="46" t="str" cm="1">
        <f t="array" aca="1" ref="P498" ca="1">IFERROR(_xlfn.XLOOKUP(tblPedidos[[#This Row],[id_dropi]],tblNotas[[#This Row],[id__dropi]],tblNotas[[#This Row],[Notas Manuales]], “”, 0),"")</f>
        <v/>
      </c>
      <c r="Q498" t="s">
        <v>2964</v>
      </c>
      <c r="R498" t="s">
        <v>2908</v>
      </c>
      <c r="S498">
        <v>20654.5</v>
      </c>
      <c r="T498">
        <v>-19245.5</v>
      </c>
      <c r="U498" cm="1">
        <f t="array" ref="U498">IFERROR(_xlfn.IFS(tblPedidos[[#This Row],[estado_operativo]]="ENTREGADO",tblPedidos[[#This Row],[ganancia_calc]],tblPedidos[[#This Row],[estado_operativo]]="DEVOLUCION",tblPedidos[[#This Row],[costo_devolucion_estimado]]),0)</f>
        <v>0</v>
      </c>
      <c r="V498">
        <v>0</v>
      </c>
      <c r="W498">
        <v>89900</v>
      </c>
      <c r="X498">
        <v>19245.5</v>
      </c>
      <c r="Y498">
        <v>50000</v>
      </c>
      <c r="Z498" s="11">
        <v>46043</v>
      </c>
      <c r="AA498">
        <v>1</v>
      </c>
      <c r="AB498" s="12">
        <v>0.43402777777777779</v>
      </c>
      <c r="AC498" t="s">
        <v>982</v>
      </c>
      <c r="AD498" t="s">
        <v>982</v>
      </c>
      <c r="AE498" t="s">
        <v>1371</v>
      </c>
    </row>
    <row r="499" spans="1:31">
      <c r="A499" t="s">
        <v>1343</v>
      </c>
      <c r="C499">
        <v>545</v>
      </c>
      <c r="D499" t="s">
        <v>2965</v>
      </c>
      <c r="E499" s="11">
        <v>46036</v>
      </c>
      <c r="F499" t="s">
        <v>2966</v>
      </c>
      <c r="G499" t="s">
        <v>36</v>
      </c>
      <c r="J499" t="s">
        <v>720</v>
      </c>
      <c r="K499" t="s">
        <v>2967</v>
      </c>
      <c r="L499" t="s">
        <v>54</v>
      </c>
      <c r="M499" t="s">
        <v>531</v>
      </c>
      <c r="N499" t="s">
        <v>2968</v>
      </c>
      <c r="O499" t="s">
        <v>2969</v>
      </c>
      <c r="P499" s="46" t="str" cm="1">
        <f t="array" aca="1" ref="P499" ca="1">IFERROR(_xlfn.XLOOKUP(tblPedidos[[#This Row],[id_dropi]],tblNotas[[#This Row],[id__dropi]],tblNotas[[#This Row],[Notas Manuales]], “”, 0),"")</f>
        <v/>
      </c>
      <c r="Q499" t="s">
        <v>2970</v>
      </c>
      <c r="R499" t="s">
        <v>2908</v>
      </c>
      <c r="S499">
        <v>23336.5</v>
      </c>
      <c r="T499">
        <v>-13250.800000000001</v>
      </c>
      <c r="U499" cm="1">
        <f t="array" ref="U499">IFERROR(_xlfn.IFS(tblPedidos[[#This Row],[estado_operativo]]="ENTREGADO",tblPedidos[[#This Row],[ganancia_calc]],tblPedidos[[#This Row],[estado_operativo]]="DEVOLUCION",tblPedidos[[#This Row],[costo_devolucion_estimado]]),0)</f>
        <v>23336.5</v>
      </c>
      <c r="V499">
        <v>70009.5</v>
      </c>
      <c r="W499">
        <v>89900</v>
      </c>
      <c r="X499">
        <v>16563.5</v>
      </c>
      <c r="Y499">
        <v>50000</v>
      </c>
      <c r="Z499" s="11">
        <v>46037</v>
      </c>
      <c r="AA499">
        <v>7</v>
      </c>
      <c r="AB499" s="12">
        <v>0.92500000000000004</v>
      </c>
      <c r="AC499" t="s">
        <v>527</v>
      </c>
      <c r="AD499" t="s">
        <v>720</v>
      </c>
      <c r="AE499" t="s">
        <v>720</v>
      </c>
    </row>
    <row r="500" spans="1:31">
      <c r="A500" t="s">
        <v>1343</v>
      </c>
      <c r="C500">
        <v>538</v>
      </c>
      <c r="D500" t="s">
        <v>2971</v>
      </c>
      <c r="E500" s="11">
        <v>46036</v>
      </c>
      <c r="F500" t="s">
        <v>2972</v>
      </c>
      <c r="G500" t="s">
        <v>45</v>
      </c>
      <c r="J500" t="s">
        <v>720</v>
      </c>
      <c r="K500" t="s">
        <v>2973</v>
      </c>
      <c r="L500" t="s">
        <v>54</v>
      </c>
      <c r="M500" t="s">
        <v>2974</v>
      </c>
      <c r="N500" t="s">
        <v>2975</v>
      </c>
      <c r="O500" t="s">
        <v>2976</v>
      </c>
      <c r="P500" s="46" t="str" cm="1">
        <f t="array" aca="1" ref="P500" ca="1">IFERROR(_xlfn.XLOOKUP(tblPedidos[[#This Row],[id_dropi]],tblNotas[[#This Row],[id__dropi]],tblNotas[[#This Row],[Notas Manuales]], “”, 0),"")</f>
        <v/>
      </c>
      <c r="Q500" t="s">
        <v>50</v>
      </c>
      <c r="R500" t="s">
        <v>2977</v>
      </c>
      <c r="S500">
        <v>17004.5</v>
      </c>
      <c r="T500">
        <v>-17895.5</v>
      </c>
      <c r="U500" cm="1">
        <f t="array" ref="U500">IFERROR(_xlfn.IFS(tblPedidos[[#This Row],[estado_operativo]]="ENTREGADO",tblPedidos[[#This Row],[ganancia_calc]],tblPedidos[[#This Row],[estado_operativo]]="DEVOLUCION",tblPedidos[[#This Row],[costo_devolucion_estimado]]),0)</f>
        <v>17004.5</v>
      </c>
      <c r="V500">
        <v>17004.5</v>
      </c>
      <c r="W500">
        <v>59900</v>
      </c>
      <c r="X500">
        <v>17895.5</v>
      </c>
      <c r="Y500">
        <v>25000</v>
      </c>
      <c r="Z500" s="11">
        <v>46042</v>
      </c>
      <c r="AA500">
        <v>2</v>
      </c>
      <c r="AB500" s="12">
        <v>0.67777777777777781</v>
      </c>
      <c r="AC500" t="s">
        <v>720</v>
      </c>
      <c r="AD500" t="s">
        <v>720</v>
      </c>
      <c r="AE500" t="s">
        <v>720</v>
      </c>
    </row>
    <row r="501" spans="1:31">
      <c r="A501" s="44" t="s">
        <v>1343</v>
      </c>
      <c r="B501" s="44" t="s">
        <v>2946</v>
      </c>
      <c r="C501" s="44">
        <v>539</v>
      </c>
      <c r="D501" s="44" t="s">
        <v>2978</v>
      </c>
      <c r="E501" s="45">
        <v>46036</v>
      </c>
      <c r="F501" t="s">
        <v>2979</v>
      </c>
      <c r="G501" s="44" t="s">
        <v>36</v>
      </c>
      <c r="H501" s="44"/>
      <c r="I501" s="44"/>
      <c r="J501" s="44" t="s">
        <v>720</v>
      </c>
      <c r="K501" s="44" t="s">
        <v>2980</v>
      </c>
      <c r="L501" s="44" t="s">
        <v>54</v>
      </c>
      <c r="M501" s="44" t="s">
        <v>373</v>
      </c>
      <c r="N501" s="44" t="s">
        <v>2981</v>
      </c>
      <c r="O501" s="44" t="s">
        <v>2982</v>
      </c>
      <c r="P501" s="46" t="str" cm="1">
        <f t="array" aca="1" ref="P501" ca="1">IFERROR(_xlfn.XLOOKUP(tblPedidos[[#This Row],[id_dropi]],tblNotas[[#This Row],[id__dropi]],tblNotas[[#This Row],[Notas Manuales]], “”, 0),"")</f>
        <v/>
      </c>
      <c r="Q501" s="44"/>
      <c r="R501" s="44" t="s">
        <v>2983</v>
      </c>
      <c r="S501" s="44">
        <v>32946.5</v>
      </c>
      <c r="T501" s="44">
        <v>-10802.800000000001</v>
      </c>
      <c r="U501" s="44" cm="1">
        <f t="array" ref="U501">IFERROR(_xlfn.IFS(tblPedidos[[#This Row],[estado_operativo]]="ENTREGADO",tblPedidos[[#This Row],[ganancia_calc]],tblPedidos[[#This Row],[estado_operativo]]="DEVOLUCION",tblPedidos[[#This Row],[costo_devolucion_estimado]]),0)</f>
        <v>32946.5</v>
      </c>
      <c r="V501" s="44">
        <v>164732.5</v>
      </c>
      <c r="W501" s="44">
        <v>69900</v>
      </c>
      <c r="X501" s="44">
        <v>13503.5</v>
      </c>
      <c r="Y501" s="44">
        <v>23450</v>
      </c>
      <c r="Z501" s="11">
        <v>46037</v>
      </c>
      <c r="AA501">
        <v>7</v>
      </c>
      <c r="AB501" s="12">
        <v>0.875</v>
      </c>
      <c r="AC501" s="44" t="s">
        <v>399</v>
      </c>
      <c r="AD501" s="44" t="s">
        <v>720</v>
      </c>
      <c r="AE501" s="44" t="s">
        <v>720</v>
      </c>
    </row>
    <row r="502" spans="1:31">
      <c r="A502" t="s">
        <v>33</v>
      </c>
      <c r="C502">
        <v>537</v>
      </c>
      <c r="D502" t="s">
        <v>2984</v>
      </c>
      <c r="E502" s="11">
        <v>46036</v>
      </c>
      <c r="F502" t="s">
        <v>2985</v>
      </c>
      <c r="G502" t="s">
        <v>36</v>
      </c>
      <c r="J502" t="s">
        <v>959</v>
      </c>
      <c r="K502" t="s">
        <v>2986</v>
      </c>
      <c r="L502" t="s">
        <v>54</v>
      </c>
      <c r="M502" t="s">
        <v>373</v>
      </c>
      <c r="N502" t="s">
        <v>2987</v>
      </c>
      <c r="O502" t="s">
        <v>2988</v>
      </c>
      <c r="P502" s="46" t="str" cm="1">
        <f t="array" aca="1" ref="P502" ca="1">IFERROR(_xlfn.XLOOKUP(tblPedidos[[#This Row],[id_dropi]],tblNotas[[#This Row],[id__dropi]],tblNotas[[#This Row],[Notas Manuales]], “”, 0),"")</f>
        <v/>
      </c>
      <c r="R502" t="s">
        <v>2989</v>
      </c>
      <c r="S502">
        <v>18686.5</v>
      </c>
      <c r="T502">
        <v>-12170.800000000001</v>
      </c>
      <c r="U502" cm="1">
        <f t="array" ref="U502">IFERROR(_xlfn.IFS(tblPedidos[[#This Row],[estado_operativo]]="ENTREGADO",tblPedidos[[#This Row],[ganancia_calc]],tblPedidos[[#This Row],[estado_operativo]]="DEVOLUCION",tblPedidos[[#This Row],[costo_devolucion_estimado]]),0)</f>
        <v>0</v>
      </c>
      <c r="V502">
        <v>0</v>
      </c>
      <c r="W502">
        <v>59900</v>
      </c>
      <c r="X502">
        <v>15213.5</v>
      </c>
      <c r="Y502">
        <v>26000</v>
      </c>
      <c r="Z502" s="11">
        <v>46038</v>
      </c>
      <c r="AA502">
        <v>6</v>
      </c>
      <c r="AB502" s="12">
        <v>0.65416666666666667</v>
      </c>
      <c r="AC502" t="s">
        <v>2990</v>
      </c>
      <c r="AD502" t="s">
        <v>1103</v>
      </c>
      <c r="AE502" t="s">
        <v>959</v>
      </c>
    </row>
    <row r="503" spans="1:31">
      <c r="A503" s="44" t="s">
        <v>1343</v>
      </c>
      <c r="B503" s="44" t="s">
        <v>2946</v>
      </c>
      <c r="C503" s="44">
        <v>535</v>
      </c>
      <c r="D503" s="44" t="s">
        <v>2991</v>
      </c>
      <c r="E503" s="45">
        <v>46036</v>
      </c>
      <c r="F503" t="s">
        <v>2992</v>
      </c>
      <c r="G503" s="44" t="s">
        <v>36</v>
      </c>
      <c r="H503" s="44"/>
      <c r="I503" s="44"/>
      <c r="J503" s="44" t="s">
        <v>720</v>
      </c>
      <c r="K503" s="44" t="s">
        <v>2993</v>
      </c>
      <c r="L503" s="44" t="s">
        <v>54</v>
      </c>
      <c r="M503" s="44" t="s">
        <v>373</v>
      </c>
      <c r="N503" s="44" t="s">
        <v>2994</v>
      </c>
      <c r="O503" s="44" t="s">
        <v>2995</v>
      </c>
      <c r="P503" s="46" t="str" cm="1">
        <f t="array" aca="1" ref="P503" ca="1">IFERROR(_xlfn.XLOOKUP(tblPedidos[[#This Row],[id_dropi]],tblNotas[[#This Row],[id__dropi]],tblNotas[[#This Row],[Notas Manuales]], “”, 0),"")</f>
        <v/>
      </c>
      <c r="Q503" s="44"/>
      <c r="R503" s="44" t="s">
        <v>2996</v>
      </c>
      <c r="S503" s="44">
        <v>42646.5</v>
      </c>
      <c r="T503" s="44">
        <v>-12242.800000000001</v>
      </c>
      <c r="U503" s="44" cm="1">
        <f t="array" ref="U503">IFERROR(_xlfn.IFS(tblPedidos[[#This Row],[estado_operativo]]="ENTREGADO",tblPedidos[[#This Row],[ganancia_calc]],tblPedidos[[#This Row],[estado_operativo]]="DEVOLUCION",tblPedidos[[#This Row],[costo_devolucion_estimado]]),0)</f>
        <v>42646.5</v>
      </c>
      <c r="V503" s="44">
        <v>213232.5</v>
      </c>
      <c r="W503" s="44">
        <v>109900</v>
      </c>
      <c r="X503" s="44">
        <v>15303.5</v>
      </c>
      <c r="Y503" s="44">
        <v>51950</v>
      </c>
      <c r="Z503" s="11">
        <v>46037</v>
      </c>
      <c r="AA503">
        <v>7</v>
      </c>
      <c r="AB503" s="12">
        <v>0.875</v>
      </c>
      <c r="AC503" s="44" t="s">
        <v>399</v>
      </c>
      <c r="AD503" s="44" t="s">
        <v>720</v>
      </c>
      <c r="AE503" s="44" t="s">
        <v>720</v>
      </c>
    </row>
    <row r="504" spans="1:31">
      <c r="A504" t="s">
        <v>1343</v>
      </c>
      <c r="C504">
        <v>536</v>
      </c>
      <c r="D504" t="s">
        <v>2997</v>
      </c>
      <c r="E504" s="11">
        <v>46036</v>
      </c>
      <c r="F504" t="s">
        <v>2998</v>
      </c>
      <c r="G504" t="s">
        <v>45</v>
      </c>
      <c r="J504" t="s">
        <v>1657</v>
      </c>
      <c r="K504" t="s">
        <v>2999</v>
      </c>
      <c r="L504" t="s">
        <v>46</v>
      </c>
      <c r="M504" t="s">
        <v>94</v>
      </c>
      <c r="N504" t="s">
        <v>3000</v>
      </c>
      <c r="O504" t="s">
        <v>3001</v>
      </c>
      <c r="P504" s="46" t="str" cm="1">
        <f t="array" aca="1" ref="P504" ca="1">IFERROR(_xlfn.XLOOKUP(tblPedidos[[#This Row],[id_dropi]],tblNotas[[#This Row],[id__dropi]],tblNotas[[#This Row],[Notas Manuales]], “”, 0),"")</f>
        <v/>
      </c>
      <c r="R504" t="s">
        <v>3002</v>
      </c>
      <c r="S504">
        <v>15954.5</v>
      </c>
      <c r="T504">
        <v>-11945.5</v>
      </c>
      <c r="U504" cm="1">
        <f t="array" ref="U504">IFERROR(_xlfn.IFS(tblPedidos[[#This Row],[estado_operativo]]="ENTREGADO",tblPedidos[[#This Row],[ganancia_calc]],tblPedidos[[#This Row],[estado_operativo]]="DEVOLUCION",tblPedidos[[#This Row],[costo_devolucion_estimado]]),0)</f>
        <v>-11945.5</v>
      </c>
      <c r="V504">
        <v>-11945.5</v>
      </c>
      <c r="W504">
        <v>59900</v>
      </c>
      <c r="X504">
        <v>11945.5</v>
      </c>
      <c r="Y504">
        <v>32000</v>
      </c>
      <c r="Z504" s="11">
        <v>46043</v>
      </c>
      <c r="AA504">
        <v>1</v>
      </c>
      <c r="AB504" s="12">
        <v>0.50486111111111109</v>
      </c>
      <c r="AC504" t="s">
        <v>2068</v>
      </c>
      <c r="AD504" t="s">
        <v>1657</v>
      </c>
      <c r="AE504" t="s">
        <v>1657</v>
      </c>
    </row>
    <row r="505" spans="1:31">
      <c r="A505" t="s">
        <v>33</v>
      </c>
      <c r="C505">
        <v>543</v>
      </c>
      <c r="D505" t="s">
        <v>3003</v>
      </c>
      <c r="E505" s="11">
        <v>46036</v>
      </c>
      <c r="F505" t="s">
        <v>3004</v>
      </c>
      <c r="G505" t="s">
        <v>45</v>
      </c>
      <c r="J505" t="s">
        <v>1371</v>
      </c>
      <c r="K505" t="s">
        <v>3005</v>
      </c>
      <c r="L505" t="s">
        <v>87</v>
      </c>
      <c r="M505" t="s">
        <v>88</v>
      </c>
      <c r="N505" t="s">
        <v>3006</v>
      </c>
      <c r="O505" t="s">
        <v>3007</v>
      </c>
      <c r="P505" s="46" t="str" cm="1">
        <f t="array" aca="1" ref="P505" ca="1">IFERROR(_xlfn.XLOOKUP(tblPedidos[[#This Row],[id_dropi]],tblNotas[[#This Row],[id__dropi]],tblNotas[[#This Row],[Notas Manuales]], “”, 0),"")</f>
        <v/>
      </c>
      <c r="Q505" t="s">
        <v>50</v>
      </c>
      <c r="R505" t="s">
        <v>3008</v>
      </c>
      <c r="S505">
        <v>31554.5</v>
      </c>
      <c r="T505">
        <v>-18345.5</v>
      </c>
      <c r="U505" cm="1">
        <f t="array" ref="U505">IFERROR(_xlfn.IFS(tblPedidos[[#This Row],[estado_operativo]]="ENTREGADO",tblPedidos[[#This Row],[ganancia_calc]],tblPedidos[[#This Row],[estado_operativo]]="DEVOLUCION",tblPedidos[[#This Row],[costo_devolucion_estimado]]),0)</f>
        <v>0</v>
      </c>
      <c r="V505">
        <v>0</v>
      </c>
      <c r="W505">
        <v>69900</v>
      </c>
      <c r="X505">
        <v>18345.5</v>
      </c>
      <c r="Y505">
        <v>20000</v>
      </c>
      <c r="Z505" s="11">
        <v>46043</v>
      </c>
      <c r="AA505">
        <v>1</v>
      </c>
      <c r="AB505" s="12">
        <v>0.43194444444444446</v>
      </c>
      <c r="AC505" t="s">
        <v>982</v>
      </c>
      <c r="AD505" t="s">
        <v>982</v>
      </c>
      <c r="AE505" t="s">
        <v>1371</v>
      </c>
    </row>
    <row r="506" spans="1:31">
      <c r="A506" t="s">
        <v>33</v>
      </c>
      <c r="C506">
        <v>544</v>
      </c>
      <c r="D506" t="s">
        <v>3009</v>
      </c>
      <c r="E506" s="11">
        <v>46036</v>
      </c>
      <c r="F506" t="s">
        <v>3010</v>
      </c>
      <c r="G506" t="s">
        <v>45</v>
      </c>
      <c r="J506" t="s">
        <v>1371</v>
      </c>
      <c r="K506" t="s">
        <v>3011</v>
      </c>
      <c r="L506" t="s">
        <v>590</v>
      </c>
      <c r="M506" t="s">
        <v>1619</v>
      </c>
      <c r="N506" t="s">
        <v>3012</v>
      </c>
      <c r="O506" t="s">
        <v>3013</v>
      </c>
      <c r="P506" s="46" t="str" cm="1">
        <f t="array" aca="1" ref="P506" ca="1">IFERROR(_xlfn.XLOOKUP(tblPedidos[[#This Row],[id_dropi]],tblNotas[[#This Row],[id__dropi]],tblNotas[[#This Row],[Notas Manuales]], “”, 0),"")</f>
        <v/>
      </c>
      <c r="Q506" t="s">
        <v>50</v>
      </c>
      <c r="R506" t="s">
        <v>3014</v>
      </c>
      <c r="S506">
        <v>22829.5</v>
      </c>
      <c r="T506">
        <v>-17670.5</v>
      </c>
      <c r="U506" cm="1">
        <f t="array" ref="U506">IFERROR(_xlfn.IFS(tblPedidos[[#This Row],[estado_operativo]]="ENTREGADO",tblPedidos[[#This Row],[ganancia_calc]],tblPedidos[[#This Row],[estado_operativo]]="DEVOLUCION",tblPedidos[[#This Row],[costo_devolucion_estimado]]),0)</f>
        <v>0</v>
      </c>
      <c r="V506">
        <v>0</v>
      </c>
      <c r="W506">
        <v>54900</v>
      </c>
      <c r="X506">
        <v>17670.5</v>
      </c>
      <c r="Y506">
        <v>14400</v>
      </c>
      <c r="Z506" s="11">
        <v>46043</v>
      </c>
      <c r="AA506">
        <v>1</v>
      </c>
      <c r="AB506" s="12">
        <v>0.43055555555555558</v>
      </c>
      <c r="AC506" t="s">
        <v>982</v>
      </c>
      <c r="AD506" t="s">
        <v>982</v>
      </c>
      <c r="AE506" t="s">
        <v>1371</v>
      </c>
    </row>
    <row r="507" spans="1:31">
      <c r="A507" t="s">
        <v>33</v>
      </c>
      <c r="C507">
        <v>542</v>
      </c>
      <c r="D507" t="s">
        <v>3015</v>
      </c>
      <c r="E507" s="11">
        <v>46036</v>
      </c>
      <c r="F507" t="s">
        <v>3016</v>
      </c>
      <c r="G507" t="s">
        <v>36</v>
      </c>
      <c r="J507" t="s">
        <v>959</v>
      </c>
      <c r="K507" t="s">
        <v>3017</v>
      </c>
      <c r="L507" t="s">
        <v>54</v>
      </c>
      <c r="M507" t="s">
        <v>373</v>
      </c>
      <c r="N507" t="s">
        <v>3018</v>
      </c>
      <c r="O507" t="s">
        <v>3019</v>
      </c>
      <c r="P507" s="46" t="str" cm="1">
        <f t="array" aca="1" ref="P507" ca="1">IFERROR(_xlfn.XLOOKUP(tblPedidos[[#This Row],[id_dropi]],tblNotas[[#This Row],[id__dropi]],tblNotas[[#This Row],[Notas Manuales]], “”, 0),"")</f>
        <v/>
      </c>
      <c r="Q507" t="s">
        <v>3020</v>
      </c>
      <c r="R507" t="s">
        <v>3021</v>
      </c>
      <c r="S507">
        <v>70201</v>
      </c>
      <c r="T507">
        <v>-12959.2</v>
      </c>
      <c r="U507" cm="1">
        <f t="array" ref="U507">IFERROR(_xlfn.IFS(tblPedidos[[#This Row],[estado_operativo]]="ENTREGADO",tblPedidos[[#This Row],[ganancia_calc]],tblPedidos[[#This Row],[estado_operativo]]="DEVOLUCION",tblPedidos[[#This Row],[costo_devolucion_estimado]]),0)</f>
        <v>0</v>
      </c>
      <c r="V507">
        <v>0</v>
      </c>
      <c r="W507">
        <v>129800</v>
      </c>
      <c r="X507">
        <v>16199</v>
      </c>
      <c r="Y507">
        <v>43400</v>
      </c>
      <c r="Z507" s="11">
        <v>46037</v>
      </c>
      <c r="AA507">
        <v>7</v>
      </c>
      <c r="AB507" s="12">
        <v>0.87569444444444444</v>
      </c>
      <c r="AC507" t="s">
        <v>399</v>
      </c>
      <c r="AD507" t="s">
        <v>1103</v>
      </c>
      <c r="AE507" t="s">
        <v>959</v>
      </c>
    </row>
    <row r="508" spans="1:31">
      <c r="A508" s="44" t="s">
        <v>1343</v>
      </c>
      <c r="B508" s="44" t="s">
        <v>2946</v>
      </c>
      <c r="C508" s="44">
        <v>540</v>
      </c>
      <c r="D508" s="44" t="s">
        <v>3022</v>
      </c>
      <c r="E508" s="45">
        <v>46036</v>
      </c>
      <c r="F508" t="s">
        <v>3023</v>
      </c>
      <c r="G508" s="44" t="s">
        <v>45</v>
      </c>
      <c r="H508" s="44"/>
      <c r="I508" s="44"/>
      <c r="J508" s="44" t="s">
        <v>720</v>
      </c>
      <c r="K508" s="44" t="s">
        <v>3024</v>
      </c>
      <c r="L508" s="44" t="s">
        <v>46</v>
      </c>
      <c r="M508" s="44" t="s">
        <v>94</v>
      </c>
      <c r="N508" s="44" t="s">
        <v>3025</v>
      </c>
      <c r="O508" s="44" t="s">
        <v>3026</v>
      </c>
      <c r="P508" s="46" t="str" cm="1">
        <f t="array" aca="1" ref="P508" ca="1">IFERROR(_xlfn.XLOOKUP(tblPedidos[[#This Row],[id_dropi]],tblNotas[[#This Row],[id__dropi]],tblNotas[[#This Row],[Notas Manuales]], “”, 0),"")</f>
        <v/>
      </c>
      <c r="Q508" s="44"/>
      <c r="R508" s="44" t="s">
        <v>3027</v>
      </c>
      <c r="S508" s="44">
        <v>20654.5</v>
      </c>
      <c r="T508" s="44">
        <v>-19245.5</v>
      </c>
      <c r="U508" s="44" cm="1">
        <f t="array" ref="U508">IFERROR(_xlfn.IFS(tblPedidos[[#This Row],[estado_operativo]]="ENTREGADO",tblPedidos[[#This Row],[ganancia_calc]],tblPedidos[[#This Row],[estado_operativo]]="DEVOLUCION",tblPedidos[[#This Row],[costo_devolucion_estimado]]),0)</f>
        <v>20654.5</v>
      </c>
      <c r="V508" s="44">
        <v>103272.5</v>
      </c>
      <c r="W508" s="44">
        <v>89900</v>
      </c>
      <c r="X508" s="44">
        <v>19245.5</v>
      </c>
      <c r="Y508" s="44">
        <v>50000</v>
      </c>
      <c r="Z508" s="11">
        <v>46038</v>
      </c>
      <c r="AA508">
        <v>6</v>
      </c>
      <c r="AB508" s="12">
        <v>0.67291666666666672</v>
      </c>
      <c r="AC508" s="44" t="s">
        <v>720</v>
      </c>
      <c r="AD508" s="44" t="s">
        <v>720</v>
      </c>
      <c r="AE508" s="44" t="s">
        <v>720</v>
      </c>
    </row>
    <row r="509" spans="1:31">
      <c r="A509" t="s">
        <v>33</v>
      </c>
      <c r="C509">
        <v>541</v>
      </c>
      <c r="D509" t="s">
        <v>3028</v>
      </c>
      <c r="E509" s="11">
        <v>46036</v>
      </c>
      <c r="F509" t="s">
        <v>3029</v>
      </c>
      <c r="G509" t="s">
        <v>36</v>
      </c>
      <c r="J509" t="s">
        <v>720</v>
      </c>
      <c r="K509" t="s">
        <v>3030</v>
      </c>
      <c r="L509" t="s">
        <v>166</v>
      </c>
      <c r="M509" t="s">
        <v>1748</v>
      </c>
      <c r="N509" t="s">
        <v>3031</v>
      </c>
      <c r="O509" t="s">
        <v>3032</v>
      </c>
      <c r="P509" s="46" t="str" cm="1">
        <f t="array" aca="1" ref="P509" ca="1">IFERROR(_xlfn.XLOOKUP(tblPedidos[[#This Row],[id_dropi]],tblNotas[[#This Row],[id__dropi]],tblNotas[[#This Row],[Notas Manuales]], “”, 0),"")</f>
        <v/>
      </c>
      <c r="R509" t="s">
        <v>3033</v>
      </c>
      <c r="S509">
        <v>14911.5</v>
      </c>
      <c r="T509">
        <v>-11990.800000000001</v>
      </c>
      <c r="U509" cm="1">
        <f t="array" ref="U509">IFERROR(_xlfn.IFS(tblPedidos[[#This Row],[estado_operativo]]="ENTREGADO",tblPedidos[[#This Row],[ganancia_calc]],tblPedidos[[#This Row],[estado_operativo]]="DEVOLUCION",tblPedidos[[#This Row],[costo_devolucion_estimado]]),0)</f>
        <v>14911.5</v>
      </c>
      <c r="V509">
        <v>0</v>
      </c>
      <c r="W509">
        <v>54900</v>
      </c>
      <c r="X509">
        <v>14988.5</v>
      </c>
      <c r="Y509">
        <v>25000</v>
      </c>
      <c r="Z509" s="11">
        <v>46038</v>
      </c>
      <c r="AA509">
        <v>6</v>
      </c>
      <c r="AB509" s="12">
        <v>0.65902777777777777</v>
      </c>
      <c r="AC509" t="s">
        <v>2990</v>
      </c>
      <c r="AD509" t="s">
        <v>720</v>
      </c>
      <c r="AE509" t="s">
        <v>720</v>
      </c>
    </row>
    <row r="510" spans="1:31">
      <c r="A510" s="44" t="s">
        <v>1343</v>
      </c>
      <c r="B510" s="44" t="s">
        <v>2946</v>
      </c>
      <c r="C510" s="44">
        <v>556</v>
      </c>
      <c r="D510" s="44" t="s">
        <v>3034</v>
      </c>
      <c r="E510" s="45">
        <v>46036</v>
      </c>
      <c r="F510" t="s">
        <v>3035</v>
      </c>
      <c r="G510" s="44" t="s">
        <v>45</v>
      </c>
      <c r="H510" s="44"/>
      <c r="I510" s="44"/>
      <c r="J510" s="44" t="s">
        <v>720</v>
      </c>
      <c r="K510" s="44" t="s">
        <v>3036</v>
      </c>
      <c r="L510" s="44" t="s">
        <v>136</v>
      </c>
      <c r="M510" s="44" t="s">
        <v>206</v>
      </c>
      <c r="N510" s="44" t="s">
        <v>3037</v>
      </c>
      <c r="O510" s="44" t="s">
        <v>3038</v>
      </c>
      <c r="P510" s="46" t="str" cm="1">
        <f t="array" aca="1" ref="P510" ca="1">IFERROR(_xlfn.XLOOKUP(tblPedidos[[#This Row],[id_dropi]],tblNotas[[#This Row],[id__dropi]],tblNotas[[#This Row],[Notas Manuales]], “”, 0),"")</f>
        <v/>
      </c>
      <c r="Q510" s="44"/>
      <c r="R510" s="44" t="s">
        <v>3033</v>
      </c>
      <c r="S510" s="44">
        <v>21554.5</v>
      </c>
      <c r="T510" s="44">
        <v>-13345.5</v>
      </c>
      <c r="U510" s="44" cm="1">
        <f t="array" ref="U510">IFERROR(_xlfn.IFS(tblPedidos[[#This Row],[estado_operativo]]="ENTREGADO",tblPedidos[[#This Row],[ganancia_calc]],tblPedidos[[#This Row],[estado_operativo]]="DEVOLUCION",tblPedidos[[#This Row],[costo_devolucion_estimado]]),0)</f>
        <v>21554.5</v>
      </c>
      <c r="V510" s="44">
        <v>107772.5</v>
      </c>
      <c r="W510" s="44">
        <v>59900</v>
      </c>
      <c r="X510" s="44">
        <v>13345.5</v>
      </c>
      <c r="Y510" s="44">
        <v>25000</v>
      </c>
      <c r="Z510" s="11">
        <v>46038</v>
      </c>
      <c r="AA510">
        <v>6</v>
      </c>
      <c r="AB510" s="12">
        <v>0.6743055555555556</v>
      </c>
      <c r="AC510" s="44" t="s">
        <v>720</v>
      </c>
      <c r="AD510" s="44" t="s">
        <v>720</v>
      </c>
      <c r="AE510" s="44" t="s">
        <v>720</v>
      </c>
    </row>
    <row r="511" spans="1:31" s="44" customFormat="1">
      <c r="A511" t="s">
        <v>33</v>
      </c>
      <c r="B511"/>
      <c r="C511">
        <v>571</v>
      </c>
      <c r="D511" t="s">
        <v>3039</v>
      </c>
      <c r="E511" s="11">
        <v>46036</v>
      </c>
      <c r="F511" t="s">
        <v>3040</v>
      </c>
      <c r="G511" t="s">
        <v>45</v>
      </c>
      <c r="H511"/>
      <c r="I511"/>
      <c r="J511" t="s">
        <v>750</v>
      </c>
      <c r="K511" t="s">
        <v>3041</v>
      </c>
      <c r="L511" t="s">
        <v>54</v>
      </c>
      <c r="M511" t="s">
        <v>2564</v>
      </c>
      <c r="N511" t="s">
        <v>3042</v>
      </c>
      <c r="O511" t="s">
        <v>3043</v>
      </c>
      <c r="P511" s="46" t="str" cm="1">
        <f t="array" aca="1" ref="P511" ca="1">IFERROR(_xlfn.XLOOKUP(tblPedidos[[#This Row],[id_dropi]],tblNotas[[#This Row],[id__dropi]],tblNotas[[#This Row],[Notas Manuales]], “”, 0),"")</f>
        <v/>
      </c>
      <c r="Q511"/>
      <c r="R511" t="s">
        <v>3033</v>
      </c>
      <c r="S511">
        <v>17004.5</v>
      </c>
      <c r="T511">
        <v>-17895.5</v>
      </c>
      <c r="U511" cm="1">
        <f t="array" ref="U511">IFERROR(_xlfn.IFS(tblPedidos[[#This Row],[estado_operativo]]="ENTREGADO",tblPedidos[[#This Row],[ganancia_calc]],tblPedidos[[#This Row],[estado_operativo]]="DEVOLUCION",tblPedidos[[#This Row],[costo_devolucion_estimado]]),0)</f>
        <v>0</v>
      </c>
      <c r="V511">
        <v>0</v>
      </c>
      <c r="W511">
        <v>59900</v>
      </c>
      <c r="X511">
        <v>17895.5</v>
      </c>
      <c r="Y511">
        <v>25000</v>
      </c>
      <c r="Z511" s="11">
        <v>46043</v>
      </c>
      <c r="AA511">
        <v>1</v>
      </c>
      <c r="AB511" s="12">
        <v>0.43263888888888891</v>
      </c>
      <c r="AC511" t="s">
        <v>756</v>
      </c>
      <c r="AD511" t="s">
        <v>1027</v>
      </c>
      <c r="AE511" t="s">
        <v>750</v>
      </c>
    </row>
    <row r="512" spans="1:31">
      <c r="A512" t="s">
        <v>1343</v>
      </c>
      <c r="C512">
        <v>572</v>
      </c>
      <c r="D512" t="s">
        <v>3044</v>
      </c>
      <c r="E512" s="11">
        <v>46036</v>
      </c>
      <c r="F512" t="s">
        <v>3045</v>
      </c>
      <c r="G512" t="s">
        <v>36</v>
      </c>
      <c r="J512" t="s">
        <v>720</v>
      </c>
      <c r="K512" t="s">
        <v>3046</v>
      </c>
      <c r="L512" t="s">
        <v>81</v>
      </c>
      <c r="M512" t="s">
        <v>118</v>
      </c>
      <c r="N512" t="s">
        <v>3047</v>
      </c>
      <c r="O512" t="s">
        <v>3048</v>
      </c>
      <c r="P512" s="46" t="str" cm="1">
        <f t="array" aca="1" ref="P512" ca="1">IFERROR(_xlfn.XLOOKUP(tblPedidos[[#This Row],[id_dropi]],tblNotas[[#This Row],[id__dropi]],tblNotas[[#This Row],[Notas Manuales]], “”, 0),"")</f>
        <v/>
      </c>
      <c r="R512" t="s">
        <v>3033</v>
      </c>
      <c r="S512">
        <v>19686.5</v>
      </c>
      <c r="T512">
        <v>-12170.800000000001</v>
      </c>
      <c r="U512" cm="1">
        <f t="array" ref="U512">IFERROR(_xlfn.IFS(tblPedidos[[#This Row],[estado_operativo]]="ENTREGADO",tblPedidos[[#This Row],[ganancia_calc]],tblPedidos[[#This Row],[estado_operativo]]="DEVOLUCION",tblPedidos[[#This Row],[costo_devolucion_estimado]]),0)</f>
        <v>19686.5</v>
      </c>
      <c r="V512">
        <v>59059.5</v>
      </c>
      <c r="W512">
        <v>59900</v>
      </c>
      <c r="X512">
        <v>15213.5</v>
      </c>
      <c r="Y512">
        <v>25000</v>
      </c>
      <c r="Z512" s="11">
        <v>46038</v>
      </c>
      <c r="AA512">
        <v>6</v>
      </c>
      <c r="AB512" s="12">
        <v>0.65902777777777777</v>
      </c>
      <c r="AC512" t="s">
        <v>2990</v>
      </c>
      <c r="AD512" t="s">
        <v>720</v>
      </c>
      <c r="AE512" t="s">
        <v>720</v>
      </c>
    </row>
    <row r="513" spans="1:31">
      <c r="A513" t="s">
        <v>1343</v>
      </c>
      <c r="C513">
        <v>570</v>
      </c>
      <c r="D513" t="s">
        <v>3049</v>
      </c>
      <c r="E513" s="11">
        <v>46036</v>
      </c>
      <c r="F513" t="s">
        <v>3050</v>
      </c>
      <c r="G513" t="s">
        <v>45</v>
      </c>
      <c r="J513" t="s">
        <v>720</v>
      </c>
      <c r="K513" t="s">
        <v>3051</v>
      </c>
      <c r="L513" t="s">
        <v>1003</v>
      </c>
      <c r="M513" t="s">
        <v>1502</v>
      </c>
      <c r="N513" t="s">
        <v>3052</v>
      </c>
      <c r="O513" t="s">
        <v>3053</v>
      </c>
      <c r="P513" s="46" t="str" cm="1">
        <f t="array" aca="1" ref="P513" ca="1">IFERROR(_xlfn.XLOOKUP(tblPedidos[[#This Row],[id_dropi]],tblNotas[[#This Row],[id__dropi]],tblNotas[[#This Row],[Notas Manuales]], “”, 0),"")</f>
        <v/>
      </c>
      <c r="R513" t="s">
        <v>3054</v>
      </c>
      <c r="S513">
        <v>18554.5</v>
      </c>
      <c r="T513">
        <v>-13345.5</v>
      </c>
      <c r="U513" cm="1">
        <f t="array" ref="U513">IFERROR(_xlfn.IFS(tblPedidos[[#This Row],[estado_operativo]]="ENTREGADO",tblPedidos[[#This Row],[ganancia_calc]],tblPedidos[[#This Row],[estado_operativo]]="DEVOLUCION",tblPedidos[[#This Row],[costo_devolucion_estimado]]),0)</f>
        <v>18554.5</v>
      </c>
      <c r="V513">
        <v>92772.5</v>
      </c>
      <c r="W513">
        <v>59900</v>
      </c>
      <c r="X513">
        <v>13345.5</v>
      </c>
      <c r="Y513">
        <v>28000</v>
      </c>
      <c r="Z513" s="11">
        <v>46039</v>
      </c>
      <c r="AA513">
        <v>5</v>
      </c>
      <c r="AB513" s="12">
        <v>0.75555555555555554</v>
      </c>
      <c r="AC513" t="s">
        <v>720</v>
      </c>
      <c r="AD513" t="s">
        <v>720</v>
      </c>
      <c r="AE513" t="s">
        <v>720</v>
      </c>
    </row>
    <row r="514" spans="1:31">
      <c r="A514" s="44" t="s">
        <v>1343</v>
      </c>
      <c r="B514" s="44" t="s">
        <v>2946</v>
      </c>
      <c r="C514" s="44">
        <v>568</v>
      </c>
      <c r="D514" s="44" t="s">
        <v>3055</v>
      </c>
      <c r="E514" s="45">
        <v>46036</v>
      </c>
      <c r="F514" t="s">
        <v>3056</v>
      </c>
      <c r="G514" s="44" t="s">
        <v>45</v>
      </c>
      <c r="H514" s="44"/>
      <c r="I514" s="44"/>
      <c r="J514" s="44" t="s">
        <v>720</v>
      </c>
      <c r="K514" s="44" t="s">
        <v>3057</v>
      </c>
      <c r="L514" s="44" t="s">
        <v>545</v>
      </c>
      <c r="M514" s="44" t="s">
        <v>1255</v>
      </c>
      <c r="N514" s="44" t="s">
        <v>3058</v>
      </c>
      <c r="O514" s="44" t="s">
        <v>3059</v>
      </c>
      <c r="P514" s="46" t="str" cm="1">
        <f t="array" aca="1" ref="P514" ca="1">IFERROR(_xlfn.XLOOKUP(tblPedidos[[#This Row],[id_dropi]],tblNotas[[#This Row],[id__dropi]],tblNotas[[#This Row],[Notas Manuales]], “”, 0),"")</f>
        <v/>
      </c>
      <c r="Q514" s="44"/>
      <c r="R514" s="44" t="s">
        <v>3060</v>
      </c>
      <c r="S514" s="44">
        <v>26104.5</v>
      </c>
      <c r="T514" s="44">
        <v>-18795.5</v>
      </c>
      <c r="U514" s="44" cm="1">
        <f t="array" ref="U514">IFERROR(_xlfn.IFS(tblPedidos[[#This Row],[estado_operativo]]="ENTREGADO",tblPedidos[[#This Row],[ganancia_calc]],tblPedidos[[#This Row],[estado_operativo]]="DEVOLUCION",tblPedidos[[#This Row],[costo_devolucion_estimado]]),0)</f>
        <v>26104.5</v>
      </c>
      <c r="V514" s="44">
        <v>130522.5</v>
      </c>
      <c r="W514" s="44">
        <v>79900</v>
      </c>
      <c r="X514" s="44">
        <v>18795.5</v>
      </c>
      <c r="Y514" s="44">
        <v>35000</v>
      </c>
      <c r="Z514" s="11">
        <v>46039</v>
      </c>
      <c r="AA514">
        <v>5</v>
      </c>
      <c r="AB514" s="12">
        <v>0.67152777777777772</v>
      </c>
      <c r="AC514" s="44" t="s">
        <v>720</v>
      </c>
      <c r="AD514" s="44" t="s">
        <v>720</v>
      </c>
      <c r="AE514" s="44" t="s">
        <v>720</v>
      </c>
    </row>
    <row r="515" spans="1:31">
      <c r="A515" s="44" t="s">
        <v>1343</v>
      </c>
      <c r="B515" s="44" t="s">
        <v>2946</v>
      </c>
      <c r="C515" s="44">
        <v>569</v>
      </c>
      <c r="D515" s="44" t="s">
        <v>3061</v>
      </c>
      <c r="E515" s="45">
        <v>46036</v>
      </c>
      <c r="F515" t="s">
        <v>3062</v>
      </c>
      <c r="G515" s="44" t="s">
        <v>45</v>
      </c>
      <c r="H515" s="44"/>
      <c r="I515" s="44"/>
      <c r="J515" s="44" t="s">
        <v>720</v>
      </c>
      <c r="K515" s="44" t="s">
        <v>3063</v>
      </c>
      <c r="L515" s="44" t="s">
        <v>46</v>
      </c>
      <c r="M515" s="44" t="s">
        <v>3064</v>
      </c>
      <c r="N515" s="44" t="s">
        <v>3065</v>
      </c>
      <c r="O515" s="44" t="s">
        <v>3066</v>
      </c>
      <c r="P515" s="46" t="str" cm="1">
        <f t="array" aca="1" ref="P515" ca="1">IFERROR(_xlfn.XLOOKUP(tblPedidos[[#This Row],[id_dropi]],tblNotas[[#This Row],[id__dropi]],tblNotas[[#This Row],[Notas Manuales]], “”, 0),"")</f>
        <v/>
      </c>
      <c r="Q515" s="44" t="s">
        <v>50</v>
      </c>
      <c r="R515" s="44" t="s">
        <v>3014</v>
      </c>
      <c r="S515" s="44">
        <v>27379.5</v>
      </c>
      <c r="T515" s="44">
        <v>-13120.5</v>
      </c>
      <c r="U515" s="44" cm="1">
        <f t="array" ref="U515">IFERROR(_xlfn.IFS(tblPedidos[[#This Row],[estado_operativo]]="ENTREGADO",tblPedidos[[#This Row],[ganancia_calc]],tblPedidos[[#This Row],[estado_operativo]]="DEVOLUCION",tblPedidos[[#This Row],[costo_devolucion_estimado]]),0)</f>
        <v>27379.5</v>
      </c>
      <c r="V515" s="44">
        <v>136897.5</v>
      </c>
      <c r="W515" s="44">
        <v>54900</v>
      </c>
      <c r="X515" s="44">
        <v>13120.5</v>
      </c>
      <c r="Y515" s="44">
        <v>14400</v>
      </c>
      <c r="Z515" s="11">
        <v>46039</v>
      </c>
      <c r="AA515">
        <v>5</v>
      </c>
      <c r="AB515" s="12">
        <v>0.97847222222222219</v>
      </c>
      <c r="AC515" s="44" t="s">
        <v>720</v>
      </c>
      <c r="AD515" s="44" t="s">
        <v>720</v>
      </c>
      <c r="AE515" s="44" t="s">
        <v>720</v>
      </c>
    </row>
    <row r="516" spans="1:31">
      <c r="A516" t="s">
        <v>1343</v>
      </c>
      <c r="C516">
        <v>576</v>
      </c>
      <c r="D516" t="s">
        <v>3067</v>
      </c>
      <c r="E516" s="11">
        <v>46036</v>
      </c>
      <c r="F516" t="s">
        <v>3068</v>
      </c>
      <c r="G516" t="s">
        <v>45</v>
      </c>
      <c r="J516" t="s">
        <v>1657</v>
      </c>
      <c r="K516" t="s">
        <v>3069</v>
      </c>
      <c r="L516" t="s">
        <v>46</v>
      </c>
      <c r="M516" t="s">
        <v>100</v>
      </c>
      <c r="N516" t="s">
        <v>3070</v>
      </c>
      <c r="O516" t="s">
        <v>3071</v>
      </c>
      <c r="P516" s="46" t="str" cm="1">
        <f t="array" aca="1" ref="P516" ca="1">IFERROR(_xlfn.XLOOKUP(tblPedidos[[#This Row],[id_dropi]],tblNotas[[#This Row],[id__dropi]],tblNotas[[#This Row],[Notas Manuales]], “”, 0),"")</f>
        <v/>
      </c>
      <c r="Q516" t="s">
        <v>3072</v>
      </c>
      <c r="R516" t="s">
        <v>3014</v>
      </c>
      <c r="S516">
        <v>28779.5</v>
      </c>
      <c r="T516">
        <v>-11720.5</v>
      </c>
      <c r="U516" cm="1">
        <f t="array" ref="U516">IFERROR(_xlfn.IFS(tblPedidos[[#This Row],[estado_operativo]]="ENTREGADO",tblPedidos[[#This Row],[ganancia_calc]],tblPedidos[[#This Row],[estado_operativo]]="DEVOLUCION",tblPedidos[[#This Row],[costo_devolucion_estimado]]),0)</f>
        <v>-11720.5</v>
      </c>
      <c r="V516">
        <v>-11720.5</v>
      </c>
      <c r="W516">
        <v>54900</v>
      </c>
      <c r="X516">
        <v>11720.5</v>
      </c>
      <c r="Y516">
        <v>14400</v>
      </c>
      <c r="Z516" s="11">
        <v>46043</v>
      </c>
      <c r="AA516">
        <v>1</v>
      </c>
      <c r="AB516" s="12">
        <v>0.42638888888888887</v>
      </c>
      <c r="AC516" t="s">
        <v>750</v>
      </c>
      <c r="AD516" t="s">
        <v>1657</v>
      </c>
      <c r="AE516" t="s">
        <v>1657</v>
      </c>
    </row>
    <row r="517" spans="1:31">
      <c r="A517" t="s">
        <v>1343</v>
      </c>
      <c r="C517">
        <v>577</v>
      </c>
      <c r="D517" t="s">
        <v>3073</v>
      </c>
      <c r="E517" s="11">
        <v>46036</v>
      </c>
      <c r="F517" t="s">
        <v>3074</v>
      </c>
      <c r="G517" t="s">
        <v>45</v>
      </c>
      <c r="J517" t="s">
        <v>720</v>
      </c>
      <c r="K517" t="s">
        <v>3075</v>
      </c>
      <c r="L517" t="s">
        <v>152</v>
      </c>
      <c r="M517" t="s">
        <v>3076</v>
      </c>
      <c r="N517" t="s">
        <v>3077</v>
      </c>
      <c r="O517" t="s">
        <v>3078</v>
      </c>
      <c r="P517" s="46" t="str" cm="1">
        <f t="array" aca="1" ref="P517" ca="1">IFERROR(_xlfn.XLOOKUP(tblPedidos[[#This Row],[id_dropi]],tblNotas[[#This Row],[id__dropi]],tblNotas[[#This Row],[Notas Manuales]], “”, 0),"")</f>
        <v/>
      </c>
      <c r="Q517" t="s">
        <v>50</v>
      </c>
      <c r="R517" t="s">
        <v>3014</v>
      </c>
      <c r="S517">
        <v>22829.5</v>
      </c>
      <c r="T517">
        <v>-17670.5</v>
      </c>
      <c r="U517" cm="1">
        <f t="array" ref="U517">IFERROR(_xlfn.IFS(tblPedidos[[#This Row],[estado_operativo]]="ENTREGADO",tblPedidos[[#This Row],[ganancia_calc]],tblPedidos[[#This Row],[estado_operativo]]="DEVOLUCION",tblPedidos[[#This Row],[costo_devolucion_estimado]]),0)</f>
        <v>22829.5</v>
      </c>
      <c r="V517">
        <v>22829.5</v>
      </c>
      <c r="W517">
        <v>54900</v>
      </c>
      <c r="X517">
        <v>17670.5</v>
      </c>
      <c r="Y517">
        <v>14400</v>
      </c>
      <c r="Z517" s="11">
        <v>46043</v>
      </c>
      <c r="AA517">
        <v>1</v>
      </c>
      <c r="AB517" s="12">
        <v>0.82013888888888886</v>
      </c>
      <c r="AC517" t="s">
        <v>725</v>
      </c>
      <c r="AD517" t="s">
        <v>720</v>
      </c>
      <c r="AE517" t="s">
        <v>720</v>
      </c>
    </row>
    <row r="518" spans="1:31">
      <c r="A518" t="s">
        <v>1343</v>
      </c>
      <c r="C518">
        <v>575</v>
      </c>
      <c r="D518" t="s">
        <v>3079</v>
      </c>
      <c r="E518" s="11">
        <v>46036</v>
      </c>
      <c r="F518" t="s">
        <v>3080</v>
      </c>
      <c r="G518" t="s">
        <v>45</v>
      </c>
      <c r="J518" t="s">
        <v>720</v>
      </c>
      <c r="K518" t="s">
        <v>3081</v>
      </c>
      <c r="L518" t="s">
        <v>111</v>
      </c>
      <c r="M518" t="s">
        <v>112</v>
      </c>
      <c r="N518" t="s">
        <v>113</v>
      </c>
      <c r="O518" t="s">
        <v>3082</v>
      </c>
      <c r="P518" s="46" t="str" cm="1">
        <f t="array" aca="1" ref="P518" ca="1">IFERROR(_xlfn.XLOOKUP(tblPedidos[[#This Row],[id_dropi]],tblNotas[[#This Row],[id__dropi]],tblNotas[[#This Row],[Notas Manuales]], “”, 0),"")</f>
        <v/>
      </c>
      <c r="Q518" t="s">
        <v>50</v>
      </c>
      <c r="R518" t="s">
        <v>3014</v>
      </c>
      <c r="S518">
        <v>22829.5</v>
      </c>
      <c r="T518">
        <v>-17670.5</v>
      </c>
      <c r="U518" cm="1">
        <f t="array" ref="U518">IFERROR(_xlfn.IFS(tblPedidos[[#This Row],[estado_operativo]]="ENTREGADO",tblPedidos[[#This Row],[ganancia_calc]],tblPedidos[[#This Row],[estado_operativo]]="DEVOLUCION",tblPedidos[[#This Row],[costo_devolucion_estimado]]),0)</f>
        <v>22829.5</v>
      </c>
      <c r="V518">
        <v>22829.5</v>
      </c>
      <c r="W518">
        <v>54900</v>
      </c>
      <c r="X518">
        <v>17670.5</v>
      </c>
      <c r="Y518">
        <v>14400</v>
      </c>
      <c r="Z518" s="11">
        <v>46043</v>
      </c>
      <c r="AA518">
        <v>1</v>
      </c>
      <c r="AB518" s="12">
        <v>0.53472222222222221</v>
      </c>
      <c r="AC518" t="s">
        <v>2056</v>
      </c>
      <c r="AD518" t="s">
        <v>720</v>
      </c>
      <c r="AE518" t="s">
        <v>720</v>
      </c>
    </row>
    <row r="519" spans="1:31">
      <c r="A519" t="s">
        <v>1343</v>
      </c>
      <c r="C519">
        <v>573</v>
      </c>
      <c r="D519" t="s">
        <v>3083</v>
      </c>
      <c r="E519" s="11">
        <v>46036</v>
      </c>
      <c r="F519" t="s">
        <v>3084</v>
      </c>
      <c r="G519" t="s">
        <v>45</v>
      </c>
      <c r="J519" t="s">
        <v>720</v>
      </c>
      <c r="K519" t="s">
        <v>3085</v>
      </c>
      <c r="L519" t="s">
        <v>136</v>
      </c>
      <c r="M519" t="s">
        <v>3086</v>
      </c>
      <c r="N519" t="s">
        <v>3087</v>
      </c>
      <c r="O519" t="s">
        <v>3088</v>
      </c>
      <c r="P519" s="46" t="str" cm="1">
        <f t="array" aca="1" ref="P519" ca="1">IFERROR(_xlfn.XLOOKUP(tblPedidos[[#This Row],[id_dropi]],tblNotas[[#This Row],[id__dropi]],tblNotas[[#This Row],[Notas Manuales]], “”, 0),"")</f>
        <v/>
      </c>
      <c r="Q519" t="s">
        <v>50</v>
      </c>
      <c r="R519" t="s">
        <v>3014</v>
      </c>
      <c r="S519">
        <v>22829.5</v>
      </c>
      <c r="T519">
        <v>-17670.5</v>
      </c>
      <c r="U519" cm="1">
        <f t="array" ref="U519">IFERROR(_xlfn.IFS(tblPedidos[[#This Row],[estado_operativo]]="ENTREGADO",tblPedidos[[#This Row],[ganancia_calc]],tblPedidos[[#This Row],[estado_operativo]]="DEVOLUCION",tblPedidos[[#This Row],[costo_devolucion_estimado]]),0)</f>
        <v>22829.5</v>
      </c>
      <c r="V519">
        <v>22829.5</v>
      </c>
      <c r="W519">
        <v>54900</v>
      </c>
      <c r="X519">
        <v>17670.5</v>
      </c>
      <c r="Y519">
        <v>14400</v>
      </c>
      <c r="Z519" s="11">
        <v>46042</v>
      </c>
      <c r="AA519">
        <v>2</v>
      </c>
      <c r="AB519" s="12">
        <v>0.68263888888888891</v>
      </c>
      <c r="AC519" t="s">
        <v>720</v>
      </c>
      <c r="AD519" t="s">
        <v>720</v>
      </c>
      <c r="AE519" t="s">
        <v>720</v>
      </c>
    </row>
    <row r="520" spans="1:31">
      <c r="A520" t="s">
        <v>1343</v>
      </c>
      <c r="C520">
        <v>574</v>
      </c>
      <c r="D520" t="s">
        <v>3089</v>
      </c>
      <c r="E520" s="11">
        <v>46036</v>
      </c>
      <c r="F520" t="s">
        <v>3090</v>
      </c>
      <c r="G520" t="s">
        <v>45</v>
      </c>
      <c r="J520" t="s">
        <v>720</v>
      </c>
      <c r="K520" t="s">
        <v>3091</v>
      </c>
      <c r="L520" t="s">
        <v>46</v>
      </c>
      <c r="M520" t="s">
        <v>713</v>
      </c>
      <c r="N520" t="s">
        <v>3092</v>
      </c>
      <c r="O520" t="s">
        <v>3093</v>
      </c>
      <c r="P520" s="46" t="str" cm="1">
        <f t="array" aca="1" ref="P520" ca="1">IFERROR(_xlfn.XLOOKUP(tblPedidos[[#This Row],[id_dropi]],tblNotas[[#This Row],[id__dropi]],tblNotas[[#This Row],[Notas Manuales]], “”, 0),"")</f>
        <v/>
      </c>
      <c r="R520" t="s">
        <v>3014</v>
      </c>
      <c r="S520">
        <v>22751</v>
      </c>
      <c r="T520">
        <v>-12749</v>
      </c>
      <c r="U520" cm="1">
        <f t="array" ref="U520">IFERROR(_xlfn.IFS(tblPedidos[[#This Row],[estado_operativo]]="ENTREGADO",tblPedidos[[#This Row],[ganancia_calc]],tblPedidos[[#This Row],[estado_operativo]]="DEVOLUCION",tblPedidos[[#This Row],[costo_devolucion_estimado]]),0)</f>
        <v>22751</v>
      </c>
      <c r="V520">
        <v>68253</v>
      </c>
      <c r="W520">
        <v>49900</v>
      </c>
      <c r="X520">
        <v>12749</v>
      </c>
      <c r="Y520">
        <v>14400</v>
      </c>
      <c r="Z520" s="11">
        <v>46041</v>
      </c>
      <c r="AA520">
        <v>3</v>
      </c>
      <c r="AB520" s="12">
        <v>0.62430555555555556</v>
      </c>
      <c r="AC520" t="s">
        <v>720</v>
      </c>
      <c r="AD520" t="s">
        <v>720</v>
      </c>
      <c r="AE520" t="s">
        <v>720</v>
      </c>
    </row>
    <row r="521" spans="1:31">
      <c r="A521" t="s">
        <v>1343</v>
      </c>
      <c r="C521">
        <v>567</v>
      </c>
      <c r="D521" t="s">
        <v>3094</v>
      </c>
      <c r="E521" s="11">
        <v>46036</v>
      </c>
      <c r="F521" t="s">
        <v>3095</v>
      </c>
      <c r="G521" t="s">
        <v>36</v>
      </c>
      <c r="J521" t="s">
        <v>720</v>
      </c>
      <c r="K521" t="s">
        <v>3096</v>
      </c>
      <c r="L521" t="s">
        <v>81</v>
      </c>
      <c r="M521" t="s">
        <v>118</v>
      </c>
      <c r="N521" t="s">
        <v>3097</v>
      </c>
      <c r="O521" t="s">
        <v>3098</v>
      </c>
      <c r="P521" s="46" t="str" cm="1">
        <f t="array" aca="1" ref="P521" ca="1">IFERROR(_xlfn.XLOOKUP(tblPedidos[[#This Row],[id_dropi]],tblNotas[[#This Row],[id__dropi]],tblNotas[[#This Row],[Notas Manuales]], “”, 0),"")</f>
        <v/>
      </c>
      <c r="R521" t="s">
        <v>3008</v>
      </c>
      <c r="S521">
        <v>29461.5</v>
      </c>
      <c r="T521">
        <v>-12350.800000000001</v>
      </c>
      <c r="U521" cm="1">
        <f t="array" ref="U521">IFERROR(_xlfn.IFS(tblPedidos[[#This Row],[estado_operativo]]="ENTREGADO",tblPedidos[[#This Row],[ganancia_calc]],tblPedidos[[#This Row],[estado_operativo]]="DEVOLUCION",tblPedidos[[#This Row],[costo_devolucion_estimado]]),0)</f>
        <v>29461.5</v>
      </c>
      <c r="V521">
        <v>88384.5</v>
      </c>
      <c r="W521">
        <v>64900</v>
      </c>
      <c r="X521">
        <v>15438.5</v>
      </c>
      <c r="Y521">
        <v>20000</v>
      </c>
      <c r="Z521" s="11">
        <v>46038</v>
      </c>
      <c r="AA521">
        <v>6</v>
      </c>
      <c r="AB521" s="12">
        <v>0.65902777777777777</v>
      </c>
      <c r="AC521" t="s">
        <v>2990</v>
      </c>
      <c r="AD521" t="s">
        <v>720</v>
      </c>
      <c r="AE521" t="s">
        <v>720</v>
      </c>
    </row>
    <row r="522" spans="1:31">
      <c r="A522" t="s">
        <v>33</v>
      </c>
      <c r="C522">
        <v>560</v>
      </c>
      <c r="D522" t="s">
        <v>3099</v>
      </c>
      <c r="E522" s="11">
        <v>46036</v>
      </c>
      <c r="F522" t="s">
        <v>3100</v>
      </c>
      <c r="G522" t="s">
        <v>45</v>
      </c>
      <c r="J522" t="s">
        <v>1371</v>
      </c>
      <c r="K522" t="s">
        <v>3101</v>
      </c>
      <c r="L522" t="s">
        <v>38</v>
      </c>
      <c r="M522" t="s">
        <v>1081</v>
      </c>
      <c r="N522" t="s">
        <v>3102</v>
      </c>
      <c r="O522" t="s">
        <v>3103</v>
      </c>
      <c r="P522" s="46" t="str" cm="1">
        <f t="array" aca="1" ref="P522" ca="1">IFERROR(_xlfn.XLOOKUP(tblPedidos[[#This Row],[id_dropi]],tblNotas[[#This Row],[id__dropi]],tblNotas[[#This Row],[Notas Manuales]], “”, 0),"")</f>
        <v/>
      </c>
      <c r="Q522" t="s">
        <v>50</v>
      </c>
      <c r="R522" t="s">
        <v>3008</v>
      </c>
      <c r="S522">
        <v>26779.5</v>
      </c>
      <c r="T522">
        <v>-18120.5</v>
      </c>
      <c r="U522" cm="1">
        <f t="array" ref="U522">IFERROR(_xlfn.IFS(tblPedidos[[#This Row],[estado_operativo]]="ENTREGADO",tblPedidos[[#This Row],[ganancia_calc]],tblPedidos[[#This Row],[estado_operativo]]="DEVOLUCION",tblPedidos[[#This Row],[costo_devolucion_estimado]]),0)</f>
        <v>0</v>
      </c>
      <c r="V522">
        <v>0</v>
      </c>
      <c r="W522">
        <v>64900</v>
      </c>
      <c r="X522">
        <v>18120.5</v>
      </c>
      <c r="Y522">
        <v>20000</v>
      </c>
      <c r="Z522" s="11">
        <v>46043</v>
      </c>
      <c r="AA522">
        <v>1</v>
      </c>
      <c r="AB522" s="12">
        <v>0.42777777777777776</v>
      </c>
      <c r="AC522" t="s">
        <v>982</v>
      </c>
      <c r="AD522" t="s">
        <v>982</v>
      </c>
      <c r="AE522" t="s">
        <v>1371</v>
      </c>
    </row>
    <row r="523" spans="1:31">
      <c r="A523" s="44" t="s">
        <v>1343</v>
      </c>
      <c r="B523" s="44" t="s">
        <v>2946</v>
      </c>
      <c r="C523" s="44">
        <v>561</v>
      </c>
      <c r="D523" s="44" t="s">
        <v>3104</v>
      </c>
      <c r="E523" s="45">
        <v>46036</v>
      </c>
      <c r="F523" t="s">
        <v>3105</v>
      </c>
      <c r="G523" s="44" t="s">
        <v>45</v>
      </c>
      <c r="H523" s="44"/>
      <c r="I523" s="44"/>
      <c r="J523" s="44" t="s">
        <v>720</v>
      </c>
      <c r="K523" s="44" t="s">
        <v>3106</v>
      </c>
      <c r="L523" s="44" t="s">
        <v>61</v>
      </c>
      <c r="M523" s="44" t="s">
        <v>62</v>
      </c>
      <c r="N523" s="44" t="s">
        <v>3107</v>
      </c>
      <c r="O523" s="44" t="s">
        <v>3108</v>
      </c>
      <c r="P523" s="46" t="str" cm="1">
        <f t="array" aca="1" ref="P523" ca="1">IFERROR(_xlfn.XLOOKUP(tblPedidos[[#This Row],[id_dropi]],tblNotas[[#This Row],[id__dropi]],tblNotas[[#This Row],[Notas Manuales]], “”, 0),"")</f>
        <v/>
      </c>
      <c r="Q523" s="44"/>
      <c r="R523" s="44" t="s">
        <v>2983</v>
      </c>
      <c r="S523" s="44">
        <v>28104.5</v>
      </c>
      <c r="T523" s="44">
        <v>-18345.5</v>
      </c>
      <c r="U523" s="44" cm="1">
        <f t="array" ref="U523">IFERROR(_xlfn.IFS(tblPedidos[[#This Row],[estado_operativo]]="ENTREGADO",tblPedidos[[#This Row],[ganancia_calc]],tblPedidos[[#This Row],[estado_operativo]]="DEVOLUCION",tblPedidos[[#This Row],[costo_devolucion_estimado]]),0)</f>
        <v>28104.5</v>
      </c>
      <c r="V523" s="44">
        <v>140522.5</v>
      </c>
      <c r="W523" s="44">
        <v>69900</v>
      </c>
      <c r="X523" s="44">
        <v>18345.5</v>
      </c>
      <c r="Y523" s="44">
        <v>23450</v>
      </c>
      <c r="Z523" s="11">
        <v>46039</v>
      </c>
      <c r="AA523">
        <v>5</v>
      </c>
      <c r="AB523" s="12">
        <v>0.67361111111111116</v>
      </c>
      <c r="AC523" s="44" t="s">
        <v>720</v>
      </c>
      <c r="AD523" s="44" t="s">
        <v>720</v>
      </c>
      <c r="AE523" s="44" t="s">
        <v>720</v>
      </c>
    </row>
    <row r="524" spans="1:31">
      <c r="A524" t="s">
        <v>1343</v>
      </c>
      <c r="C524">
        <v>559</v>
      </c>
      <c r="D524" t="s">
        <v>3109</v>
      </c>
      <c r="E524" s="11">
        <v>46036</v>
      </c>
      <c r="F524" t="s">
        <v>3110</v>
      </c>
      <c r="G524" t="s">
        <v>36</v>
      </c>
      <c r="J524" t="s">
        <v>720</v>
      </c>
      <c r="K524" t="s">
        <v>3111</v>
      </c>
      <c r="L524" t="s">
        <v>38</v>
      </c>
      <c r="M524" t="s">
        <v>1320</v>
      </c>
      <c r="N524" t="s">
        <v>3112</v>
      </c>
      <c r="O524" t="s">
        <v>3113</v>
      </c>
      <c r="P524" s="46" t="str" cm="1">
        <f t="array" aca="1" ref="P524" ca="1">IFERROR(_xlfn.XLOOKUP(tblPedidos[[#This Row],[id_dropi]],tblNotas[[#This Row],[id__dropi]],tblNotas[[#This Row],[Notas Manuales]], “”, 0),"")</f>
        <v/>
      </c>
      <c r="R524" t="s">
        <v>2983</v>
      </c>
      <c r="S524">
        <v>30786.5</v>
      </c>
      <c r="T524">
        <v>-12530.800000000001</v>
      </c>
      <c r="U524" cm="1">
        <f t="array" ref="U524">IFERROR(_xlfn.IFS(tblPedidos[[#This Row],[estado_operativo]]="ENTREGADO",tblPedidos[[#This Row],[ganancia_calc]],tblPedidos[[#This Row],[estado_operativo]]="DEVOLUCION",tblPedidos[[#This Row],[costo_devolucion_estimado]]),0)</f>
        <v>30786.5</v>
      </c>
      <c r="V524">
        <v>92359.5</v>
      </c>
      <c r="W524">
        <v>69900</v>
      </c>
      <c r="X524">
        <v>15663.5</v>
      </c>
      <c r="Y524">
        <v>23450</v>
      </c>
      <c r="Z524" s="11">
        <v>46037</v>
      </c>
      <c r="AA524">
        <v>7</v>
      </c>
      <c r="AB524" s="12">
        <v>0.87569444444444444</v>
      </c>
      <c r="AC524" t="s">
        <v>399</v>
      </c>
      <c r="AD524" t="s">
        <v>720</v>
      </c>
      <c r="AE524" t="s">
        <v>720</v>
      </c>
    </row>
    <row r="525" spans="1:31">
      <c r="A525" t="s">
        <v>33</v>
      </c>
      <c r="C525">
        <v>557</v>
      </c>
      <c r="D525" t="s">
        <v>3114</v>
      </c>
      <c r="E525" s="11">
        <v>46036</v>
      </c>
      <c r="F525" t="s">
        <v>3115</v>
      </c>
      <c r="G525" t="s">
        <v>36</v>
      </c>
      <c r="J525" t="s">
        <v>720</v>
      </c>
      <c r="K525" t="s">
        <v>3116</v>
      </c>
      <c r="L525" t="s">
        <v>38</v>
      </c>
      <c r="M525" t="s">
        <v>39</v>
      </c>
      <c r="N525" t="s">
        <v>3117</v>
      </c>
      <c r="O525" t="s">
        <v>3118</v>
      </c>
      <c r="P525" s="46" t="str" cm="1">
        <f t="array" aca="1" ref="P525" ca="1">IFERROR(_xlfn.XLOOKUP(tblPedidos[[#This Row],[id_dropi]],tblNotas[[#This Row],[id__dropi]],tblNotas[[#This Row],[Notas Manuales]], “”, 0),"")</f>
        <v/>
      </c>
      <c r="R525" t="s">
        <v>2983</v>
      </c>
      <c r="S525">
        <v>30786.5</v>
      </c>
      <c r="T525">
        <v>-12530.800000000001</v>
      </c>
      <c r="U525" cm="1">
        <f t="array" ref="U525">IFERROR(_xlfn.IFS(tblPedidos[[#This Row],[estado_operativo]]="ENTREGADO",tblPedidos[[#This Row],[ganancia_calc]],tblPedidos[[#This Row],[estado_operativo]]="DEVOLUCION",tblPedidos[[#This Row],[costo_devolucion_estimado]]),0)</f>
        <v>30786.5</v>
      </c>
      <c r="V525">
        <v>0</v>
      </c>
      <c r="W525">
        <v>69900</v>
      </c>
      <c r="X525">
        <v>15663.5</v>
      </c>
      <c r="Y525">
        <v>23450</v>
      </c>
      <c r="Z525" s="11">
        <v>46038</v>
      </c>
      <c r="AA525">
        <v>6</v>
      </c>
      <c r="AB525" s="12">
        <v>0.87291666666666667</v>
      </c>
      <c r="AC525" t="s">
        <v>399</v>
      </c>
      <c r="AD525" t="s">
        <v>720</v>
      </c>
      <c r="AE525" t="s">
        <v>720</v>
      </c>
    </row>
    <row r="526" spans="1:31">
      <c r="A526" t="s">
        <v>33</v>
      </c>
      <c r="C526">
        <v>558</v>
      </c>
      <c r="D526" t="s">
        <v>3119</v>
      </c>
      <c r="E526" s="11">
        <v>46036</v>
      </c>
      <c r="F526" t="s">
        <v>3120</v>
      </c>
      <c r="G526" t="s">
        <v>36</v>
      </c>
      <c r="J526" t="s">
        <v>750</v>
      </c>
      <c r="K526" t="s">
        <v>3121</v>
      </c>
      <c r="L526" t="s">
        <v>54</v>
      </c>
      <c r="M526" t="s">
        <v>373</v>
      </c>
      <c r="N526" t="s">
        <v>3122</v>
      </c>
      <c r="O526" t="s">
        <v>3123</v>
      </c>
      <c r="P526" s="46" t="str" cm="1">
        <f t="array" aca="1" ref="P526" ca="1">IFERROR(_xlfn.XLOOKUP(tblPedidos[[#This Row],[id_dropi]],tblNotas[[#This Row],[id__dropi]],tblNotas[[#This Row],[Notas Manuales]], “”, 0),"")</f>
        <v/>
      </c>
      <c r="R526" t="s">
        <v>2983</v>
      </c>
      <c r="S526">
        <v>32946.5</v>
      </c>
      <c r="T526">
        <v>-10802.800000000001</v>
      </c>
      <c r="U526" cm="1">
        <f t="array" ref="U526">IFERROR(_xlfn.IFS(tblPedidos[[#This Row],[estado_operativo]]="ENTREGADO",tblPedidos[[#This Row],[ganancia_calc]],tblPedidos[[#This Row],[estado_operativo]]="DEVOLUCION",tblPedidos[[#This Row],[costo_devolucion_estimado]]),0)</f>
        <v>0</v>
      </c>
      <c r="V526">
        <v>0</v>
      </c>
      <c r="W526">
        <v>69900</v>
      </c>
      <c r="X526">
        <v>13503.5</v>
      </c>
      <c r="Y526">
        <v>23450</v>
      </c>
      <c r="Z526" s="11">
        <v>46038</v>
      </c>
      <c r="AA526">
        <v>6</v>
      </c>
      <c r="AB526" s="12">
        <v>0.87291666666666667</v>
      </c>
      <c r="AC526" t="s">
        <v>399</v>
      </c>
      <c r="AD526" t="s">
        <v>1027</v>
      </c>
      <c r="AE526" t="s">
        <v>750</v>
      </c>
    </row>
    <row r="527" spans="1:31">
      <c r="A527" t="s">
        <v>33</v>
      </c>
      <c r="C527">
        <v>565</v>
      </c>
      <c r="D527" t="s">
        <v>3124</v>
      </c>
      <c r="E527" s="11">
        <v>46036</v>
      </c>
      <c r="F527" t="s">
        <v>3125</v>
      </c>
      <c r="G527" t="s">
        <v>45</v>
      </c>
      <c r="J527" t="s">
        <v>1371</v>
      </c>
      <c r="K527" t="s">
        <v>3126</v>
      </c>
      <c r="L527" t="s">
        <v>427</v>
      </c>
      <c r="M527" t="s">
        <v>3127</v>
      </c>
      <c r="N527" t="s">
        <v>3128</v>
      </c>
      <c r="O527" t="s">
        <v>3129</v>
      </c>
      <c r="P527" s="46" t="str" cm="1">
        <f t="array" aca="1" ref="P527" ca="1">IFERROR(_xlfn.XLOOKUP(tblPedidos[[#This Row],[id_dropi]],tblNotas[[#This Row],[id__dropi]],tblNotas[[#This Row],[Notas Manuales]], “”, 0),"")</f>
        <v/>
      </c>
      <c r="Q527" t="s">
        <v>50</v>
      </c>
      <c r="R527" t="s">
        <v>3130</v>
      </c>
      <c r="S527">
        <v>29869.5</v>
      </c>
      <c r="T527">
        <v>-33130.5</v>
      </c>
      <c r="U527" cm="1">
        <f t="array" ref="U527">IFERROR(_xlfn.IFS(tblPedidos[[#This Row],[estado_operativo]]="ENTREGADO",tblPedidos[[#This Row],[ganancia_calc]],tblPedidos[[#This Row],[estado_operativo]]="DEVOLUCION",tblPedidos[[#This Row],[costo_devolucion_estimado]]),0)</f>
        <v>0</v>
      </c>
      <c r="V527">
        <v>0</v>
      </c>
      <c r="W527">
        <v>102900</v>
      </c>
      <c r="X527">
        <v>33130.5</v>
      </c>
      <c r="Y527">
        <v>39900</v>
      </c>
      <c r="Z527" s="11">
        <v>46043</v>
      </c>
      <c r="AA527">
        <v>1</v>
      </c>
      <c r="AB527" s="12">
        <v>0.42777777777777776</v>
      </c>
      <c r="AC527" t="s">
        <v>982</v>
      </c>
      <c r="AD527" t="s">
        <v>982</v>
      </c>
      <c r="AE527" t="s">
        <v>1371</v>
      </c>
    </row>
    <row r="528" spans="1:31">
      <c r="A528" t="s">
        <v>1343</v>
      </c>
      <c r="C528">
        <v>566</v>
      </c>
      <c r="D528" t="s">
        <v>3131</v>
      </c>
      <c r="E528" s="11">
        <v>46036</v>
      </c>
      <c r="F528" t="s">
        <v>3132</v>
      </c>
      <c r="G528" t="s">
        <v>36</v>
      </c>
      <c r="J528" t="s">
        <v>720</v>
      </c>
      <c r="K528" t="s">
        <v>3133</v>
      </c>
      <c r="L528" t="s">
        <v>81</v>
      </c>
      <c r="M528" t="s">
        <v>3134</v>
      </c>
      <c r="N528" t="s">
        <v>3135</v>
      </c>
      <c r="O528" t="s">
        <v>3136</v>
      </c>
      <c r="P528" s="46" t="str" cm="1">
        <f t="array" aca="1" ref="P528" ca="1">IFERROR(_xlfn.XLOOKUP(tblPedidos[[#This Row],[id_dropi]],tblNotas[[#This Row],[id__dropi]],tblNotas[[#This Row],[Notas Manuales]], “”, 0),"")</f>
        <v/>
      </c>
      <c r="R528" t="s">
        <v>3137</v>
      </c>
      <c r="S528">
        <v>26896.5</v>
      </c>
      <c r="T528">
        <v>-10442.800000000001</v>
      </c>
      <c r="U528" cm="1">
        <f t="array" ref="U528">IFERROR(_xlfn.IFS(tblPedidos[[#This Row],[estado_operativo]]="ENTREGADO",tblPedidos[[#This Row],[ganancia_calc]],tblPedidos[[#This Row],[estado_operativo]]="DEVOLUCION",tblPedidos[[#This Row],[costo_devolucion_estimado]]),0)</f>
        <v>26896.5</v>
      </c>
      <c r="V528">
        <v>26896.5</v>
      </c>
      <c r="W528">
        <v>59900</v>
      </c>
      <c r="X528">
        <v>13053.5</v>
      </c>
      <c r="Y528">
        <v>19950</v>
      </c>
      <c r="Z528" s="11">
        <v>46038</v>
      </c>
      <c r="AA528">
        <v>6</v>
      </c>
      <c r="AB528" s="12">
        <v>0.87361111111111112</v>
      </c>
      <c r="AC528" t="s">
        <v>399</v>
      </c>
      <c r="AD528" t="s">
        <v>720</v>
      </c>
      <c r="AE528" t="s">
        <v>720</v>
      </c>
    </row>
    <row r="529" spans="1:31">
      <c r="A529" t="s">
        <v>1343</v>
      </c>
      <c r="C529">
        <v>564</v>
      </c>
      <c r="D529" t="s">
        <v>3138</v>
      </c>
      <c r="E529" s="11">
        <v>46036</v>
      </c>
      <c r="F529" t="s">
        <v>3139</v>
      </c>
      <c r="G529" t="s">
        <v>45</v>
      </c>
      <c r="J529" t="s">
        <v>720</v>
      </c>
      <c r="K529" t="s">
        <v>3140</v>
      </c>
      <c r="L529" t="s">
        <v>74</v>
      </c>
      <c r="M529" t="s">
        <v>3141</v>
      </c>
      <c r="N529" t="s">
        <v>3142</v>
      </c>
      <c r="O529" t="s">
        <v>3143</v>
      </c>
      <c r="P529" s="46" t="str" cm="1">
        <f t="array" aca="1" ref="P529" ca="1">IFERROR(_xlfn.XLOOKUP(tblPedidos[[#This Row],[id_dropi]],tblNotas[[#This Row],[id__dropi]],tblNotas[[#This Row],[Notas Manuales]], “”, 0),"")</f>
        <v/>
      </c>
      <c r="R529" t="s">
        <v>3027</v>
      </c>
      <c r="S529">
        <v>20654.5</v>
      </c>
      <c r="T529">
        <v>-19245.5</v>
      </c>
      <c r="U529" cm="1">
        <f t="array" ref="U529">IFERROR(_xlfn.IFS(tblPedidos[[#This Row],[estado_operativo]]="ENTREGADO",tblPedidos[[#This Row],[ganancia_calc]],tblPedidos[[#This Row],[estado_operativo]]="DEVOLUCION",tblPedidos[[#This Row],[costo_devolucion_estimado]]),0)</f>
        <v>20654.5</v>
      </c>
      <c r="V529">
        <v>20654.5</v>
      </c>
      <c r="W529">
        <v>89900</v>
      </c>
      <c r="X529">
        <v>19245.5</v>
      </c>
      <c r="Y529">
        <v>50000</v>
      </c>
      <c r="Z529" s="11">
        <v>46042</v>
      </c>
      <c r="AA529">
        <v>2</v>
      </c>
      <c r="AB529" s="12">
        <v>0.75694444444444442</v>
      </c>
      <c r="AC529" t="s">
        <v>720</v>
      </c>
      <c r="AD529" t="s">
        <v>720</v>
      </c>
      <c r="AE529" t="s">
        <v>720</v>
      </c>
    </row>
    <row r="530" spans="1:31" s="44" customFormat="1">
      <c r="A530" t="s">
        <v>33</v>
      </c>
      <c r="B530"/>
      <c r="C530">
        <v>562</v>
      </c>
      <c r="D530" t="s">
        <v>3144</v>
      </c>
      <c r="E530" s="11">
        <v>46036</v>
      </c>
      <c r="F530" t="s">
        <v>3145</v>
      </c>
      <c r="G530" t="s">
        <v>36</v>
      </c>
      <c r="H530"/>
      <c r="I530"/>
      <c r="J530" t="s">
        <v>939</v>
      </c>
      <c r="K530" t="s">
        <v>3146</v>
      </c>
      <c r="L530" t="s">
        <v>54</v>
      </c>
      <c r="M530" t="s">
        <v>1491</v>
      </c>
      <c r="N530" t="s">
        <v>3147</v>
      </c>
      <c r="O530" t="s">
        <v>3148</v>
      </c>
      <c r="P530" s="46" t="str" cm="1">
        <f t="array" aca="1" ref="P530" ca="1">IFERROR(_xlfn.XLOOKUP(tblPedidos[[#This Row],[id_dropi]],tblNotas[[#This Row],[id__dropi]],tblNotas[[#This Row],[Notas Manuales]], “”, 0),"")</f>
        <v/>
      </c>
      <c r="Q530"/>
      <c r="R530" t="s">
        <v>3149</v>
      </c>
      <c r="S530">
        <v>19686.5</v>
      </c>
      <c r="T530">
        <v>-12170.800000000001</v>
      </c>
      <c r="U530" cm="1">
        <f t="array" ref="U530">IFERROR(_xlfn.IFS(tblPedidos[[#This Row],[estado_operativo]]="ENTREGADO",tblPedidos[[#This Row],[ganancia_calc]],tblPedidos[[#This Row],[estado_operativo]]="DEVOLUCION",tblPedidos[[#This Row],[costo_devolucion_estimado]]),0)</f>
        <v>0</v>
      </c>
      <c r="V530">
        <v>0</v>
      </c>
      <c r="W530">
        <v>59900</v>
      </c>
      <c r="X530">
        <v>15213.5</v>
      </c>
      <c r="Y530">
        <v>25000</v>
      </c>
      <c r="Z530" s="11">
        <v>46036</v>
      </c>
      <c r="AA530">
        <v>8</v>
      </c>
      <c r="AB530" s="12">
        <v>0.91041666666666665</v>
      </c>
      <c r="AC530" t="s">
        <v>399</v>
      </c>
      <c r="AD530" t="s">
        <v>939</v>
      </c>
      <c r="AE530" t="s">
        <v>939</v>
      </c>
    </row>
    <row r="531" spans="1:31">
      <c r="A531" t="s">
        <v>33</v>
      </c>
      <c r="C531">
        <v>563</v>
      </c>
      <c r="D531" t="s">
        <v>3150</v>
      </c>
      <c r="E531" s="11">
        <v>46036</v>
      </c>
      <c r="F531" t="s">
        <v>3151</v>
      </c>
      <c r="G531" t="s">
        <v>45</v>
      </c>
      <c r="J531" t="s">
        <v>720</v>
      </c>
      <c r="K531" t="s">
        <v>3152</v>
      </c>
      <c r="L531" t="s">
        <v>81</v>
      </c>
      <c r="M531" t="s">
        <v>3153</v>
      </c>
      <c r="N531" t="s">
        <v>3154</v>
      </c>
      <c r="O531" t="s">
        <v>3155</v>
      </c>
      <c r="P531" s="46" t="str" cm="1">
        <f t="array" aca="1" ref="P531" ca="1">IFERROR(_xlfn.XLOOKUP(tblPedidos[[#This Row],[id_dropi]],tblNotas[[#This Row],[id__dropi]],tblNotas[[#This Row],[Notas Manuales]], “”, 0),"")</f>
        <v/>
      </c>
      <c r="Q531" t="s">
        <v>50</v>
      </c>
      <c r="R531" t="s">
        <v>2983</v>
      </c>
      <c r="S531">
        <v>28104.5</v>
      </c>
      <c r="T531">
        <v>-18345.5</v>
      </c>
      <c r="U531" cm="1">
        <f t="array" ref="U531">IFERROR(_xlfn.IFS(tblPedidos[[#This Row],[estado_operativo]]="ENTREGADO",tblPedidos[[#This Row],[ganancia_calc]],tblPedidos[[#This Row],[estado_operativo]]="DEVOLUCION",tblPedidos[[#This Row],[costo_devolucion_estimado]]),0)</f>
        <v>28104.5</v>
      </c>
      <c r="V531">
        <v>0</v>
      </c>
      <c r="W531">
        <v>69900</v>
      </c>
      <c r="X531">
        <v>18345.5</v>
      </c>
      <c r="Y531">
        <v>23450</v>
      </c>
      <c r="Z531" s="11">
        <v>46043</v>
      </c>
      <c r="AA531">
        <v>1</v>
      </c>
      <c r="AB531" s="12">
        <v>0.42916666666666664</v>
      </c>
      <c r="AC531" t="s">
        <v>982</v>
      </c>
      <c r="AD531" t="s">
        <v>720</v>
      </c>
      <c r="AE531" t="s">
        <v>720</v>
      </c>
    </row>
    <row r="532" spans="1:31">
      <c r="A532" t="s">
        <v>1343</v>
      </c>
      <c r="C532">
        <v>533</v>
      </c>
      <c r="D532" t="s">
        <v>3156</v>
      </c>
      <c r="E532" s="11">
        <v>46035</v>
      </c>
      <c r="F532" t="s">
        <v>3157</v>
      </c>
      <c r="G532" t="s">
        <v>45</v>
      </c>
      <c r="J532" t="s">
        <v>720</v>
      </c>
      <c r="K532" t="s">
        <v>3158</v>
      </c>
      <c r="L532" t="s">
        <v>61</v>
      </c>
      <c r="M532" t="s">
        <v>3159</v>
      </c>
      <c r="N532" t="s">
        <v>3160</v>
      </c>
      <c r="O532" t="s">
        <v>3161</v>
      </c>
      <c r="P532" s="46" t="str" cm="1">
        <f t="array" aca="1" ref="P532" ca="1">IFERROR(_xlfn.XLOOKUP(tblPedidos[[#This Row],[id_dropi]],tblNotas[[#This Row],[id__dropi]],tblNotas[[#This Row],[Notas Manuales]], “”, 0),"")</f>
        <v/>
      </c>
      <c r="Q532" t="s">
        <v>50</v>
      </c>
      <c r="R532" t="s">
        <v>3162</v>
      </c>
      <c r="S532">
        <v>19004.5</v>
      </c>
      <c r="T532">
        <v>-17895.5</v>
      </c>
      <c r="U532" cm="1">
        <f t="array" ref="U532">IFERROR(_xlfn.IFS(tblPedidos[[#This Row],[estado_operativo]]="ENTREGADO",tblPedidos[[#This Row],[ganancia_calc]],tblPedidos[[#This Row],[estado_operativo]]="DEVOLUCION",tblPedidos[[#This Row],[costo_devolucion_estimado]]),0)</f>
        <v>19004.5</v>
      </c>
      <c r="V532">
        <v>57013.5</v>
      </c>
      <c r="W532">
        <v>59900</v>
      </c>
      <c r="X532">
        <v>17895.5</v>
      </c>
      <c r="Y532">
        <v>23000</v>
      </c>
      <c r="Z532" s="11">
        <v>46041</v>
      </c>
      <c r="AA532">
        <v>3</v>
      </c>
      <c r="AB532" s="12">
        <v>0.65625</v>
      </c>
      <c r="AC532" t="s">
        <v>720</v>
      </c>
      <c r="AD532" t="s">
        <v>720</v>
      </c>
      <c r="AE532" t="s">
        <v>720</v>
      </c>
    </row>
    <row r="533" spans="1:31">
      <c r="A533" t="s">
        <v>33</v>
      </c>
      <c r="C533">
        <v>534</v>
      </c>
      <c r="D533" t="s">
        <v>3163</v>
      </c>
      <c r="E533" s="11">
        <v>46035</v>
      </c>
      <c r="F533" t="s">
        <v>3164</v>
      </c>
      <c r="G533" t="s">
        <v>45</v>
      </c>
      <c r="J533" t="s">
        <v>1371</v>
      </c>
      <c r="K533" t="s">
        <v>3165</v>
      </c>
      <c r="L533" t="s">
        <v>81</v>
      </c>
      <c r="M533" t="s">
        <v>2720</v>
      </c>
      <c r="N533" t="s">
        <v>3166</v>
      </c>
      <c r="O533" t="s">
        <v>3167</v>
      </c>
      <c r="P533" s="46" t="str" cm="1">
        <f t="array" aca="1" ref="P533" ca="1">IFERROR(_xlfn.XLOOKUP(tblPedidos[[#This Row],[id_dropi]],tblNotas[[#This Row],[id__dropi]],tblNotas[[#This Row],[Notas Manuales]], “”, 0),"")</f>
        <v/>
      </c>
      <c r="Q533" t="s">
        <v>50</v>
      </c>
      <c r="R533" t="s">
        <v>3033</v>
      </c>
      <c r="S533">
        <v>17004.5</v>
      </c>
      <c r="T533">
        <v>-17895.5</v>
      </c>
      <c r="U533" cm="1">
        <f t="array" ref="U533">IFERROR(_xlfn.IFS(tblPedidos[[#This Row],[estado_operativo]]="ENTREGADO",tblPedidos[[#This Row],[ganancia_calc]],tblPedidos[[#This Row],[estado_operativo]]="DEVOLUCION",tblPedidos[[#This Row],[costo_devolucion_estimado]]),0)</f>
        <v>0</v>
      </c>
      <c r="V533">
        <v>0</v>
      </c>
      <c r="W533">
        <v>59900</v>
      </c>
      <c r="X533">
        <v>17895.5</v>
      </c>
      <c r="Y533">
        <v>25000</v>
      </c>
      <c r="Z533" s="11">
        <v>46043</v>
      </c>
      <c r="AA533">
        <v>1</v>
      </c>
      <c r="AB533" s="12">
        <v>0.43402777777777779</v>
      </c>
      <c r="AC533" t="s">
        <v>982</v>
      </c>
      <c r="AD533" t="s">
        <v>982</v>
      </c>
      <c r="AE533" t="s">
        <v>1371</v>
      </c>
    </row>
    <row r="534" spans="1:31">
      <c r="A534" t="s">
        <v>1343</v>
      </c>
      <c r="C534">
        <v>496</v>
      </c>
      <c r="D534" t="s">
        <v>3168</v>
      </c>
      <c r="E534" s="11">
        <v>46035</v>
      </c>
      <c r="F534" t="s">
        <v>3169</v>
      </c>
      <c r="G534" t="s">
        <v>317</v>
      </c>
      <c r="J534" t="s">
        <v>720</v>
      </c>
      <c r="K534" t="s">
        <v>3170</v>
      </c>
      <c r="L534" t="s">
        <v>46</v>
      </c>
      <c r="M534" t="s">
        <v>100</v>
      </c>
      <c r="N534" t="s">
        <v>3171</v>
      </c>
      <c r="O534" t="s">
        <v>3172</v>
      </c>
      <c r="P534" s="46" t="str" cm="1">
        <f t="array" aca="1" ref="P534" ca="1">IFERROR(_xlfn.XLOOKUP(tblPedidos[[#This Row],[id_dropi]],tblNotas[[#This Row],[id__dropi]],tblNotas[[#This Row],[Notas Manuales]], “”, 0),"")</f>
        <v/>
      </c>
      <c r="R534" t="s">
        <v>3033</v>
      </c>
      <c r="S534">
        <v>22103</v>
      </c>
      <c r="T534">
        <v>-10237.6</v>
      </c>
      <c r="U534" cm="1">
        <f t="array" ref="U534">IFERROR(_xlfn.IFS(tblPedidos[[#This Row],[estado_operativo]]="ENTREGADO",tblPedidos[[#This Row],[ganancia_calc]],tblPedidos[[#This Row],[estado_operativo]]="DEVOLUCION",tblPedidos[[#This Row],[costo_devolucion_estimado]]),0)</f>
        <v>22103</v>
      </c>
      <c r="V534">
        <v>110515</v>
      </c>
      <c r="W534">
        <v>59900</v>
      </c>
      <c r="X534">
        <v>12797</v>
      </c>
      <c r="Y534">
        <v>25000</v>
      </c>
      <c r="Z534" s="11">
        <v>46038</v>
      </c>
      <c r="AA534">
        <v>6</v>
      </c>
      <c r="AB534" s="12">
        <v>0.52083333333333337</v>
      </c>
      <c r="AC534" t="s">
        <v>720</v>
      </c>
      <c r="AD534" t="s">
        <v>720</v>
      </c>
      <c r="AE534" t="s">
        <v>720</v>
      </c>
    </row>
    <row r="535" spans="1:31">
      <c r="A535" t="s">
        <v>1343</v>
      </c>
      <c r="C535">
        <v>497</v>
      </c>
      <c r="D535" t="s">
        <v>3173</v>
      </c>
      <c r="E535" s="11">
        <v>46035</v>
      </c>
      <c r="F535" t="s">
        <v>3174</v>
      </c>
      <c r="G535" t="s">
        <v>36</v>
      </c>
      <c r="J535" t="s">
        <v>720</v>
      </c>
      <c r="K535" t="s">
        <v>3175</v>
      </c>
      <c r="L535" t="s">
        <v>54</v>
      </c>
      <c r="M535" t="s">
        <v>373</v>
      </c>
      <c r="N535" t="s">
        <v>3176</v>
      </c>
      <c r="O535" t="s">
        <v>3177</v>
      </c>
      <c r="P535" s="46" t="str" cm="1">
        <f t="array" aca="1" ref="P535" ca="1">IFERROR(_xlfn.XLOOKUP(tblPedidos[[#This Row],[id_dropi]],tblNotas[[#This Row],[id__dropi]],tblNotas[[#This Row],[Notas Manuales]], “”, 0),"")</f>
        <v/>
      </c>
      <c r="R535" t="s">
        <v>3033</v>
      </c>
      <c r="S535">
        <v>19686.5</v>
      </c>
      <c r="T535">
        <v>-12170.800000000001</v>
      </c>
      <c r="U535" cm="1">
        <f t="array" ref="U535">IFERROR(_xlfn.IFS(tblPedidos[[#This Row],[estado_operativo]]="ENTREGADO",tblPedidos[[#This Row],[ganancia_calc]],tblPedidos[[#This Row],[estado_operativo]]="DEVOLUCION",tblPedidos[[#This Row],[costo_devolucion_estimado]]),0)</f>
        <v>19686.5</v>
      </c>
      <c r="V535">
        <v>19686.5</v>
      </c>
      <c r="W535">
        <v>59900</v>
      </c>
      <c r="X535">
        <v>15213.5</v>
      </c>
      <c r="Y535">
        <v>25000</v>
      </c>
      <c r="Z535" s="11">
        <v>46037</v>
      </c>
      <c r="AA535">
        <v>7</v>
      </c>
      <c r="AB535" s="12">
        <v>0.57986111111111116</v>
      </c>
      <c r="AC535" t="s">
        <v>788</v>
      </c>
      <c r="AD535" t="s">
        <v>720</v>
      </c>
      <c r="AE535" t="s">
        <v>720</v>
      </c>
    </row>
    <row r="536" spans="1:31">
      <c r="A536" t="s">
        <v>33</v>
      </c>
      <c r="C536">
        <v>498</v>
      </c>
      <c r="D536" t="s">
        <v>3178</v>
      </c>
      <c r="E536" s="11">
        <v>46035</v>
      </c>
      <c r="F536" t="s">
        <v>3179</v>
      </c>
      <c r="G536" t="s">
        <v>36</v>
      </c>
      <c r="J536" t="s">
        <v>522</v>
      </c>
      <c r="K536" t="s">
        <v>3180</v>
      </c>
      <c r="L536" t="s">
        <v>81</v>
      </c>
      <c r="M536" t="s">
        <v>118</v>
      </c>
      <c r="N536" t="s">
        <v>3181</v>
      </c>
      <c r="O536" t="s">
        <v>3182</v>
      </c>
      <c r="P536" s="46" t="str" cm="1">
        <f t="array" aca="1" ref="P536" ca="1">IFERROR(_xlfn.XLOOKUP(tblPedidos[[#This Row],[id_dropi]],tblNotas[[#This Row],[id__dropi]],tblNotas[[#This Row],[Notas Manuales]], “”, 0),"")</f>
        <v/>
      </c>
      <c r="R536" t="s">
        <v>3033</v>
      </c>
      <c r="S536">
        <v>19686.5</v>
      </c>
      <c r="T536">
        <v>-12170.800000000001</v>
      </c>
      <c r="U536" cm="1">
        <f t="array" ref="U536">IFERROR(_xlfn.IFS(tblPedidos[[#This Row],[estado_operativo]]="ENTREGADO",tblPedidos[[#This Row],[ganancia_calc]],tblPedidos[[#This Row],[estado_operativo]]="DEVOLUCION",tblPedidos[[#This Row],[costo_devolucion_estimado]]),0)</f>
        <v>0</v>
      </c>
      <c r="V536">
        <v>0</v>
      </c>
      <c r="W536">
        <v>59900</v>
      </c>
      <c r="X536">
        <v>15213.5</v>
      </c>
      <c r="Y536">
        <v>25000</v>
      </c>
      <c r="Z536" s="11">
        <v>46037</v>
      </c>
      <c r="AA536">
        <v>7</v>
      </c>
      <c r="AB536" s="12">
        <v>0.57986111111111116</v>
      </c>
      <c r="AC536" t="s">
        <v>788</v>
      </c>
      <c r="AD536" t="s">
        <v>527</v>
      </c>
      <c r="AE536" t="s">
        <v>522</v>
      </c>
    </row>
    <row r="537" spans="1:31">
      <c r="A537" t="s">
        <v>33</v>
      </c>
      <c r="C537">
        <v>493</v>
      </c>
      <c r="D537" t="s">
        <v>3183</v>
      </c>
      <c r="E537" s="11">
        <v>46035</v>
      </c>
      <c r="F537" t="s">
        <v>3184</v>
      </c>
      <c r="G537" t="s">
        <v>45</v>
      </c>
      <c r="J537" t="s">
        <v>720</v>
      </c>
      <c r="K537" t="s">
        <v>3185</v>
      </c>
      <c r="L537" t="s">
        <v>152</v>
      </c>
      <c r="M537" t="s">
        <v>153</v>
      </c>
      <c r="N537" t="s">
        <v>3186</v>
      </c>
      <c r="O537" t="s">
        <v>3187</v>
      </c>
      <c r="P537" s="46" t="str" cm="1">
        <f t="array" aca="1" ref="P537" ca="1">IFERROR(_xlfn.XLOOKUP(tblPedidos[[#This Row],[id_dropi]],tblNotas[[#This Row],[id__dropi]],tblNotas[[#This Row],[Notas Manuales]], “”, 0),"")</f>
        <v/>
      </c>
      <c r="R537" t="s">
        <v>3033</v>
      </c>
      <c r="S537">
        <v>17004.5</v>
      </c>
      <c r="T537">
        <v>-17895.5</v>
      </c>
      <c r="U537" cm="1">
        <f t="array" ref="U537">IFERROR(_xlfn.IFS(tblPedidos[[#This Row],[estado_operativo]]="ENTREGADO",tblPedidos[[#This Row],[ganancia_calc]],tblPedidos[[#This Row],[estado_operativo]]="DEVOLUCION",tblPedidos[[#This Row],[costo_devolucion_estimado]]),0)</f>
        <v>17004.5</v>
      </c>
      <c r="V537">
        <v>0</v>
      </c>
      <c r="W537">
        <v>59900</v>
      </c>
      <c r="X537">
        <v>17895.5</v>
      </c>
      <c r="Y537">
        <v>25000</v>
      </c>
      <c r="Z537" s="11">
        <v>46043</v>
      </c>
      <c r="AA537">
        <v>1</v>
      </c>
      <c r="AB537" s="12">
        <v>0.67152777777777772</v>
      </c>
      <c r="AC537" t="s">
        <v>725</v>
      </c>
      <c r="AD537" t="s">
        <v>720</v>
      </c>
      <c r="AE537" t="s">
        <v>720</v>
      </c>
    </row>
    <row r="538" spans="1:31">
      <c r="A538" t="s">
        <v>1343</v>
      </c>
      <c r="C538">
        <v>494</v>
      </c>
      <c r="D538" t="s">
        <v>3188</v>
      </c>
      <c r="E538" s="11">
        <v>46035</v>
      </c>
      <c r="F538" t="s">
        <v>3189</v>
      </c>
      <c r="G538" t="s">
        <v>45</v>
      </c>
      <c r="J538" t="s">
        <v>720</v>
      </c>
      <c r="K538" t="s">
        <v>3190</v>
      </c>
      <c r="L538" t="s">
        <v>212</v>
      </c>
      <c r="M538" t="s">
        <v>213</v>
      </c>
      <c r="N538" t="s">
        <v>3191</v>
      </c>
      <c r="O538" t="s">
        <v>3192</v>
      </c>
      <c r="P538" s="46" t="str" cm="1">
        <f t="array" aca="1" ref="P538" ca="1">IFERROR(_xlfn.XLOOKUP(tblPedidos[[#This Row],[id_dropi]],tblNotas[[#This Row],[id__dropi]],tblNotas[[#This Row],[Notas Manuales]], “”, 0),"")</f>
        <v/>
      </c>
      <c r="Q538" t="s">
        <v>50</v>
      </c>
      <c r="R538" t="s">
        <v>3027</v>
      </c>
      <c r="S538">
        <v>20654.5</v>
      </c>
      <c r="T538">
        <v>-19245.5</v>
      </c>
      <c r="U538" cm="1">
        <f t="array" ref="U538">IFERROR(_xlfn.IFS(tblPedidos[[#This Row],[estado_operativo]]="ENTREGADO",tblPedidos[[#This Row],[ganancia_calc]],tblPedidos[[#This Row],[estado_operativo]]="DEVOLUCION",tblPedidos[[#This Row],[costo_devolucion_estimado]]),0)</f>
        <v>20654.5</v>
      </c>
      <c r="V538">
        <v>103272.5</v>
      </c>
      <c r="W538">
        <v>89900</v>
      </c>
      <c r="X538">
        <v>19245.5</v>
      </c>
      <c r="Y538">
        <v>50000</v>
      </c>
      <c r="Z538" s="11">
        <v>46038</v>
      </c>
      <c r="AA538">
        <v>6</v>
      </c>
      <c r="AB538" s="12">
        <v>0.75694444444444442</v>
      </c>
      <c r="AC538" t="s">
        <v>720</v>
      </c>
      <c r="AD538" t="s">
        <v>720</v>
      </c>
      <c r="AE538" t="s">
        <v>720</v>
      </c>
    </row>
    <row r="539" spans="1:31">
      <c r="A539" t="s">
        <v>1343</v>
      </c>
      <c r="C539">
        <v>495</v>
      </c>
      <c r="D539" t="s">
        <v>3193</v>
      </c>
      <c r="E539" s="11">
        <v>46035</v>
      </c>
      <c r="F539" t="s">
        <v>3194</v>
      </c>
      <c r="G539" t="s">
        <v>45</v>
      </c>
      <c r="J539" t="s">
        <v>720</v>
      </c>
      <c r="K539" t="s">
        <v>3195</v>
      </c>
      <c r="L539" t="s">
        <v>46</v>
      </c>
      <c r="M539" t="s">
        <v>3196</v>
      </c>
      <c r="N539" t="s">
        <v>3197</v>
      </c>
      <c r="O539" t="s">
        <v>3198</v>
      </c>
      <c r="P539" s="46" t="str" cm="1">
        <f t="array" aca="1" ref="P539" ca="1">IFERROR(_xlfn.XLOOKUP(tblPedidos[[#This Row],[id_dropi]],tblNotas[[#This Row],[id__dropi]],tblNotas[[#This Row],[Notas Manuales]], “”, 0),"")</f>
        <v/>
      </c>
      <c r="Q539" t="s">
        <v>3199</v>
      </c>
      <c r="R539" t="s">
        <v>3200</v>
      </c>
      <c r="S539">
        <v>32079.5</v>
      </c>
      <c r="T539">
        <v>-14020.5</v>
      </c>
      <c r="U539" cm="1">
        <f t="array" ref="U539">IFERROR(_xlfn.IFS(tblPedidos[[#This Row],[estado_operativo]]="ENTREGADO",tblPedidos[[#This Row],[ganancia_calc]],tblPedidos[[#This Row],[estado_operativo]]="DEVOLUCION",tblPedidos[[#This Row],[costo_devolucion_estimado]]),0)</f>
        <v>32079.5</v>
      </c>
      <c r="V539">
        <v>160397.5</v>
      </c>
      <c r="W539">
        <v>74900</v>
      </c>
      <c r="X539">
        <v>14020.5</v>
      </c>
      <c r="Y539">
        <v>28800</v>
      </c>
      <c r="Z539" s="11">
        <v>46039</v>
      </c>
      <c r="AA539">
        <v>5</v>
      </c>
      <c r="AB539" s="12">
        <v>0.42569444444444443</v>
      </c>
      <c r="AC539" t="s">
        <v>720</v>
      </c>
      <c r="AD539" t="s">
        <v>720</v>
      </c>
      <c r="AE539" t="s">
        <v>720</v>
      </c>
    </row>
    <row r="540" spans="1:31">
      <c r="A540" t="s">
        <v>33</v>
      </c>
      <c r="C540">
        <v>499</v>
      </c>
      <c r="D540" t="s">
        <v>3201</v>
      </c>
      <c r="E540" s="11">
        <v>46035</v>
      </c>
      <c r="F540" t="s">
        <v>3202</v>
      </c>
      <c r="G540" t="s">
        <v>36</v>
      </c>
      <c r="J540" t="s">
        <v>386</v>
      </c>
      <c r="K540" t="s">
        <v>3203</v>
      </c>
      <c r="L540" t="s">
        <v>54</v>
      </c>
      <c r="M540" t="s">
        <v>373</v>
      </c>
      <c r="N540" t="s">
        <v>3204</v>
      </c>
      <c r="O540" t="s">
        <v>3205</v>
      </c>
      <c r="P540" s="46" t="str" cm="1">
        <f t="array" aca="1" ref="P540" ca="1">IFERROR(_xlfn.XLOOKUP(tblPedidos[[#This Row],[id_dropi]],tblNotas[[#This Row],[id__dropi]],tblNotas[[#This Row],[Notas Manuales]], “”, 0),"")</f>
        <v/>
      </c>
      <c r="Q540" t="s">
        <v>3206</v>
      </c>
      <c r="R540" t="s">
        <v>3027</v>
      </c>
      <c r="S540">
        <v>18561.5</v>
      </c>
      <c r="T540">
        <v>-13070.800000000001</v>
      </c>
      <c r="U540" cm="1">
        <f t="array" ref="U540">IFERROR(_xlfn.IFS(tblPedidos[[#This Row],[estado_operativo]]="ENTREGADO",tblPedidos[[#This Row],[ganancia_calc]],tblPedidos[[#This Row],[estado_operativo]]="DEVOLUCION",tblPedidos[[#This Row],[costo_devolucion_estimado]]),0)</f>
        <v>0</v>
      </c>
      <c r="V540">
        <v>0</v>
      </c>
      <c r="W540">
        <v>84900</v>
      </c>
      <c r="X540">
        <v>16338.5</v>
      </c>
      <c r="Y540">
        <v>50000</v>
      </c>
      <c r="Z540" s="11">
        <v>46037</v>
      </c>
      <c r="AA540">
        <v>7</v>
      </c>
      <c r="AB540" s="12">
        <v>0.57986111111111116</v>
      </c>
      <c r="AC540" t="s">
        <v>747</v>
      </c>
      <c r="AD540" t="s">
        <v>392</v>
      </c>
      <c r="AE540" t="s">
        <v>386</v>
      </c>
    </row>
    <row r="541" spans="1:31">
      <c r="A541" t="s">
        <v>1343</v>
      </c>
      <c r="C541">
        <v>503</v>
      </c>
      <c r="D541" t="s">
        <v>3207</v>
      </c>
      <c r="E541" s="11">
        <v>46035</v>
      </c>
      <c r="F541" t="s">
        <v>3208</v>
      </c>
      <c r="G541" t="s">
        <v>45</v>
      </c>
      <c r="J541" t="s">
        <v>720</v>
      </c>
      <c r="K541" t="s">
        <v>3209</v>
      </c>
      <c r="L541" t="s">
        <v>234</v>
      </c>
      <c r="M541" t="s">
        <v>3210</v>
      </c>
      <c r="N541" t="s">
        <v>3211</v>
      </c>
      <c r="O541" t="s">
        <v>3212</v>
      </c>
      <c r="P541" s="46" t="str" cm="1">
        <f t="array" aca="1" ref="P541" ca="1">IFERROR(_xlfn.XLOOKUP(tblPedidos[[#This Row],[id_dropi]],tblNotas[[#This Row],[id__dropi]],tblNotas[[#This Row],[Notas Manuales]], “”, 0),"")</f>
        <v/>
      </c>
      <c r="R541" t="s">
        <v>3213</v>
      </c>
      <c r="S541">
        <v>21554.5</v>
      </c>
      <c r="T541">
        <v>-13345.5</v>
      </c>
      <c r="U541" cm="1">
        <f t="array" ref="U541">IFERROR(_xlfn.IFS(tblPedidos[[#This Row],[estado_operativo]]="ENTREGADO",tblPedidos[[#This Row],[ganancia_calc]],tblPedidos[[#This Row],[estado_operativo]]="DEVOLUCION",tblPedidos[[#This Row],[costo_devolucion_estimado]]),0)</f>
        <v>21554.5</v>
      </c>
      <c r="V541">
        <v>107772.5</v>
      </c>
      <c r="W541">
        <v>59900</v>
      </c>
      <c r="X541">
        <v>13345.5</v>
      </c>
      <c r="Y541">
        <v>25000</v>
      </c>
      <c r="Z541" s="11">
        <v>46039</v>
      </c>
      <c r="AA541">
        <v>5</v>
      </c>
      <c r="AB541" s="12">
        <v>4.791666666666667E-2</v>
      </c>
      <c r="AC541" t="s">
        <v>720</v>
      </c>
      <c r="AD541" t="s">
        <v>720</v>
      </c>
      <c r="AE541" t="s">
        <v>720</v>
      </c>
    </row>
    <row r="542" spans="1:31">
      <c r="A542" t="s">
        <v>1343</v>
      </c>
      <c r="C542">
        <v>504</v>
      </c>
      <c r="D542" t="s">
        <v>3214</v>
      </c>
      <c r="E542" s="11">
        <v>46035</v>
      </c>
      <c r="F542" t="s">
        <v>3215</v>
      </c>
      <c r="G542" t="s">
        <v>45</v>
      </c>
      <c r="J542" t="s">
        <v>1657</v>
      </c>
      <c r="K542" t="s">
        <v>3216</v>
      </c>
      <c r="L542" t="s">
        <v>61</v>
      </c>
      <c r="M542" t="s">
        <v>62</v>
      </c>
      <c r="N542" t="s">
        <v>3217</v>
      </c>
      <c r="O542" t="s">
        <v>3218</v>
      </c>
      <c r="P542" s="46" t="str" cm="1">
        <f t="array" aca="1" ref="P542" ca="1">IFERROR(_xlfn.XLOOKUP(tblPedidos[[#This Row],[id_dropi]],tblNotas[[#This Row],[id__dropi]],tblNotas[[#This Row],[Notas Manuales]], “”, 0),"")</f>
        <v/>
      </c>
      <c r="Q542" t="s">
        <v>3219</v>
      </c>
      <c r="R542" t="s">
        <v>3060</v>
      </c>
      <c r="S542">
        <v>26104.5</v>
      </c>
      <c r="T542">
        <v>-18795.5</v>
      </c>
      <c r="U542" cm="1">
        <f t="array" ref="U542">IFERROR(_xlfn.IFS(tblPedidos[[#This Row],[estado_operativo]]="ENTREGADO",tblPedidos[[#This Row],[ganancia_calc]],tblPedidos[[#This Row],[estado_operativo]]="DEVOLUCION",tblPedidos[[#This Row],[costo_devolucion_estimado]]),0)</f>
        <v>-18795.5</v>
      </c>
      <c r="V542">
        <v>-56386.5</v>
      </c>
      <c r="W542">
        <v>79900</v>
      </c>
      <c r="X542">
        <v>18795.5</v>
      </c>
      <c r="Y542">
        <v>35000</v>
      </c>
      <c r="Z542" s="11">
        <v>46041</v>
      </c>
      <c r="AA542">
        <v>3</v>
      </c>
      <c r="AB542" s="12">
        <v>0.61805555555555558</v>
      </c>
      <c r="AC542" t="s">
        <v>1657</v>
      </c>
      <c r="AD542" t="s">
        <v>1657</v>
      </c>
      <c r="AE542" t="s">
        <v>1657</v>
      </c>
    </row>
    <row r="543" spans="1:31">
      <c r="A543" t="s">
        <v>1343</v>
      </c>
      <c r="C543">
        <v>505</v>
      </c>
      <c r="D543" t="s">
        <v>3220</v>
      </c>
      <c r="E543" s="11">
        <v>46035</v>
      </c>
      <c r="F543" t="s">
        <v>3221</v>
      </c>
      <c r="G543" t="s">
        <v>45</v>
      </c>
      <c r="J543" t="s">
        <v>720</v>
      </c>
      <c r="K543" t="s">
        <v>3222</v>
      </c>
      <c r="L543" t="s">
        <v>54</v>
      </c>
      <c r="M543" t="s">
        <v>610</v>
      </c>
      <c r="N543" t="s">
        <v>3223</v>
      </c>
      <c r="O543" t="s">
        <v>3224</v>
      </c>
      <c r="P543" s="46" t="str" cm="1">
        <f t="array" aca="1" ref="P543" ca="1">IFERROR(_xlfn.XLOOKUP(tblPedidos[[#This Row],[id_dropi]],tblNotas[[#This Row],[id__dropi]],tblNotas[[#This Row],[Notas Manuales]], “”, 0),"")</f>
        <v/>
      </c>
      <c r="R543" t="s">
        <v>3213</v>
      </c>
      <c r="S543">
        <v>17004.5</v>
      </c>
      <c r="T543">
        <v>-17895.5</v>
      </c>
      <c r="U543" cm="1">
        <f t="array" ref="U543">IFERROR(_xlfn.IFS(tblPedidos[[#This Row],[estado_operativo]]="ENTREGADO",tblPedidos[[#This Row],[ganancia_calc]],tblPedidos[[#This Row],[estado_operativo]]="DEVOLUCION",tblPedidos[[#This Row],[costo_devolucion_estimado]]),0)</f>
        <v>17004.5</v>
      </c>
      <c r="V543">
        <v>51013.5</v>
      </c>
      <c r="W543">
        <v>59900</v>
      </c>
      <c r="X543">
        <v>17895.5</v>
      </c>
      <c r="Y543">
        <v>25000</v>
      </c>
      <c r="Z543" s="11">
        <v>46041</v>
      </c>
      <c r="AA543">
        <v>3</v>
      </c>
      <c r="AB543" s="12">
        <v>0.77986111111111112</v>
      </c>
      <c r="AC543" t="s">
        <v>720</v>
      </c>
      <c r="AD543" t="s">
        <v>720</v>
      </c>
      <c r="AE543" t="s">
        <v>720</v>
      </c>
    </row>
    <row r="544" spans="1:31">
      <c r="A544" t="s">
        <v>33</v>
      </c>
      <c r="C544">
        <v>500</v>
      </c>
      <c r="D544" t="s">
        <v>3225</v>
      </c>
      <c r="E544" s="11">
        <v>46035</v>
      </c>
      <c r="F544" t="s">
        <v>3226</v>
      </c>
      <c r="G544" t="s">
        <v>45</v>
      </c>
      <c r="J544" t="s">
        <v>1371</v>
      </c>
      <c r="K544" t="s">
        <v>3227</v>
      </c>
      <c r="L544" t="s">
        <v>178</v>
      </c>
      <c r="M544" t="s">
        <v>3228</v>
      </c>
      <c r="N544" t="s">
        <v>3229</v>
      </c>
      <c r="O544" t="s">
        <v>3230</v>
      </c>
      <c r="P544" s="46" t="str" cm="1">
        <f t="array" aca="1" ref="P544" ca="1">IFERROR(_xlfn.XLOOKUP(tblPedidos[[#This Row],[id_dropi]],tblNotas[[#This Row],[id__dropi]],tblNotas[[#This Row],[Notas Manuales]], “”, 0),"")</f>
        <v/>
      </c>
      <c r="Q544" t="s">
        <v>50</v>
      </c>
      <c r="R544" t="s">
        <v>3213</v>
      </c>
      <c r="S544">
        <v>12229.5</v>
      </c>
      <c r="T544">
        <v>-17670.5</v>
      </c>
      <c r="U544" cm="1">
        <f t="array" ref="U544">IFERROR(_xlfn.IFS(tblPedidos[[#This Row],[estado_operativo]]="ENTREGADO",tblPedidos[[#This Row],[ganancia_calc]],tblPedidos[[#This Row],[estado_operativo]]="DEVOLUCION",tblPedidos[[#This Row],[costo_devolucion_estimado]]),0)</f>
        <v>0</v>
      </c>
      <c r="V544">
        <v>0</v>
      </c>
      <c r="W544">
        <v>54900</v>
      </c>
      <c r="X544">
        <v>17670.5</v>
      </c>
      <c r="Y544">
        <v>25000</v>
      </c>
      <c r="Z544" s="11">
        <v>46043</v>
      </c>
      <c r="AA544">
        <v>1</v>
      </c>
      <c r="AB544" s="12">
        <v>0.43402777777777779</v>
      </c>
      <c r="AC544" t="s">
        <v>982</v>
      </c>
      <c r="AD544" t="s">
        <v>982</v>
      </c>
      <c r="AE544" t="s">
        <v>1371</v>
      </c>
    </row>
    <row r="545" spans="1:31">
      <c r="A545" t="s">
        <v>1343</v>
      </c>
      <c r="C545">
        <v>501</v>
      </c>
      <c r="D545" t="s">
        <v>3231</v>
      </c>
      <c r="E545" s="11">
        <v>46035</v>
      </c>
      <c r="F545" t="s">
        <v>3232</v>
      </c>
      <c r="G545" t="s">
        <v>45</v>
      </c>
      <c r="J545" t="s">
        <v>720</v>
      </c>
      <c r="K545" t="s">
        <v>3233</v>
      </c>
      <c r="L545" t="s">
        <v>125</v>
      </c>
      <c r="M545" t="s">
        <v>1241</v>
      </c>
      <c r="N545" t="s">
        <v>3234</v>
      </c>
      <c r="O545" t="s">
        <v>3235</v>
      </c>
      <c r="P545" s="46" t="str" cm="1">
        <f t="array" aca="1" ref="P545" ca="1">IFERROR(_xlfn.XLOOKUP(tblPedidos[[#This Row],[id_dropi]],tblNotas[[#This Row],[id__dropi]],tblNotas[[#This Row],[Notas Manuales]], “”, 0),"")</f>
        <v/>
      </c>
      <c r="R545" t="s">
        <v>2983</v>
      </c>
      <c r="S545">
        <v>28104.5</v>
      </c>
      <c r="T545">
        <v>-18345.5</v>
      </c>
      <c r="U545" cm="1">
        <f t="array" ref="U545">IFERROR(_xlfn.IFS(tblPedidos[[#This Row],[estado_operativo]]="ENTREGADO",tblPedidos[[#This Row],[ganancia_calc]],tblPedidos[[#This Row],[estado_operativo]]="DEVOLUCION",tblPedidos[[#This Row],[costo_devolucion_estimado]]),0)</f>
        <v>28104.5</v>
      </c>
      <c r="V545">
        <v>140522.5</v>
      </c>
      <c r="W545">
        <v>69900</v>
      </c>
      <c r="X545">
        <v>18345.5</v>
      </c>
      <c r="Y545">
        <v>23450</v>
      </c>
      <c r="Z545" s="11">
        <v>46039</v>
      </c>
      <c r="AA545">
        <v>5</v>
      </c>
      <c r="AB545" s="12">
        <v>0.83819444444444446</v>
      </c>
      <c r="AC545" t="s">
        <v>720</v>
      </c>
      <c r="AD545" t="s">
        <v>720</v>
      </c>
      <c r="AE545" t="s">
        <v>720</v>
      </c>
    </row>
    <row r="546" spans="1:31">
      <c r="A546" t="s">
        <v>1343</v>
      </c>
      <c r="C546">
        <v>502</v>
      </c>
      <c r="D546" t="s">
        <v>3236</v>
      </c>
      <c r="E546" s="11">
        <v>46035</v>
      </c>
      <c r="F546" t="s">
        <v>3237</v>
      </c>
      <c r="G546" t="s">
        <v>45</v>
      </c>
      <c r="J546" t="s">
        <v>720</v>
      </c>
      <c r="K546" t="s">
        <v>3238</v>
      </c>
      <c r="L546" t="s">
        <v>46</v>
      </c>
      <c r="M546" t="s">
        <v>311</v>
      </c>
      <c r="N546" t="s">
        <v>3239</v>
      </c>
      <c r="O546" t="s">
        <v>3240</v>
      </c>
      <c r="P546" s="46" t="str" cm="1">
        <f t="array" aca="1" ref="P546" ca="1">IFERROR(_xlfn.XLOOKUP(tblPedidos[[#This Row],[id_dropi]],tblNotas[[#This Row],[id__dropi]],tblNotas[[#This Row],[Notas Manuales]], “”, 0),"")</f>
        <v/>
      </c>
      <c r="R546" t="s">
        <v>3213</v>
      </c>
      <c r="S546">
        <v>21554.5</v>
      </c>
      <c r="T546">
        <v>-13345.5</v>
      </c>
      <c r="U546" cm="1">
        <f t="array" ref="U546">IFERROR(_xlfn.IFS(tblPedidos[[#This Row],[estado_operativo]]="ENTREGADO",tblPedidos[[#This Row],[ganancia_calc]],tblPedidos[[#This Row],[estado_operativo]]="DEVOLUCION",tblPedidos[[#This Row],[costo_devolucion_estimado]]),0)</f>
        <v>21554.5</v>
      </c>
      <c r="V546">
        <v>107772.5</v>
      </c>
      <c r="W546">
        <v>59900</v>
      </c>
      <c r="X546">
        <v>13345.5</v>
      </c>
      <c r="Y546">
        <v>25000</v>
      </c>
      <c r="Z546" s="11">
        <v>46038</v>
      </c>
      <c r="AA546">
        <v>6</v>
      </c>
      <c r="AB546" s="12">
        <v>0.67361111111111116</v>
      </c>
      <c r="AC546" t="s">
        <v>720</v>
      </c>
      <c r="AD546" t="s">
        <v>720</v>
      </c>
      <c r="AE546" t="s">
        <v>720</v>
      </c>
    </row>
    <row r="547" spans="1:31">
      <c r="A547" t="s">
        <v>33</v>
      </c>
      <c r="C547">
        <v>483</v>
      </c>
      <c r="D547" t="s">
        <v>3241</v>
      </c>
      <c r="E547" s="11">
        <v>46035</v>
      </c>
      <c r="F547" t="s">
        <v>2842</v>
      </c>
      <c r="G547" t="s">
        <v>45</v>
      </c>
      <c r="J547" t="s">
        <v>720</v>
      </c>
      <c r="K547" t="s">
        <v>3242</v>
      </c>
      <c r="L547" t="s">
        <v>46</v>
      </c>
      <c r="M547" t="s">
        <v>3243</v>
      </c>
      <c r="N547" t="s">
        <v>3244</v>
      </c>
      <c r="O547" t="s">
        <v>3245</v>
      </c>
      <c r="P547" s="46" t="str" cm="1">
        <f t="array" aca="1" ref="P547" ca="1">IFERROR(_xlfn.XLOOKUP(tblPedidos[[#This Row],[id_dropi]],tblNotas[[#This Row],[id__dropi]],tblNotas[[#This Row],[Notas Manuales]], “”, 0),"")</f>
        <v/>
      </c>
      <c r="Q547" t="s">
        <v>50</v>
      </c>
      <c r="R547" t="s">
        <v>3137</v>
      </c>
      <c r="S547">
        <v>22054.5</v>
      </c>
      <c r="T547">
        <v>-17895.5</v>
      </c>
      <c r="U547" cm="1">
        <f t="array" ref="U547">IFERROR(_xlfn.IFS(tblPedidos[[#This Row],[estado_operativo]]="ENTREGADO",tblPedidos[[#This Row],[ganancia_calc]],tblPedidos[[#This Row],[estado_operativo]]="DEVOLUCION",tblPedidos[[#This Row],[costo_devolucion_estimado]]),0)</f>
        <v>22054.5</v>
      </c>
      <c r="V547">
        <v>0</v>
      </c>
      <c r="W547">
        <v>59900</v>
      </c>
      <c r="X547">
        <v>17895.5</v>
      </c>
      <c r="Y547">
        <v>19950</v>
      </c>
      <c r="Z547" s="11">
        <v>46043</v>
      </c>
      <c r="AA547">
        <v>1</v>
      </c>
      <c r="AB547" s="12">
        <v>0.43333333333333335</v>
      </c>
      <c r="AC547" t="s">
        <v>982</v>
      </c>
      <c r="AD547" t="s">
        <v>720</v>
      </c>
      <c r="AE547" t="s">
        <v>720</v>
      </c>
    </row>
    <row r="548" spans="1:31">
      <c r="A548" t="s">
        <v>1343</v>
      </c>
      <c r="C548">
        <v>484</v>
      </c>
      <c r="D548" t="s">
        <v>3246</v>
      </c>
      <c r="E548" s="11">
        <v>46035</v>
      </c>
      <c r="F548" t="s">
        <v>3247</v>
      </c>
      <c r="G548" t="s">
        <v>45</v>
      </c>
      <c r="J548" t="s">
        <v>720</v>
      </c>
      <c r="K548" t="s">
        <v>3248</v>
      </c>
      <c r="L548" t="s">
        <v>46</v>
      </c>
      <c r="M548" t="s">
        <v>100</v>
      </c>
      <c r="N548" t="s">
        <v>3249</v>
      </c>
      <c r="O548" t="s">
        <v>3250</v>
      </c>
      <c r="P548" s="46" t="str" cm="1">
        <f t="array" aca="1" ref="P548" ca="1">IFERROR(_xlfn.XLOOKUP(tblPedidos[[#This Row],[id_dropi]],tblNotas[[#This Row],[id__dropi]],tblNotas[[#This Row],[Notas Manuales]], “”, 0),"")</f>
        <v/>
      </c>
      <c r="R548" t="s">
        <v>3213</v>
      </c>
      <c r="S548">
        <v>22954.5</v>
      </c>
      <c r="T548">
        <v>-11945.5</v>
      </c>
      <c r="U548" cm="1">
        <f t="array" ref="U548">IFERROR(_xlfn.IFS(tblPedidos[[#This Row],[estado_operativo]]="ENTREGADO",tblPedidos[[#This Row],[ganancia_calc]],tblPedidos[[#This Row],[estado_operativo]]="DEVOLUCION",tblPedidos[[#This Row],[costo_devolucion_estimado]]),0)</f>
        <v>22954.5</v>
      </c>
      <c r="V548">
        <v>114772.5</v>
      </c>
      <c r="W548">
        <v>59900</v>
      </c>
      <c r="X548">
        <v>11945.5</v>
      </c>
      <c r="Y548">
        <v>25000</v>
      </c>
      <c r="Z548" s="11">
        <v>46039</v>
      </c>
      <c r="AA548">
        <v>5</v>
      </c>
      <c r="AB548" s="12">
        <v>0.42291666666666666</v>
      </c>
      <c r="AC548" t="s">
        <v>720</v>
      </c>
      <c r="AD548" t="s">
        <v>720</v>
      </c>
      <c r="AE548" t="s">
        <v>720</v>
      </c>
    </row>
    <row r="549" spans="1:31">
      <c r="A549" t="s">
        <v>1343</v>
      </c>
      <c r="C549">
        <v>485</v>
      </c>
      <c r="D549" t="s">
        <v>3251</v>
      </c>
      <c r="E549" s="11">
        <v>46035</v>
      </c>
      <c r="F549" t="s">
        <v>3252</v>
      </c>
      <c r="G549" t="s">
        <v>36</v>
      </c>
      <c r="J549" t="s">
        <v>720</v>
      </c>
      <c r="K549" t="s">
        <v>3253</v>
      </c>
      <c r="L549" t="s">
        <v>38</v>
      </c>
      <c r="M549" t="s">
        <v>1320</v>
      </c>
      <c r="N549" t="s">
        <v>3254</v>
      </c>
      <c r="O549" t="s">
        <v>3255</v>
      </c>
      <c r="P549" s="46" t="str" cm="1">
        <f t="array" aca="1" ref="P549" ca="1">IFERROR(_xlfn.XLOOKUP(tblPedidos[[#This Row],[id_dropi]],tblNotas[[#This Row],[id__dropi]],tblNotas[[#This Row],[Notas Manuales]], “”, 0),"")</f>
        <v/>
      </c>
      <c r="R549" t="s">
        <v>3213</v>
      </c>
      <c r="S549">
        <v>19686.5</v>
      </c>
      <c r="T549">
        <v>-12170.800000000001</v>
      </c>
      <c r="U549" cm="1">
        <f t="array" ref="U549">IFERROR(_xlfn.IFS(tblPedidos[[#This Row],[estado_operativo]]="ENTREGADO",tblPedidos[[#This Row],[ganancia_calc]],tblPedidos[[#This Row],[estado_operativo]]="DEVOLUCION",tblPedidos[[#This Row],[costo_devolucion_estimado]]),0)</f>
        <v>19686.5</v>
      </c>
      <c r="V549">
        <v>19686.5</v>
      </c>
      <c r="W549">
        <v>59900</v>
      </c>
      <c r="X549">
        <v>15213.5</v>
      </c>
      <c r="Y549">
        <v>25000</v>
      </c>
      <c r="Z549" s="11">
        <v>46037</v>
      </c>
      <c r="AA549">
        <v>7</v>
      </c>
      <c r="AB549" s="12">
        <v>0.57986111111111116</v>
      </c>
      <c r="AC549" t="s">
        <v>788</v>
      </c>
      <c r="AD549" t="s">
        <v>720</v>
      </c>
      <c r="AE549" t="s">
        <v>720</v>
      </c>
    </row>
    <row r="550" spans="1:31">
      <c r="A550" t="s">
        <v>1343</v>
      </c>
      <c r="C550">
        <v>480</v>
      </c>
      <c r="D550" t="s">
        <v>3256</v>
      </c>
      <c r="E550" s="11">
        <v>46035</v>
      </c>
      <c r="F550" t="s">
        <v>3257</v>
      </c>
      <c r="G550" t="s">
        <v>45</v>
      </c>
      <c r="J550" t="s">
        <v>720</v>
      </c>
      <c r="K550" t="s">
        <v>3258</v>
      </c>
      <c r="L550" t="s">
        <v>46</v>
      </c>
      <c r="M550" t="s">
        <v>100</v>
      </c>
      <c r="N550" t="s">
        <v>3259</v>
      </c>
      <c r="O550" t="s">
        <v>3260</v>
      </c>
      <c r="P550" s="46" t="str" cm="1">
        <f t="array" aca="1" ref="P550" ca="1">IFERROR(_xlfn.XLOOKUP(tblPedidos[[#This Row],[id_dropi]],tblNotas[[#This Row],[id__dropi]],tblNotas[[#This Row],[Notas Manuales]], “”, 0),"")</f>
        <v/>
      </c>
      <c r="R550" t="s">
        <v>3027</v>
      </c>
      <c r="S550">
        <v>20654.5</v>
      </c>
      <c r="T550">
        <v>-19245.5</v>
      </c>
      <c r="U550" cm="1">
        <f t="array" ref="U550">IFERROR(_xlfn.IFS(tblPedidos[[#This Row],[estado_operativo]]="ENTREGADO",tblPedidos[[#This Row],[ganancia_calc]],tblPedidos[[#This Row],[estado_operativo]]="DEVOLUCION",tblPedidos[[#This Row],[costo_devolucion_estimado]]),0)</f>
        <v>20654.5</v>
      </c>
      <c r="V550">
        <v>103272.5</v>
      </c>
      <c r="W550">
        <v>89900</v>
      </c>
      <c r="X550">
        <v>19245.5</v>
      </c>
      <c r="Y550">
        <v>50000</v>
      </c>
      <c r="Z550" s="11">
        <v>46039</v>
      </c>
      <c r="AA550">
        <v>5</v>
      </c>
      <c r="AB550" s="12">
        <v>0.05</v>
      </c>
      <c r="AC550" t="s">
        <v>720</v>
      </c>
      <c r="AD550" t="s">
        <v>720</v>
      </c>
      <c r="AE550" t="s">
        <v>720</v>
      </c>
    </row>
    <row r="551" spans="1:31">
      <c r="A551" t="s">
        <v>1343</v>
      </c>
      <c r="C551">
        <v>481</v>
      </c>
      <c r="D551" t="s">
        <v>3261</v>
      </c>
      <c r="E551" s="11">
        <v>46035</v>
      </c>
      <c r="F551" t="s">
        <v>3262</v>
      </c>
      <c r="G551" t="s">
        <v>45</v>
      </c>
      <c r="J551" t="s">
        <v>720</v>
      </c>
      <c r="K551" t="s">
        <v>3263</v>
      </c>
      <c r="L551" t="s">
        <v>111</v>
      </c>
      <c r="M551" t="s">
        <v>3264</v>
      </c>
      <c r="N551" t="s">
        <v>3265</v>
      </c>
      <c r="O551" t="s">
        <v>3266</v>
      </c>
      <c r="P551" s="46" t="str" cm="1">
        <f t="array" aca="1" ref="P551" ca="1">IFERROR(_xlfn.XLOOKUP(tblPedidos[[#This Row],[id_dropi]],tblNotas[[#This Row],[id__dropi]],tblNotas[[#This Row],[Notas Manuales]], “”, 0),"")</f>
        <v/>
      </c>
      <c r="Q551" t="s">
        <v>50</v>
      </c>
      <c r="R551" t="s">
        <v>3267</v>
      </c>
      <c r="S551">
        <v>21201</v>
      </c>
      <c r="T551">
        <v>-18699</v>
      </c>
      <c r="U551" cm="1">
        <f t="array" ref="U551">IFERROR(_xlfn.IFS(tblPedidos[[#This Row],[estado_operativo]]="ENTREGADO",tblPedidos[[#This Row],[ganancia_calc]],tblPedidos[[#This Row],[estado_operativo]]="DEVOLUCION",tblPedidos[[#This Row],[costo_devolucion_estimado]]),0)</f>
        <v>21201</v>
      </c>
      <c r="V551">
        <v>106005</v>
      </c>
      <c r="W551">
        <v>49900</v>
      </c>
      <c r="X551">
        <v>18699</v>
      </c>
      <c r="Y551">
        <v>10000</v>
      </c>
      <c r="Z551" s="11">
        <v>46039</v>
      </c>
      <c r="AA551">
        <v>5</v>
      </c>
      <c r="AB551" s="12">
        <v>0.50763888888888886</v>
      </c>
      <c r="AC551" t="s">
        <v>720</v>
      </c>
      <c r="AD551" t="s">
        <v>720</v>
      </c>
      <c r="AE551" t="s">
        <v>720</v>
      </c>
    </row>
    <row r="552" spans="1:31">
      <c r="A552" t="s">
        <v>33</v>
      </c>
      <c r="C552">
        <v>482</v>
      </c>
      <c r="D552" t="s">
        <v>3268</v>
      </c>
      <c r="E552" s="11">
        <v>46035</v>
      </c>
      <c r="F552" t="s">
        <v>3269</v>
      </c>
      <c r="G552" t="s">
        <v>36</v>
      </c>
      <c r="J552" t="s">
        <v>386</v>
      </c>
      <c r="K552" t="s">
        <v>3270</v>
      </c>
      <c r="L552" t="s">
        <v>54</v>
      </c>
      <c r="M552" t="s">
        <v>373</v>
      </c>
      <c r="N552" t="s">
        <v>3271</v>
      </c>
      <c r="O552" t="s">
        <v>3272</v>
      </c>
      <c r="P552" s="46" t="str" cm="1">
        <f t="array" aca="1" ref="P552" ca="1">IFERROR(_xlfn.XLOOKUP(tblPedidos[[#This Row],[id_dropi]],tblNotas[[#This Row],[id__dropi]],tblNotas[[#This Row],[Notas Manuales]], “”, 0),"")</f>
        <v/>
      </c>
      <c r="R552" t="s">
        <v>3273</v>
      </c>
      <c r="S552">
        <v>44561.5</v>
      </c>
      <c r="T552">
        <v>-13070.800000000001</v>
      </c>
      <c r="U552" cm="1">
        <f t="array" ref="U552">IFERROR(_xlfn.IFS(tblPedidos[[#This Row],[estado_operativo]]="ENTREGADO",tblPedidos[[#This Row],[ganancia_calc]],tblPedidos[[#This Row],[estado_operativo]]="DEVOLUCION",tblPedidos[[#This Row],[costo_devolucion_estimado]]),0)</f>
        <v>0</v>
      </c>
      <c r="V552">
        <v>0</v>
      </c>
      <c r="W552">
        <v>84900</v>
      </c>
      <c r="X552">
        <v>16338.5</v>
      </c>
      <c r="Y552">
        <v>24000</v>
      </c>
      <c r="Z552" s="11">
        <v>46037</v>
      </c>
      <c r="AA552">
        <v>7</v>
      </c>
      <c r="AB552" s="12">
        <v>0.57916666666666672</v>
      </c>
      <c r="AC552" t="s">
        <v>747</v>
      </c>
      <c r="AD552" t="s">
        <v>392</v>
      </c>
      <c r="AE552" t="s">
        <v>386</v>
      </c>
    </row>
    <row r="553" spans="1:31">
      <c r="A553" t="s">
        <v>1343</v>
      </c>
      <c r="C553">
        <v>486</v>
      </c>
      <c r="D553" t="s">
        <v>3274</v>
      </c>
      <c r="E553" s="11">
        <v>46035</v>
      </c>
      <c r="F553" t="s">
        <v>3275</v>
      </c>
      <c r="G553" t="s">
        <v>45</v>
      </c>
      <c r="J553" t="s">
        <v>720</v>
      </c>
      <c r="K553" t="s">
        <v>3276</v>
      </c>
      <c r="L553" t="s">
        <v>54</v>
      </c>
      <c r="M553" t="s">
        <v>3277</v>
      </c>
      <c r="N553" t="s">
        <v>3278</v>
      </c>
      <c r="O553" t="s">
        <v>3279</v>
      </c>
      <c r="P553" s="46" t="str" cm="1">
        <f t="array" aca="1" ref="P553" ca="1">IFERROR(_xlfn.XLOOKUP(tblPedidos[[#This Row],[id_dropi]],tblNotas[[#This Row],[id__dropi]],tblNotas[[#This Row],[Notas Manuales]], “”, 0),"")</f>
        <v/>
      </c>
      <c r="Q553" t="s">
        <v>50</v>
      </c>
      <c r="R553" t="s">
        <v>3213</v>
      </c>
      <c r="S553">
        <v>17004.5</v>
      </c>
      <c r="T553">
        <v>-17895.5</v>
      </c>
      <c r="U553" cm="1">
        <f t="array" ref="U553">IFERROR(_xlfn.IFS(tblPedidos[[#This Row],[estado_operativo]]="ENTREGADO",tblPedidos[[#This Row],[ganancia_calc]],tblPedidos[[#This Row],[estado_operativo]]="DEVOLUCION",tblPedidos[[#This Row],[costo_devolucion_estimado]]),0)</f>
        <v>17004.5</v>
      </c>
      <c r="V553">
        <v>51013.5</v>
      </c>
      <c r="W553">
        <v>59900</v>
      </c>
      <c r="X553">
        <v>17895.5</v>
      </c>
      <c r="Y553">
        <v>25000</v>
      </c>
      <c r="Z553" s="11">
        <v>46041</v>
      </c>
      <c r="AA553">
        <v>3</v>
      </c>
      <c r="AB553" s="12">
        <v>0.43055555555555558</v>
      </c>
      <c r="AC553" t="s">
        <v>720</v>
      </c>
      <c r="AD553" t="s">
        <v>720</v>
      </c>
      <c r="AE553" t="s">
        <v>720</v>
      </c>
    </row>
    <row r="554" spans="1:31">
      <c r="A554" t="s">
        <v>1343</v>
      </c>
      <c r="C554">
        <v>490</v>
      </c>
      <c r="D554" t="s">
        <v>3280</v>
      </c>
      <c r="E554" s="11">
        <v>46035</v>
      </c>
      <c r="F554" t="s">
        <v>3281</v>
      </c>
      <c r="G554" t="s">
        <v>45</v>
      </c>
      <c r="J554" t="s">
        <v>720</v>
      </c>
      <c r="K554" t="s">
        <v>3282</v>
      </c>
      <c r="L554" t="s">
        <v>427</v>
      </c>
      <c r="M554" t="s">
        <v>628</v>
      </c>
      <c r="N554" t="s">
        <v>3283</v>
      </c>
      <c r="O554" t="s">
        <v>3284</v>
      </c>
      <c r="P554" s="46" t="str" cm="1">
        <f t="array" aca="1" ref="P554" ca="1">IFERROR(_xlfn.XLOOKUP(tblPedidos[[#This Row],[id_dropi]],tblNotas[[#This Row],[id__dropi]],tblNotas[[#This Row],[Notas Manuales]], “”, 0),"")</f>
        <v/>
      </c>
      <c r="Q554" t="s">
        <v>50</v>
      </c>
      <c r="R554" t="s">
        <v>3213</v>
      </c>
      <c r="S554">
        <v>21554.5</v>
      </c>
      <c r="T554">
        <v>-13345.5</v>
      </c>
      <c r="U554" cm="1">
        <f t="array" ref="U554">IFERROR(_xlfn.IFS(tblPedidos[[#This Row],[estado_operativo]]="ENTREGADO",tblPedidos[[#This Row],[ganancia_calc]],tblPedidos[[#This Row],[estado_operativo]]="DEVOLUCION",tblPedidos[[#This Row],[costo_devolucion_estimado]]),0)</f>
        <v>21554.5</v>
      </c>
      <c r="V554">
        <v>64663.5</v>
      </c>
      <c r="W554">
        <v>59900</v>
      </c>
      <c r="X554">
        <v>13345.5</v>
      </c>
      <c r="Y554">
        <v>25000</v>
      </c>
      <c r="Z554" s="11">
        <v>46041</v>
      </c>
      <c r="AA554">
        <v>3</v>
      </c>
      <c r="AB554" s="12">
        <v>0.43541666666666667</v>
      </c>
      <c r="AC554" t="s">
        <v>720</v>
      </c>
      <c r="AD554" t="s">
        <v>720</v>
      </c>
      <c r="AE554" t="s">
        <v>720</v>
      </c>
    </row>
    <row r="555" spans="1:31">
      <c r="A555" t="s">
        <v>1343</v>
      </c>
      <c r="C555">
        <v>491</v>
      </c>
      <c r="D555" t="s">
        <v>3285</v>
      </c>
      <c r="E555" s="11">
        <v>46035</v>
      </c>
      <c r="F555" t="s">
        <v>3286</v>
      </c>
      <c r="G555" t="s">
        <v>36</v>
      </c>
      <c r="J555" t="s">
        <v>720</v>
      </c>
      <c r="K555" t="s">
        <v>3287</v>
      </c>
      <c r="L555" t="s">
        <v>81</v>
      </c>
      <c r="M555" t="s">
        <v>3288</v>
      </c>
      <c r="N555" t="s">
        <v>3289</v>
      </c>
      <c r="O555" t="s">
        <v>3290</v>
      </c>
      <c r="P555" s="46" t="str" cm="1">
        <f t="array" aca="1" ref="P555" ca="1">IFERROR(_xlfn.XLOOKUP(tblPedidos[[#This Row],[id_dropi]],tblNotas[[#This Row],[id__dropi]],tblNotas[[#This Row],[Notas Manuales]], “”, 0),"")</f>
        <v/>
      </c>
      <c r="R555" t="s">
        <v>2983</v>
      </c>
      <c r="S555">
        <v>30786.5</v>
      </c>
      <c r="T555">
        <v>-12530.800000000001</v>
      </c>
      <c r="U555" cm="1">
        <f t="array" ref="U555">IFERROR(_xlfn.IFS(tblPedidos[[#This Row],[estado_operativo]]="ENTREGADO",tblPedidos[[#This Row],[ganancia_calc]],tblPedidos[[#This Row],[estado_operativo]]="DEVOLUCION",tblPedidos[[#This Row],[costo_devolucion_estimado]]),0)</f>
        <v>30786.5</v>
      </c>
      <c r="V555">
        <v>184719</v>
      </c>
      <c r="W555">
        <v>69900</v>
      </c>
      <c r="X555">
        <v>15663.5</v>
      </c>
      <c r="Y555">
        <v>23450</v>
      </c>
      <c r="Z555" s="11">
        <v>46036</v>
      </c>
      <c r="AA555">
        <v>8</v>
      </c>
      <c r="AB555" s="12">
        <v>0.86111111111111116</v>
      </c>
      <c r="AC555" t="s">
        <v>399</v>
      </c>
      <c r="AD555" t="s">
        <v>720</v>
      </c>
      <c r="AE555" t="s">
        <v>720</v>
      </c>
    </row>
    <row r="556" spans="1:31">
      <c r="A556" t="s">
        <v>1343</v>
      </c>
      <c r="C556">
        <v>492</v>
      </c>
      <c r="D556" t="s">
        <v>3291</v>
      </c>
      <c r="E556" s="11">
        <v>46035</v>
      </c>
      <c r="F556" t="s">
        <v>3292</v>
      </c>
      <c r="G556" t="s">
        <v>36</v>
      </c>
      <c r="J556" t="s">
        <v>720</v>
      </c>
      <c r="K556" t="s">
        <v>3293</v>
      </c>
      <c r="L556" t="s">
        <v>54</v>
      </c>
      <c r="M556" t="s">
        <v>844</v>
      </c>
      <c r="N556" t="s">
        <v>3294</v>
      </c>
      <c r="O556" t="s">
        <v>3295</v>
      </c>
      <c r="P556" s="46" t="str" cm="1">
        <f t="array" aca="1" ref="P556" ca="1">IFERROR(_xlfn.XLOOKUP(tblPedidos[[#This Row],[id_dropi]],tblNotas[[#This Row],[id__dropi]],tblNotas[[#This Row],[Notas Manuales]], “”, 0),"")</f>
        <v/>
      </c>
      <c r="R556" t="s">
        <v>2983</v>
      </c>
      <c r="S556">
        <v>32946.5</v>
      </c>
      <c r="T556">
        <v>-10802.800000000001</v>
      </c>
      <c r="U556" cm="1">
        <f t="array" ref="U556">IFERROR(_xlfn.IFS(tblPedidos[[#This Row],[estado_operativo]]="ENTREGADO",tblPedidos[[#This Row],[ganancia_calc]],tblPedidos[[#This Row],[estado_operativo]]="DEVOLUCION",tblPedidos[[#This Row],[costo_devolucion_estimado]]),0)</f>
        <v>32946.5</v>
      </c>
      <c r="V556">
        <v>164732.5</v>
      </c>
      <c r="W556">
        <v>69900</v>
      </c>
      <c r="X556">
        <v>13503.5</v>
      </c>
      <c r="Y556">
        <v>23450</v>
      </c>
      <c r="Z556" s="11">
        <v>46036</v>
      </c>
      <c r="AA556">
        <v>8</v>
      </c>
      <c r="AB556" s="12">
        <v>0.86250000000000004</v>
      </c>
      <c r="AC556" t="s">
        <v>399</v>
      </c>
      <c r="AD556" t="s">
        <v>720</v>
      </c>
      <c r="AE556" t="s">
        <v>720</v>
      </c>
    </row>
    <row r="557" spans="1:31">
      <c r="A557" t="s">
        <v>1343</v>
      </c>
      <c r="C557">
        <v>487</v>
      </c>
      <c r="D557" t="s">
        <v>3296</v>
      </c>
      <c r="E557" s="11">
        <v>46035</v>
      </c>
      <c r="F557" t="s">
        <v>3297</v>
      </c>
      <c r="G557" t="s">
        <v>36</v>
      </c>
      <c r="J557" t="s">
        <v>720</v>
      </c>
      <c r="K557" t="s">
        <v>3298</v>
      </c>
      <c r="L557" t="s">
        <v>54</v>
      </c>
      <c r="M557" t="s">
        <v>373</v>
      </c>
      <c r="N557" t="s">
        <v>3299</v>
      </c>
      <c r="O557" t="s">
        <v>3300</v>
      </c>
      <c r="P557" s="46" t="str" cm="1">
        <f t="array" aca="1" ref="P557" ca="1">IFERROR(_xlfn.XLOOKUP(tblPedidos[[#This Row],[id_dropi]],tblNotas[[#This Row],[id__dropi]],tblNotas[[#This Row],[Notas Manuales]], “”, 0),"")</f>
        <v/>
      </c>
      <c r="R557" t="s">
        <v>2983</v>
      </c>
      <c r="S557">
        <v>32946.5</v>
      </c>
      <c r="T557">
        <v>-10802.800000000001</v>
      </c>
      <c r="U557" cm="1">
        <f t="array" ref="U557">IFERROR(_xlfn.IFS(tblPedidos[[#This Row],[estado_operativo]]="ENTREGADO",tblPedidos[[#This Row],[ganancia_calc]],tblPedidos[[#This Row],[estado_operativo]]="DEVOLUCION",tblPedidos[[#This Row],[costo_devolucion_estimado]]),0)</f>
        <v>32946.5</v>
      </c>
      <c r="V557">
        <v>131786</v>
      </c>
      <c r="W557">
        <v>69900</v>
      </c>
      <c r="X557">
        <v>13503.5</v>
      </c>
      <c r="Y557">
        <v>23450</v>
      </c>
      <c r="Z557" s="11">
        <v>46036</v>
      </c>
      <c r="AA557">
        <v>8</v>
      </c>
      <c r="AB557" s="12">
        <v>0.86250000000000004</v>
      </c>
      <c r="AC557" t="s">
        <v>399</v>
      </c>
      <c r="AD557" t="s">
        <v>720</v>
      </c>
      <c r="AE557" t="s">
        <v>720</v>
      </c>
    </row>
    <row r="558" spans="1:31">
      <c r="A558" t="s">
        <v>1343</v>
      </c>
      <c r="C558">
        <v>488</v>
      </c>
      <c r="D558" t="s">
        <v>3301</v>
      </c>
      <c r="E558" s="11">
        <v>46035</v>
      </c>
      <c r="F558" t="s">
        <v>3302</v>
      </c>
      <c r="G558" t="s">
        <v>36</v>
      </c>
      <c r="J558" t="s">
        <v>720</v>
      </c>
      <c r="K558" t="s">
        <v>3303</v>
      </c>
      <c r="L558" t="s">
        <v>81</v>
      </c>
      <c r="M558" t="s">
        <v>118</v>
      </c>
      <c r="N558" t="s">
        <v>3304</v>
      </c>
      <c r="O558" t="s">
        <v>3305</v>
      </c>
      <c r="P558" s="46" t="str" cm="1">
        <f t="array" aca="1" ref="P558" ca="1">IFERROR(_xlfn.XLOOKUP(tblPedidos[[#This Row],[id_dropi]],tblNotas[[#This Row],[id__dropi]],tblNotas[[#This Row],[Notas Manuales]], “”, 0),"")</f>
        <v/>
      </c>
      <c r="R558" t="s">
        <v>2983</v>
      </c>
      <c r="S558">
        <v>28171.5</v>
      </c>
      <c r="T558">
        <v>-10622.800000000001</v>
      </c>
      <c r="U558" cm="1">
        <f t="array" ref="U558">IFERROR(_xlfn.IFS(tblPedidos[[#This Row],[estado_operativo]]="ENTREGADO",tblPedidos[[#This Row],[ganancia_calc]],tblPedidos[[#This Row],[estado_operativo]]="DEVOLUCION",tblPedidos[[#This Row],[costo_devolucion_estimado]]),0)</f>
        <v>28171.5</v>
      </c>
      <c r="V558">
        <v>169029</v>
      </c>
      <c r="W558">
        <v>64900</v>
      </c>
      <c r="X558">
        <v>13278.5</v>
      </c>
      <c r="Y558">
        <v>23450</v>
      </c>
      <c r="Z558" s="11">
        <v>46036</v>
      </c>
      <c r="AA558">
        <v>8</v>
      </c>
      <c r="AB558" s="12">
        <v>0.86250000000000004</v>
      </c>
      <c r="AC558" t="s">
        <v>399</v>
      </c>
      <c r="AD558" t="s">
        <v>720</v>
      </c>
      <c r="AE558" t="s">
        <v>720</v>
      </c>
    </row>
    <row r="559" spans="1:31">
      <c r="A559" t="s">
        <v>1343</v>
      </c>
      <c r="C559">
        <v>489</v>
      </c>
      <c r="D559" t="s">
        <v>3306</v>
      </c>
      <c r="E559" s="11">
        <v>46035</v>
      </c>
      <c r="F559" t="s">
        <v>3307</v>
      </c>
      <c r="G559" t="s">
        <v>36</v>
      </c>
      <c r="J559" t="s">
        <v>720</v>
      </c>
      <c r="K559" t="s">
        <v>3308</v>
      </c>
      <c r="L559" t="s">
        <v>81</v>
      </c>
      <c r="M559" t="s">
        <v>118</v>
      </c>
      <c r="N559" t="s">
        <v>3309</v>
      </c>
      <c r="O559" t="s">
        <v>3310</v>
      </c>
      <c r="P559" s="46" t="str" cm="1">
        <f t="array" aca="1" ref="P559" ca="1">IFERROR(_xlfn.XLOOKUP(tblPedidos[[#This Row],[id_dropi]],tblNotas[[#This Row],[id__dropi]],tblNotas[[#This Row],[Notas Manuales]], “”, 0),"")</f>
        <v/>
      </c>
      <c r="R559" t="s">
        <v>2983</v>
      </c>
      <c r="S559">
        <v>32946.5</v>
      </c>
      <c r="T559">
        <v>-10802.800000000001</v>
      </c>
      <c r="U559" cm="1">
        <f t="array" ref="U559">IFERROR(_xlfn.IFS(tblPedidos[[#This Row],[estado_operativo]]="ENTREGADO",tblPedidos[[#This Row],[ganancia_calc]],tblPedidos[[#This Row],[estado_operativo]]="DEVOLUCION",tblPedidos[[#This Row],[costo_devolucion_estimado]]),0)</f>
        <v>32946.5</v>
      </c>
      <c r="V559">
        <v>197679</v>
      </c>
      <c r="W559">
        <v>69900</v>
      </c>
      <c r="X559">
        <v>13503.5</v>
      </c>
      <c r="Y559">
        <v>23450</v>
      </c>
      <c r="Z559" s="11">
        <v>46036</v>
      </c>
      <c r="AA559">
        <v>8</v>
      </c>
      <c r="AB559" s="12">
        <v>0.86250000000000004</v>
      </c>
      <c r="AC559" t="s">
        <v>399</v>
      </c>
      <c r="AD559" t="s">
        <v>720</v>
      </c>
      <c r="AE559" t="s">
        <v>720</v>
      </c>
    </row>
    <row r="560" spans="1:31">
      <c r="A560" t="s">
        <v>1343</v>
      </c>
      <c r="C560">
        <v>506</v>
      </c>
      <c r="D560" t="s">
        <v>3311</v>
      </c>
      <c r="E560" s="11">
        <v>46035</v>
      </c>
      <c r="F560" t="s">
        <v>3312</v>
      </c>
      <c r="G560" t="s">
        <v>45</v>
      </c>
      <c r="J560" t="s">
        <v>720</v>
      </c>
      <c r="K560" t="s">
        <v>3313</v>
      </c>
      <c r="L560" t="s">
        <v>111</v>
      </c>
      <c r="M560" t="s">
        <v>2307</v>
      </c>
      <c r="N560" t="s">
        <v>3314</v>
      </c>
      <c r="O560" t="s">
        <v>3315</v>
      </c>
      <c r="P560" s="46" t="str" cm="1">
        <f t="array" aca="1" ref="P560" ca="1">IFERROR(_xlfn.XLOOKUP(tblPedidos[[#This Row],[id_dropi]],tblNotas[[#This Row],[id__dropi]],tblNotas[[#This Row],[Notas Manuales]], “”, 0),"")</f>
        <v/>
      </c>
      <c r="Q560" t="s">
        <v>3316</v>
      </c>
      <c r="R560" t="s">
        <v>3014</v>
      </c>
      <c r="S560">
        <v>22829.5</v>
      </c>
      <c r="T560">
        <v>-17670.5</v>
      </c>
      <c r="U560" cm="1">
        <f t="array" ref="U560">IFERROR(_xlfn.IFS(tblPedidos[[#This Row],[estado_operativo]]="ENTREGADO",tblPedidos[[#This Row],[ganancia_calc]],tblPedidos[[#This Row],[estado_operativo]]="DEVOLUCION",tblPedidos[[#This Row],[costo_devolucion_estimado]]),0)</f>
        <v>22829.5</v>
      </c>
      <c r="V560">
        <v>91318</v>
      </c>
      <c r="W560">
        <v>54900</v>
      </c>
      <c r="X560">
        <v>17670.5</v>
      </c>
      <c r="Y560">
        <v>14400</v>
      </c>
      <c r="Z560" s="11">
        <v>46040</v>
      </c>
      <c r="AA560">
        <v>4</v>
      </c>
      <c r="AB560" s="12">
        <v>0.33819444444444446</v>
      </c>
      <c r="AC560" t="s">
        <v>720</v>
      </c>
      <c r="AD560" t="s">
        <v>720</v>
      </c>
      <c r="AE560" t="s">
        <v>720</v>
      </c>
    </row>
    <row r="561" spans="1:31">
      <c r="A561" s="44" t="s">
        <v>33</v>
      </c>
      <c r="B561" s="44" t="s">
        <v>2946</v>
      </c>
      <c r="C561" s="44">
        <v>523</v>
      </c>
      <c r="D561" s="44" t="s">
        <v>3317</v>
      </c>
      <c r="E561" s="45">
        <v>46035</v>
      </c>
      <c r="F561" t="s">
        <v>3318</v>
      </c>
      <c r="G561" s="44" t="s">
        <v>45</v>
      </c>
      <c r="H561" s="44"/>
      <c r="I561" s="44"/>
      <c r="J561" s="44" t="s">
        <v>522</v>
      </c>
      <c r="K561" s="44" t="s">
        <v>3319</v>
      </c>
      <c r="L561" s="44" t="s">
        <v>111</v>
      </c>
      <c r="M561" s="44" t="s">
        <v>3320</v>
      </c>
      <c r="N561" s="44" t="s">
        <v>3321</v>
      </c>
      <c r="O561" s="44" t="s">
        <v>3322</v>
      </c>
      <c r="P561" s="46" t="str" cm="1">
        <f t="array" aca="1" ref="P561" ca="1">IFERROR(_xlfn.XLOOKUP(tblPedidos[[#This Row],[id_dropi]],tblNotas[[#This Row],[id__dropi]],tblNotas[[#This Row],[Notas Manuales]], “”, 0),"")</f>
        <v/>
      </c>
      <c r="Q561" s="44" t="s">
        <v>50</v>
      </c>
      <c r="R561" s="44" t="s">
        <v>2983</v>
      </c>
      <c r="S561" s="44">
        <v>28104.5</v>
      </c>
      <c r="T561" s="44">
        <v>-18345.5</v>
      </c>
      <c r="U561" s="44" cm="1">
        <f t="array" ref="U561">IFERROR(_xlfn.IFS(tblPedidos[[#This Row],[estado_operativo]]="ENTREGADO",tblPedidos[[#This Row],[ganancia_calc]],tblPedidos[[#This Row],[estado_operativo]]="DEVOLUCION",tblPedidos[[#This Row],[costo_devolucion_estimado]]),0)</f>
        <v>0</v>
      </c>
      <c r="V561" s="44">
        <v>0</v>
      </c>
      <c r="W561" s="44">
        <v>69900</v>
      </c>
      <c r="X561" s="44">
        <v>18345.5</v>
      </c>
      <c r="Y561" s="44">
        <v>23450</v>
      </c>
      <c r="Z561" s="11">
        <v>46043</v>
      </c>
      <c r="AA561">
        <v>1</v>
      </c>
      <c r="AB561" s="12">
        <v>0.42777777777777776</v>
      </c>
      <c r="AC561" s="44" t="s">
        <v>982</v>
      </c>
      <c r="AD561" s="44" t="s">
        <v>717</v>
      </c>
      <c r="AE561" s="44" t="s">
        <v>522</v>
      </c>
    </row>
    <row r="562" spans="1:31">
      <c r="A562" s="44" t="s">
        <v>1343</v>
      </c>
      <c r="B562" s="44"/>
      <c r="C562" s="44">
        <v>524</v>
      </c>
      <c r="D562" s="44" t="s">
        <v>3323</v>
      </c>
      <c r="E562" s="45">
        <v>46035</v>
      </c>
      <c r="F562" t="s">
        <v>3324</v>
      </c>
      <c r="G562" s="44" t="s">
        <v>45</v>
      </c>
      <c r="H562" s="44"/>
      <c r="I562" s="44"/>
      <c r="J562" s="44" t="s">
        <v>1657</v>
      </c>
      <c r="K562" s="44" t="s">
        <v>3325</v>
      </c>
      <c r="L562" s="44" t="s">
        <v>328</v>
      </c>
      <c r="M562" s="44" t="s">
        <v>2827</v>
      </c>
      <c r="N562" s="44" t="s">
        <v>3326</v>
      </c>
      <c r="O562" s="44" t="s">
        <v>3327</v>
      </c>
      <c r="P562" s="46" t="str" cm="1">
        <f t="array" aca="1" ref="P562" ca="1">IFERROR(_xlfn.XLOOKUP(tblPedidos[[#This Row],[id_dropi]],tblNotas[[#This Row],[id__dropi]],tblNotas[[#This Row],[Notas Manuales]], “”, 0),"")</f>
        <v/>
      </c>
      <c r="Q562" s="44"/>
      <c r="R562" s="44" t="s">
        <v>2983</v>
      </c>
      <c r="S562" s="44">
        <v>28104.5</v>
      </c>
      <c r="T562" s="44">
        <v>-18345.5</v>
      </c>
      <c r="U562" s="44" cm="1">
        <f t="array" ref="U562">IFERROR(_xlfn.IFS(tblPedidos[[#This Row],[estado_operativo]]="ENTREGADO",tblPedidos[[#This Row],[ganancia_calc]],tblPedidos[[#This Row],[estado_operativo]]="DEVOLUCION",tblPedidos[[#This Row],[costo_devolucion_estimado]]),0)</f>
        <v>-18345.5</v>
      </c>
      <c r="V562" s="44">
        <v>-55036.5</v>
      </c>
      <c r="W562" s="44">
        <v>69900</v>
      </c>
      <c r="X562" s="44">
        <v>18345.5</v>
      </c>
      <c r="Y562" s="44">
        <v>23450</v>
      </c>
      <c r="Z562" s="11">
        <v>46041</v>
      </c>
      <c r="AA562">
        <v>3</v>
      </c>
      <c r="AB562" s="12">
        <v>0.42638888888888887</v>
      </c>
      <c r="AC562" s="44" t="s">
        <v>1657</v>
      </c>
      <c r="AD562" s="44" t="s">
        <v>1657</v>
      </c>
      <c r="AE562" s="44" t="s">
        <v>1657</v>
      </c>
    </row>
    <row r="563" spans="1:31">
      <c r="A563" t="s">
        <v>1343</v>
      </c>
      <c r="C563">
        <v>525</v>
      </c>
      <c r="D563" t="s">
        <v>3328</v>
      </c>
      <c r="E563" s="11">
        <v>46035</v>
      </c>
      <c r="F563" t="s">
        <v>3329</v>
      </c>
      <c r="G563" t="s">
        <v>45</v>
      </c>
      <c r="J563" t="s">
        <v>720</v>
      </c>
      <c r="K563" t="s">
        <v>3330</v>
      </c>
      <c r="L563" t="s">
        <v>81</v>
      </c>
      <c r="M563" t="s">
        <v>3331</v>
      </c>
      <c r="N563" t="s">
        <v>3332</v>
      </c>
      <c r="O563" t="s">
        <v>3333</v>
      </c>
      <c r="P563" s="46" t="str" cm="1">
        <f t="array" aca="1" ref="P563" ca="1">IFERROR(_xlfn.XLOOKUP(tblPedidos[[#This Row],[id_dropi]],tblNotas[[#This Row],[id__dropi]],tblNotas[[#This Row],[Notas Manuales]], “”, 0),"")</f>
        <v/>
      </c>
      <c r="Q563" t="s">
        <v>3334</v>
      </c>
      <c r="R563" t="s">
        <v>3335</v>
      </c>
      <c r="S563">
        <v>70259</v>
      </c>
      <c r="T563">
        <v>-21941</v>
      </c>
      <c r="U563" cm="1">
        <f t="array" ref="U563">IFERROR(_xlfn.IFS(tblPedidos[[#This Row],[estado_operativo]]="ENTREGADO",tblPedidos[[#This Row],[ganancia_calc]],tblPedidos[[#This Row],[estado_operativo]]="DEVOLUCION",tblPedidos[[#This Row],[costo_devolucion_estimado]]),0)</f>
        <v>70259</v>
      </c>
      <c r="V563">
        <v>70259</v>
      </c>
      <c r="W563">
        <v>149800</v>
      </c>
      <c r="X563">
        <v>21941</v>
      </c>
      <c r="Y563">
        <v>57600</v>
      </c>
      <c r="Z563" s="11">
        <v>46042</v>
      </c>
      <c r="AA563">
        <v>2</v>
      </c>
      <c r="AB563" s="12">
        <v>0.6166666666666667</v>
      </c>
      <c r="AC563" t="s">
        <v>720</v>
      </c>
      <c r="AD563" t="s">
        <v>720</v>
      </c>
      <c r="AE563" t="s">
        <v>720</v>
      </c>
    </row>
    <row r="564" spans="1:31">
      <c r="A564" t="s">
        <v>1343</v>
      </c>
      <c r="C564">
        <v>520</v>
      </c>
      <c r="D564" t="s">
        <v>3336</v>
      </c>
      <c r="E564" s="11">
        <v>46035</v>
      </c>
      <c r="F564" t="s">
        <v>3337</v>
      </c>
      <c r="G564" t="s">
        <v>45</v>
      </c>
      <c r="J564" t="s">
        <v>720</v>
      </c>
      <c r="K564" t="s">
        <v>3338</v>
      </c>
      <c r="L564" t="s">
        <v>46</v>
      </c>
      <c r="M564" t="s">
        <v>94</v>
      </c>
      <c r="N564" t="s">
        <v>3339</v>
      </c>
      <c r="O564" t="s">
        <v>3340</v>
      </c>
      <c r="P564" s="46" t="str" cm="1">
        <f t="array" aca="1" ref="P564" ca="1">IFERROR(_xlfn.XLOOKUP(tblPedidos[[#This Row],[id_dropi]],tblNotas[[#This Row],[id__dropi]],tblNotas[[#This Row],[Notas Manuales]], “”, 0),"")</f>
        <v/>
      </c>
      <c r="Q564" t="s">
        <v>3341</v>
      </c>
      <c r="R564" t="s">
        <v>3200</v>
      </c>
      <c r="S564">
        <v>28704.5</v>
      </c>
      <c r="T564">
        <v>-12395.5</v>
      </c>
      <c r="U564" cm="1">
        <f t="array" ref="U564">IFERROR(_xlfn.IFS(tblPedidos[[#This Row],[estado_operativo]]="ENTREGADO",tblPedidos[[#This Row],[ganancia_calc]],tblPedidos[[#This Row],[estado_operativo]]="DEVOLUCION",tblPedidos[[#This Row],[costo_devolucion_estimado]]),0)</f>
        <v>28704.5</v>
      </c>
      <c r="V564">
        <v>143522.5</v>
      </c>
      <c r="W564">
        <v>69900</v>
      </c>
      <c r="X564">
        <v>12395.5</v>
      </c>
      <c r="Y564">
        <v>28800</v>
      </c>
      <c r="Z564" s="11">
        <v>46038</v>
      </c>
      <c r="AA564">
        <v>6</v>
      </c>
      <c r="AB564" s="12">
        <v>0.67291666666666672</v>
      </c>
      <c r="AC564" t="s">
        <v>720</v>
      </c>
      <c r="AD564" t="s">
        <v>720</v>
      </c>
      <c r="AE564" t="s">
        <v>720</v>
      </c>
    </row>
    <row r="565" spans="1:31">
      <c r="A565" s="44" t="s">
        <v>33</v>
      </c>
      <c r="B565" s="44" t="s">
        <v>2946</v>
      </c>
      <c r="C565" s="44">
        <v>521</v>
      </c>
      <c r="D565" s="44" t="s">
        <v>3342</v>
      </c>
      <c r="E565" s="45">
        <v>46035</v>
      </c>
      <c r="F565" t="s">
        <v>3343</v>
      </c>
      <c r="G565" s="44" t="s">
        <v>45</v>
      </c>
      <c r="H565" s="44"/>
      <c r="I565" s="44"/>
      <c r="J565" s="44" t="s">
        <v>1371</v>
      </c>
      <c r="K565" s="44" t="s">
        <v>3344</v>
      </c>
      <c r="L565" s="44" t="s">
        <v>159</v>
      </c>
      <c r="M565" s="44" t="s">
        <v>345</v>
      </c>
      <c r="N565" s="44" t="s">
        <v>3345</v>
      </c>
      <c r="O565" s="44" t="s">
        <v>3346</v>
      </c>
      <c r="P565" s="46" t="str" cm="1">
        <f t="array" aca="1" ref="P565" ca="1">IFERROR(_xlfn.XLOOKUP(tblPedidos[[#This Row],[id_dropi]],tblNotas[[#This Row],[id__dropi]],tblNotas[[#This Row],[Notas Manuales]], “”, 0),"")</f>
        <v/>
      </c>
      <c r="Q565" s="44" t="s">
        <v>3347</v>
      </c>
      <c r="R565" s="44" t="s">
        <v>3014</v>
      </c>
      <c r="S565" s="44">
        <v>22829.5</v>
      </c>
      <c r="T565" s="44">
        <v>-17670.5</v>
      </c>
      <c r="U565" s="44" cm="1">
        <f t="array" ref="U565">IFERROR(_xlfn.IFS(tblPedidos[[#This Row],[estado_operativo]]="ENTREGADO",tblPedidos[[#This Row],[ganancia_calc]],tblPedidos[[#This Row],[estado_operativo]]="DEVOLUCION",tblPedidos[[#This Row],[costo_devolucion_estimado]]),0)</f>
        <v>0</v>
      </c>
      <c r="V565" s="44">
        <v>0</v>
      </c>
      <c r="W565" s="44">
        <v>54900</v>
      </c>
      <c r="X565" s="44">
        <v>17670.5</v>
      </c>
      <c r="Y565" s="44">
        <v>14400</v>
      </c>
      <c r="Z565" s="11">
        <v>46043</v>
      </c>
      <c r="AA565">
        <v>1</v>
      </c>
      <c r="AB565" s="12">
        <v>0.43402777777777779</v>
      </c>
      <c r="AC565" s="44" t="s">
        <v>982</v>
      </c>
      <c r="AD565" s="44" t="s">
        <v>982</v>
      </c>
      <c r="AE565" s="44" t="s">
        <v>1371</v>
      </c>
    </row>
    <row r="566" spans="1:31">
      <c r="A566" t="s">
        <v>1343</v>
      </c>
      <c r="C566">
        <v>522</v>
      </c>
      <c r="D566" t="s">
        <v>3348</v>
      </c>
      <c r="E566" s="11">
        <v>46035</v>
      </c>
      <c r="F566" t="s">
        <v>3349</v>
      </c>
      <c r="G566" t="s">
        <v>45</v>
      </c>
      <c r="J566" t="s">
        <v>720</v>
      </c>
      <c r="K566" t="s">
        <v>3350</v>
      </c>
      <c r="L566" t="s">
        <v>328</v>
      </c>
      <c r="M566" t="s">
        <v>329</v>
      </c>
      <c r="N566" t="s">
        <v>3351</v>
      </c>
      <c r="O566" t="s">
        <v>3352</v>
      </c>
      <c r="P566" s="46" t="str" cm="1">
        <f t="array" aca="1" ref="P566" ca="1">IFERROR(_xlfn.XLOOKUP(tblPedidos[[#This Row],[id_dropi]],tblNotas[[#This Row],[id__dropi]],tblNotas[[#This Row],[Notas Manuales]], “”, 0),"")</f>
        <v/>
      </c>
      <c r="R566" t="s">
        <v>3014</v>
      </c>
      <c r="S566">
        <v>27379.5</v>
      </c>
      <c r="T566">
        <v>-13120.5</v>
      </c>
      <c r="U566" cm="1">
        <f t="array" ref="U566">IFERROR(_xlfn.IFS(tblPedidos[[#This Row],[estado_operativo]]="ENTREGADO",tblPedidos[[#This Row],[ganancia_calc]],tblPedidos[[#This Row],[estado_operativo]]="DEVOLUCION",tblPedidos[[#This Row],[costo_devolucion_estimado]]),0)</f>
        <v>27379.5</v>
      </c>
      <c r="V566">
        <v>136897.5</v>
      </c>
      <c r="W566">
        <v>54900</v>
      </c>
      <c r="X566">
        <v>13120.5</v>
      </c>
      <c r="Y566">
        <v>14400</v>
      </c>
      <c r="Z566" s="11">
        <v>46039</v>
      </c>
      <c r="AA566">
        <v>5</v>
      </c>
      <c r="AB566" s="12">
        <v>4.8611111111111112E-2</v>
      </c>
      <c r="AC566" t="s">
        <v>720</v>
      </c>
      <c r="AD566" t="s">
        <v>720</v>
      </c>
      <c r="AE566" t="s">
        <v>720</v>
      </c>
    </row>
    <row r="567" spans="1:31">
      <c r="A567" t="s">
        <v>1343</v>
      </c>
      <c r="C567">
        <v>526</v>
      </c>
      <c r="D567" t="s">
        <v>3353</v>
      </c>
      <c r="E567" s="11">
        <v>46035</v>
      </c>
      <c r="F567" t="s">
        <v>3354</v>
      </c>
      <c r="G567" t="s">
        <v>45</v>
      </c>
      <c r="J567" t="s">
        <v>720</v>
      </c>
      <c r="K567" t="s">
        <v>3355</v>
      </c>
      <c r="L567" t="s">
        <v>136</v>
      </c>
      <c r="M567" t="s">
        <v>3356</v>
      </c>
      <c r="N567" t="s">
        <v>3357</v>
      </c>
      <c r="O567" t="s">
        <v>3358</v>
      </c>
      <c r="P567" s="46" t="str" cm="1">
        <f t="array" aca="1" ref="P567" ca="1">IFERROR(_xlfn.XLOOKUP(tblPedidos[[#This Row],[id_dropi]],tblNotas[[#This Row],[id__dropi]],tblNotas[[#This Row],[Notas Manuales]], “”, 0),"")</f>
        <v/>
      </c>
      <c r="Q567" t="s">
        <v>3359</v>
      </c>
      <c r="R567" t="s">
        <v>3014</v>
      </c>
      <c r="S567">
        <v>16801</v>
      </c>
      <c r="T567">
        <v>-18699</v>
      </c>
      <c r="U567" cm="1">
        <f t="array" ref="U567">IFERROR(_xlfn.IFS(tblPedidos[[#This Row],[estado_operativo]]="ENTREGADO",tblPedidos[[#This Row],[ganancia_calc]],tblPedidos[[#This Row],[estado_operativo]]="DEVOLUCION",tblPedidos[[#This Row],[costo_devolucion_estimado]]),0)</f>
        <v>16801</v>
      </c>
      <c r="V567">
        <v>84005</v>
      </c>
      <c r="W567">
        <v>49900</v>
      </c>
      <c r="X567">
        <v>18699</v>
      </c>
      <c r="Y567">
        <v>14400</v>
      </c>
      <c r="Z567" s="11">
        <v>46039</v>
      </c>
      <c r="AA567">
        <v>5</v>
      </c>
      <c r="AB567" s="12">
        <v>0.50972222222222219</v>
      </c>
      <c r="AC567" t="s">
        <v>720</v>
      </c>
      <c r="AD567" t="s">
        <v>720</v>
      </c>
      <c r="AE567" t="s">
        <v>720</v>
      </c>
    </row>
    <row r="568" spans="1:31">
      <c r="A568" t="s">
        <v>33</v>
      </c>
      <c r="C568">
        <v>530</v>
      </c>
      <c r="D568" t="s">
        <v>3360</v>
      </c>
      <c r="E568" s="11">
        <v>46035</v>
      </c>
      <c r="F568" t="s">
        <v>3361</v>
      </c>
      <c r="G568" t="s">
        <v>45</v>
      </c>
      <c r="J568" t="s">
        <v>1090</v>
      </c>
      <c r="L568" t="s">
        <v>46</v>
      </c>
      <c r="M568" t="s">
        <v>100</v>
      </c>
      <c r="N568" t="s">
        <v>3362</v>
      </c>
      <c r="O568" t="s">
        <v>3363</v>
      </c>
      <c r="P568" s="46" t="str" cm="1">
        <f t="array" aca="1" ref="P568" ca="1">IFERROR(_xlfn.XLOOKUP(tblPedidos[[#This Row],[id_dropi]],tblNotas[[#This Row],[id__dropi]],tblNotas[[#This Row],[Notas Manuales]], “”, 0),"")</f>
        <v/>
      </c>
      <c r="Q568" t="s">
        <v>3364</v>
      </c>
      <c r="R568" t="s">
        <v>3014</v>
      </c>
      <c r="S568">
        <v>28779.5</v>
      </c>
      <c r="T568">
        <v>-11720.5</v>
      </c>
      <c r="U568" cm="1">
        <f t="array" ref="U568">IFERROR(_xlfn.IFS(tblPedidos[[#This Row],[estado_operativo]]="ENTREGADO",tblPedidos[[#This Row],[ganancia_calc]],tblPedidos[[#This Row],[estado_operativo]]="DEVOLUCION",tblPedidos[[#This Row],[costo_devolucion_estimado]]),0)</f>
        <v>0</v>
      </c>
      <c r="V568">
        <v>0</v>
      </c>
      <c r="W568">
        <v>54900</v>
      </c>
      <c r="X568">
        <v>11720.5</v>
      </c>
      <c r="Y568">
        <v>14400</v>
      </c>
      <c r="Z568" s="11">
        <v>46037</v>
      </c>
      <c r="AA568">
        <v>7</v>
      </c>
      <c r="AB568" s="12">
        <v>0.65416666666666667</v>
      </c>
      <c r="AC568" t="s">
        <v>2146</v>
      </c>
      <c r="AD568" t="s">
        <v>2146</v>
      </c>
      <c r="AE568" t="s">
        <v>1090</v>
      </c>
    </row>
    <row r="569" spans="1:31">
      <c r="A569" s="44" t="s">
        <v>1343</v>
      </c>
      <c r="B569" s="44"/>
      <c r="C569" s="44">
        <v>531</v>
      </c>
      <c r="D569" s="44" t="s">
        <v>3365</v>
      </c>
      <c r="E569" s="45">
        <v>46035</v>
      </c>
      <c r="F569" t="s">
        <v>3366</v>
      </c>
      <c r="G569" s="44" t="s">
        <v>45</v>
      </c>
      <c r="H569" s="44"/>
      <c r="I569" s="44"/>
      <c r="J569" s="44" t="s">
        <v>720</v>
      </c>
      <c r="K569" s="44" t="s">
        <v>3367</v>
      </c>
      <c r="L569" s="44" t="s">
        <v>125</v>
      </c>
      <c r="M569" s="44" t="s">
        <v>3368</v>
      </c>
      <c r="N569" s="44" t="s">
        <v>3369</v>
      </c>
      <c r="O569" s="44" t="s">
        <v>3370</v>
      </c>
      <c r="P569" s="46" t="str" cm="1">
        <f t="array" aca="1" ref="P569" ca="1">IFERROR(_xlfn.XLOOKUP(tblPedidos[[#This Row],[id_dropi]],tblNotas[[#This Row],[id__dropi]],tblNotas[[#This Row],[Notas Manuales]], “”, 0),"")</f>
        <v/>
      </c>
      <c r="Q569" s="44"/>
      <c r="R569" s="44" t="s">
        <v>3200</v>
      </c>
      <c r="S569" s="44">
        <v>22754.5</v>
      </c>
      <c r="T569" s="44">
        <v>-18345.5</v>
      </c>
      <c r="U569" s="44" cm="1">
        <f t="array" ref="U569">IFERROR(_xlfn.IFS(tblPedidos[[#This Row],[estado_operativo]]="ENTREGADO",tblPedidos[[#This Row],[ganancia_calc]],tblPedidos[[#This Row],[estado_operativo]]="DEVOLUCION",tblPedidos[[#This Row],[costo_devolucion_estimado]]),0)</f>
        <v>22754.5</v>
      </c>
      <c r="V569" s="44">
        <v>68263.5</v>
      </c>
      <c r="W569" s="44">
        <v>69900</v>
      </c>
      <c r="X569" s="44">
        <v>18345.5</v>
      </c>
      <c r="Y569" s="44">
        <v>28800</v>
      </c>
      <c r="Z569" s="11">
        <v>46041</v>
      </c>
      <c r="AA569">
        <v>3</v>
      </c>
      <c r="AB569" s="12">
        <v>0.73541666666666672</v>
      </c>
      <c r="AC569" s="44" t="s">
        <v>720</v>
      </c>
      <c r="AD569" s="44" t="s">
        <v>720</v>
      </c>
      <c r="AE569" s="44" t="s">
        <v>720</v>
      </c>
    </row>
    <row r="570" spans="1:31">
      <c r="A570" s="44" t="s">
        <v>1343</v>
      </c>
      <c r="B570" s="44" t="s">
        <v>2946</v>
      </c>
      <c r="C570" s="44">
        <v>532</v>
      </c>
      <c r="D570" s="44" t="s">
        <v>3371</v>
      </c>
      <c r="E570" s="45">
        <v>46035</v>
      </c>
      <c r="F570" t="s">
        <v>3372</v>
      </c>
      <c r="G570" s="44" t="s">
        <v>45</v>
      </c>
      <c r="H570" s="44"/>
      <c r="I570" s="44"/>
      <c r="J570" s="44" t="s">
        <v>1657</v>
      </c>
      <c r="K570" s="44" t="s">
        <v>3373</v>
      </c>
      <c r="L570" s="44" t="s">
        <v>328</v>
      </c>
      <c r="M570" s="44" t="s">
        <v>3374</v>
      </c>
      <c r="N570" s="44" t="s">
        <v>3375</v>
      </c>
      <c r="O570" s="44" t="s">
        <v>3376</v>
      </c>
      <c r="P570" s="46" t="str" cm="1">
        <f t="array" aca="1" ref="P570" ca="1">IFERROR(_xlfn.XLOOKUP(tblPedidos[[#This Row],[id_dropi]],tblNotas[[#This Row],[id__dropi]],tblNotas[[#This Row],[Notas Manuales]], “”, 0),"")</f>
        <v/>
      </c>
      <c r="Q570" s="44" t="s">
        <v>3377</v>
      </c>
      <c r="R570" s="44" t="s">
        <v>3014</v>
      </c>
      <c r="S570" s="44">
        <v>22829.5</v>
      </c>
      <c r="T570" s="44">
        <v>-17670.5</v>
      </c>
      <c r="U570" s="44" cm="1">
        <f t="array" ref="U570">IFERROR(_xlfn.IFS(tblPedidos[[#This Row],[estado_operativo]]="ENTREGADO",tblPedidos[[#This Row],[ganancia_calc]],tblPedidos[[#This Row],[estado_operativo]]="DEVOLUCION",tblPedidos[[#This Row],[costo_devolucion_estimado]]),0)</f>
        <v>-17670.5</v>
      </c>
      <c r="V570" s="44">
        <v>-88352.5</v>
      </c>
      <c r="W570" s="44">
        <v>54900</v>
      </c>
      <c r="X570" s="44">
        <v>17670.5</v>
      </c>
      <c r="Y570" s="44">
        <v>14400</v>
      </c>
      <c r="Z570" s="11">
        <v>46039</v>
      </c>
      <c r="AA570">
        <v>5</v>
      </c>
      <c r="AB570" s="12">
        <v>0.42152777777777778</v>
      </c>
      <c r="AC570" s="44" t="s">
        <v>1657</v>
      </c>
      <c r="AD570" s="44" t="s">
        <v>1657</v>
      </c>
      <c r="AE570" s="44" t="s">
        <v>1657</v>
      </c>
    </row>
    <row r="571" spans="1:31">
      <c r="A571" t="s">
        <v>33</v>
      </c>
      <c r="C571">
        <v>527</v>
      </c>
      <c r="D571" t="s">
        <v>3378</v>
      </c>
      <c r="E571" s="11">
        <v>46035</v>
      </c>
      <c r="F571" t="s">
        <v>3379</v>
      </c>
      <c r="G571" t="s">
        <v>36</v>
      </c>
      <c r="J571" t="s">
        <v>939</v>
      </c>
      <c r="K571" t="s">
        <v>3380</v>
      </c>
      <c r="L571" t="s">
        <v>662</v>
      </c>
      <c r="M571" t="s">
        <v>663</v>
      </c>
      <c r="N571" t="s">
        <v>3381</v>
      </c>
      <c r="O571" t="s">
        <v>3382</v>
      </c>
      <c r="P571" s="46" t="str" cm="1">
        <f t="array" aca="1" ref="P571" ca="1">IFERROR(_xlfn.XLOOKUP(tblPedidos[[#This Row],[id_dropi]],tblNotas[[#This Row],[id__dropi]],tblNotas[[#This Row],[Notas Manuales]], “”, 0),"")</f>
        <v/>
      </c>
      <c r="R571" t="s">
        <v>3014</v>
      </c>
      <c r="S571">
        <v>25511.5</v>
      </c>
      <c r="T571">
        <v>-11990.800000000001</v>
      </c>
      <c r="U571" cm="1">
        <f t="array" ref="U571">IFERROR(_xlfn.IFS(tblPedidos[[#This Row],[estado_operativo]]="ENTREGADO",tblPedidos[[#This Row],[ganancia_calc]],tblPedidos[[#This Row],[estado_operativo]]="DEVOLUCION",tblPedidos[[#This Row],[costo_devolucion_estimado]]),0)</f>
        <v>0</v>
      </c>
      <c r="V571">
        <v>0</v>
      </c>
      <c r="W571">
        <v>54900</v>
      </c>
      <c r="X571">
        <v>14988.5</v>
      </c>
      <c r="Y571">
        <v>14400</v>
      </c>
      <c r="Z571" s="11">
        <v>46037</v>
      </c>
      <c r="AA571">
        <v>7</v>
      </c>
      <c r="AB571" s="12">
        <v>0.53125</v>
      </c>
      <c r="AC571" t="s">
        <v>399</v>
      </c>
      <c r="AD571" t="s">
        <v>939</v>
      </c>
      <c r="AE571" t="s">
        <v>939</v>
      </c>
    </row>
    <row r="572" spans="1:31">
      <c r="A572" s="44" t="s">
        <v>33</v>
      </c>
      <c r="B572" s="44" t="s">
        <v>2946</v>
      </c>
      <c r="C572" s="44">
        <v>528</v>
      </c>
      <c r="D572" s="44" t="s">
        <v>3383</v>
      </c>
      <c r="E572" s="45">
        <v>46035</v>
      </c>
      <c r="F572" t="s">
        <v>3384</v>
      </c>
      <c r="G572" s="44" t="s">
        <v>45</v>
      </c>
      <c r="H572" s="44"/>
      <c r="I572" s="44"/>
      <c r="J572" s="44" t="s">
        <v>720</v>
      </c>
      <c r="K572" s="44" t="s">
        <v>3385</v>
      </c>
      <c r="L572" s="44" t="s">
        <v>74</v>
      </c>
      <c r="M572" s="44" t="s">
        <v>3386</v>
      </c>
      <c r="N572" s="44" t="s">
        <v>3387</v>
      </c>
      <c r="O572" s="44" t="s">
        <v>3388</v>
      </c>
      <c r="P572" s="46" t="str" cm="1">
        <f t="array" aca="1" ref="P572" ca="1">IFERROR(_xlfn.XLOOKUP(tblPedidos[[#This Row],[id_dropi]],tblNotas[[#This Row],[id__dropi]],tblNotas[[#This Row],[Notas Manuales]], “”, 0),"")</f>
        <v/>
      </c>
      <c r="Q572" s="44" t="s">
        <v>3389</v>
      </c>
      <c r="R572" s="44" t="s">
        <v>3014</v>
      </c>
      <c r="S572" s="44">
        <v>16801</v>
      </c>
      <c r="T572" s="44">
        <v>-18699</v>
      </c>
      <c r="U572" s="44" cm="1">
        <f t="array" ref="U572">IFERROR(_xlfn.IFS(tblPedidos[[#This Row],[estado_operativo]]="ENTREGADO",tblPedidos[[#This Row],[ganancia_calc]],tblPedidos[[#This Row],[estado_operativo]]="DEVOLUCION",tblPedidos[[#This Row],[costo_devolucion_estimado]]),0)</f>
        <v>16801</v>
      </c>
      <c r="V572" s="44">
        <v>0</v>
      </c>
      <c r="W572" s="44">
        <v>49900</v>
      </c>
      <c r="X572" s="44">
        <v>18699</v>
      </c>
      <c r="Y572" s="44">
        <v>14400</v>
      </c>
      <c r="Z572" s="11">
        <v>46043</v>
      </c>
      <c r="AA572">
        <v>1</v>
      </c>
      <c r="AB572" s="12">
        <v>0.34791666666666665</v>
      </c>
      <c r="AC572" s="44" t="s">
        <v>720</v>
      </c>
      <c r="AD572" s="44" t="s">
        <v>720</v>
      </c>
      <c r="AE572" s="44" t="s">
        <v>720</v>
      </c>
    </row>
    <row r="573" spans="1:31">
      <c r="A573" s="44" t="s">
        <v>1343</v>
      </c>
      <c r="B573" s="44" t="s">
        <v>2946</v>
      </c>
      <c r="C573" s="44">
        <v>529</v>
      </c>
      <c r="D573" s="44" t="s">
        <v>3390</v>
      </c>
      <c r="E573" s="45">
        <v>46035</v>
      </c>
      <c r="F573" t="s">
        <v>3391</v>
      </c>
      <c r="G573" s="44" t="s">
        <v>45</v>
      </c>
      <c r="H573" s="44"/>
      <c r="I573" s="44"/>
      <c r="J573" s="44" t="s">
        <v>720</v>
      </c>
      <c r="K573" s="44" t="s">
        <v>3392</v>
      </c>
      <c r="L573" s="44" t="s">
        <v>427</v>
      </c>
      <c r="M573" s="44" t="s">
        <v>628</v>
      </c>
      <c r="N573" s="44" t="s">
        <v>3393</v>
      </c>
      <c r="O573" s="44" t="s">
        <v>3394</v>
      </c>
      <c r="P573" s="46" t="str" cm="1">
        <f t="array" aca="1" ref="P573" ca="1">IFERROR(_xlfn.XLOOKUP(tblPedidos[[#This Row],[id_dropi]],tblNotas[[#This Row],[id__dropi]],tblNotas[[#This Row],[Notas Manuales]], “”, 0),"")</f>
        <v/>
      </c>
      <c r="Q573" s="44"/>
      <c r="R573" s="44" t="s">
        <v>3027</v>
      </c>
      <c r="S573" s="44">
        <v>20654.5</v>
      </c>
      <c r="T573" s="44">
        <v>-19245.5</v>
      </c>
      <c r="U573" s="44" cm="1">
        <f t="array" ref="U573">IFERROR(_xlfn.IFS(tblPedidos[[#This Row],[estado_operativo]]="ENTREGADO",tblPedidos[[#This Row],[ganancia_calc]],tblPedidos[[#This Row],[estado_operativo]]="DEVOLUCION",tblPedidos[[#This Row],[costo_devolucion_estimado]]),0)</f>
        <v>20654.5</v>
      </c>
      <c r="V573" s="44">
        <v>103272.5</v>
      </c>
      <c r="W573" s="44">
        <v>89900</v>
      </c>
      <c r="X573" s="44">
        <v>19245.5</v>
      </c>
      <c r="Y573" s="44">
        <v>50000</v>
      </c>
      <c r="Z573" s="11">
        <v>46039</v>
      </c>
      <c r="AA573">
        <v>5</v>
      </c>
      <c r="AB573" s="12">
        <v>0.67152777777777772</v>
      </c>
      <c r="AC573" s="44" t="s">
        <v>720</v>
      </c>
      <c r="AD573" s="44" t="s">
        <v>720</v>
      </c>
      <c r="AE573" s="44" t="s">
        <v>720</v>
      </c>
    </row>
    <row r="574" spans="1:31">
      <c r="A574" t="s">
        <v>1343</v>
      </c>
      <c r="C574">
        <v>510</v>
      </c>
      <c r="D574" t="s">
        <v>3395</v>
      </c>
      <c r="E574" s="11">
        <v>46035</v>
      </c>
      <c r="F574" t="s">
        <v>3396</v>
      </c>
      <c r="G574" t="s">
        <v>45</v>
      </c>
      <c r="J574" t="s">
        <v>720</v>
      </c>
      <c r="K574" t="s">
        <v>3397</v>
      </c>
      <c r="L574" t="s">
        <v>166</v>
      </c>
      <c r="M574" t="s">
        <v>199</v>
      </c>
      <c r="N574" t="s">
        <v>3398</v>
      </c>
      <c r="O574" t="s">
        <v>3399</v>
      </c>
      <c r="P574" s="46" t="str" cm="1">
        <f t="array" aca="1" ref="P574" ca="1">IFERROR(_xlfn.XLOOKUP(tblPedidos[[#This Row],[id_dropi]],tblNotas[[#This Row],[id__dropi]],tblNotas[[#This Row],[Notas Manuales]], “”, 0),"")</f>
        <v/>
      </c>
      <c r="Q574" t="s">
        <v>3400</v>
      </c>
      <c r="R574" t="s">
        <v>3200</v>
      </c>
      <c r="S574">
        <v>27529.5</v>
      </c>
      <c r="T574">
        <v>-18570.5</v>
      </c>
      <c r="U574" cm="1">
        <f t="array" ref="U574">IFERROR(_xlfn.IFS(tblPedidos[[#This Row],[estado_operativo]]="ENTREGADO",tblPedidos[[#This Row],[ganancia_calc]],tblPedidos[[#This Row],[estado_operativo]]="DEVOLUCION",tblPedidos[[#This Row],[costo_devolucion_estimado]]),0)</f>
        <v>27529.5</v>
      </c>
      <c r="V574">
        <v>137647.5</v>
      </c>
      <c r="W574">
        <v>74900</v>
      </c>
      <c r="X574">
        <v>18570.5</v>
      </c>
      <c r="Y574">
        <v>28800</v>
      </c>
      <c r="Z574" s="11">
        <v>46038</v>
      </c>
      <c r="AA574">
        <v>6</v>
      </c>
      <c r="AB574" s="12">
        <v>0.67291666666666672</v>
      </c>
      <c r="AC574" t="s">
        <v>720</v>
      </c>
      <c r="AD574" t="s">
        <v>720</v>
      </c>
      <c r="AE574" t="s">
        <v>720</v>
      </c>
    </row>
    <row r="575" spans="1:31">
      <c r="A575" t="s">
        <v>1343</v>
      </c>
      <c r="C575">
        <v>511</v>
      </c>
      <c r="D575" t="s">
        <v>3401</v>
      </c>
      <c r="E575" s="11">
        <v>46035</v>
      </c>
      <c r="F575" t="s">
        <v>3402</v>
      </c>
      <c r="G575" t="s">
        <v>45</v>
      </c>
      <c r="J575" t="s">
        <v>720</v>
      </c>
      <c r="K575" t="s">
        <v>3403</v>
      </c>
      <c r="L575" t="s">
        <v>68</v>
      </c>
      <c r="M575" t="s">
        <v>69</v>
      </c>
      <c r="N575" t="s">
        <v>3404</v>
      </c>
      <c r="O575" t="s">
        <v>3405</v>
      </c>
      <c r="P575" s="46" t="str" cm="1">
        <f t="array" aca="1" ref="P575" ca="1">IFERROR(_xlfn.XLOOKUP(tblPedidos[[#This Row],[id_dropi]],tblNotas[[#This Row],[id__dropi]],tblNotas[[#This Row],[Notas Manuales]], “”, 0),"")</f>
        <v/>
      </c>
      <c r="Q575" t="s">
        <v>3406</v>
      </c>
      <c r="R575" t="s">
        <v>3027</v>
      </c>
      <c r="S575">
        <v>25204.5</v>
      </c>
      <c r="T575">
        <v>-14695.5</v>
      </c>
      <c r="U575" cm="1">
        <f t="array" ref="U575">IFERROR(_xlfn.IFS(tblPedidos[[#This Row],[estado_operativo]]="ENTREGADO",tblPedidos[[#This Row],[ganancia_calc]],tblPedidos[[#This Row],[estado_operativo]]="DEVOLUCION",tblPedidos[[#This Row],[costo_devolucion_estimado]]),0)</f>
        <v>25204.5</v>
      </c>
      <c r="V575">
        <v>126022.5</v>
      </c>
      <c r="W575">
        <v>89900</v>
      </c>
      <c r="X575">
        <v>14695.5</v>
      </c>
      <c r="Y575">
        <v>50000</v>
      </c>
      <c r="Z575" s="11">
        <v>46039</v>
      </c>
      <c r="AA575">
        <v>5</v>
      </c>
      <c r="AB575" s="12">
        <v>0.67291666666666672</v>
      </c>
      <c r="AC575" t="s">
        <v>720</v>
      </c>
      <c r="AD575" t="s">
        <v>720</v>
      </c>
      <c r="AE575" t="s">
        <v>720</v>
      </c>
    </row>
    <row r="576" spans="1:31">
      <c r="A576" t="s">
        <v>1343</v>
      </c>
      <c r="C576">
        <v>512</v>
      </c>
      <c r="D576" t="s">
        <v>3407</v>
      </c>
      <c r="E576" s="11">
        <v>46035</v>
      </c>
      <c r="F576" t="s">
        <v>3408</v>
      </c>
      <c r="G576" t="s">
        <v>36</v>
      </c>
      <c r="J576" t="s">
        <v>1657</v>
      </c>
      <c r="K576" t="s">
        <v>3409</v>
      </c>
      <c r="L576" t="s">
        <v>54</v>
      </c>
      <c r="M576" t="s">
        <v>373</v>
      </c>
      <c r="N576" t="s">
        <v>3410</v>
      </c>
      <c r="O576" t="s">
        <v>3411</v>
      </c>
      <c r="P576" s="46" t="str" cm="1">
        <f t="array" aca="1" ref="P576" ca="1">IFERROR(_xlfn.XLOOKUP(tblPedidos[[#This Row],[id_dropi]],tblNotas[[#This Row],[id__dropi]],tblNotas[[#This Row],[Notas Manuales]], “”, 0),"")</f>
        <v/>
      </c>
      <c r="R576" t="s">
        <v>3027</v>
      </c>
      <c r="S576">
        <v>23336.5</v>
      </c>
      <c r="T576">
        <v>-13250.800000000001</v>
      </c>
      <c r="U576" cm="1">
        <f t="array" ref="U576">IFERROR(_xlfn.IFS(tblPedidos[[#This Row],[estado_operativo]]="ENTREGADO",tblPedidos[[#This Row],[ganancia_calc]],tblPedidos[[#This Row],[estado_operativo]]="DEVOLUCION",tblPedidos[[#This Row],[costo_devolucion_estimado]]),0)</f>
        <v>-13250.800000000001</v>
      </c>
      <c r="V576">
        <v>-12518</v>
      </c>
      <c r="W576">
        <v>89900</v>
      </c>
      <c r="X576">
        <v>16563.5</v>
      </c>
      <c r="Y576">
        <v>50000</v>
      </c>
      <c r="Z576" s="11">
        <v>46036</v>
      </c>
      <c r="AA576">
        <v>8</v>
      </c>
      <c r="AB576" s="12">
        <v>0.97083333333333333</v>
      </c>
      <c r="AC576" t="s">
        <v>399</v>
      </c>
      <c r="AD576" t="s">
        <v>1657</v>
      </c>
      <c r="AE576" t="s">
        <v>1657</v>
      </c>
    </row>
    <row r="577" spans="1:31">
      <c r="A577" t="s">
        <v>1343</v>
      </c>
      <c r="C577">
        <v>507</v>
      </c>
      <c r="D577" t="s">
        <v>3412</v>
      </c>
      <c r="E577" s="11">
        <v>46035</v>
      </c>
      <c r="F577" t="s">
        <v>3413</v>
      </c>
      <c r="G577" t="s">
        <v>45</v>
      </c>
      <c r="J577" t="s">
        <v>720</v>
      </c>
      <c r="K577" t="s">
        <v>3414</v>
      </c>
      <c r="L577" t="s">
        <v>136</v>
      </c>
      <c r="M577" t="s">
        <v>3415</v>
      </c>
      <c r="N577" t="s">
        <v>3416</v>
      </c>
      <c r="O577" t="s">
        <v>3417</v>
      </c>
      <c r="P577" s="46" t="str" cm="1">
        <f t="array" aca="1" ref="P577" ca="1">IFERROR(_xlfn.XLOOKUP(tblPedidos[[#This Row],[id_dropi]],tblNotas[[#This Row],[id__dropi]],tblNotas[[#This Row],[Notas Manuales]], “”, 0),"")</f>
        <v/>
      </c>
      <c r="Q577" t="s">
        <v>3219</v>
      </c>
      <c r="R577" t="s">
        <v>3418</v>
      </c>
      <c r="S577">
        <v>28104.5</v>
      </c>
      <c r="T577">
        <v>-18795.5</v>
      </c>
      <c r="U577" cm="1">
        <f t="array" ref="U577">IFERROR(_xlfn.IFS(tblPedidos[[#This Row],[estado_operativo]]="ENTREGADO",tblPedidos[[#This Row],[ganancia_calc]],tblPedidos[[#This Row],[estado_operativo]]="DEVOLUCION",tblPedidos[[#This Row],[costo_devolucion_estimado]]),0)</f>
        <v>28104.5</v>
      </c>
      <c r="V577">
        <v>140522.5</v>
      </c>
      <c r="W577">
        <v>79900</v>
      </c>
      <c r="X577">
        <v>18795.5</v>
      </c>
      <c r="Y577">
        <v>33000</v>
      </c>
      <c r="Z577" s="11">
        <v>46038</v>
      </c>
      <c r="AA577">
        <v>6</v>
      </c>
      <c r="AB577" s="12">
        <v>0.83958333333333335</v>
      </c>
      <c r="AC577" t="s">
        <v>720</v>
      </c>
      <c r="AD577" t="s">
        <v>720</v>
      </c>
      <c r="AE577" t="s">
        <v>720</v>
      </c>
    </row>
    <row r="578" spans="1:31">
      <c r="A578" t="s">
        <v>33</v>
      </c>
      <c r="C578">
        <v>508</v>
      </c>
      <c r="D578" t="s">
        <v>3419</v>
      </c>
      <c r="E578" s="11">
        <v>46035</v>
      </c>
      <c r="F578" t="s">
        <v>3420</v>
      </c>
      <c r="G578" t="s">
        <v>45</v>
      </c>
      <c r="J578" t="s">
        <v>1371</v>
      </c>
      <c r="K578" t="s">
        <v>3421</v>
      </c>
      <c r="L578" t="s">
        <v>74</v>
      </c>
      <c r="M578" t="s">
        <v>3422</v>
      </c>
      <c r="N578" t="s">
        <v>3423</v>
      </c>
      <c r="O578" t="s">
        <v>3424</v>
      </c>
      <c r="P578" s="46" t="str" cm="1">
        <f t="array" aca="1" ref="P578" ca="1">IFERROR(_xlfn.XLOOKUP(tblPedidos[[#This Row],[id_dropi]],tblNotas[[#This Row],[id__dropi]],tblNotas[[#This Row],[Notas Manuales]], “”, 0),"")</f>
        <v/>
      </c>
      <c r="Q578" t="s">
        <v>50</v>
      </c>
      <c r="R578" t="s">
        <v>3200</v>
      </c>
      <c r="S578">
        <v>27529.5</v>
      </c>
      <c r="T578">
        <v>-18570.5</v>
      </c>
      <c r="U578" cm="1">
        <f t="array" ref="U578">IFERROR(_xlfn.IFS(tblPedidos[[#This Row],[estado_operativo]]="ENTREGADO",tblPedidos[[#This Row],[ganancia_calc]],tblPedidos[[#This Row],[estado_operativo]]="DEVOLUCION",tblPedidos[[#This Row],[costo_devolucion_estimado]]),0)</f>
        <v>0</v>
      </c>
      <c r="V578">
        <v>0</v>
      </c>
      <c r="W578">
        <v>74900</v>
      </c>
      <c r="X578">
        <v>18570.5</v>
      </c>
      <c r="Y578">
        <v>28800</v>
      </c>
      <c r="Z578" s="11">
        <v>46043</v>
      </c>
      <c r="AA578">
        <v>1</v>
      </c>
      <c r="AB578" s="12">
        <v>0.43611111111111112</v>
      </c>
      <c r="AC578" t="s">
        <v>982</v>
      </c>
      <c r="AD578" t="s">
        <v>982</v>
      </c>
      <c r="AE578" t="s">
        <v>1371</v>
      </c>
    </row>
    <row r="579" spans="1:31">
      <c r="A579" t="s">
        <v>1343</v>
      </c>
      <c r="C579">
        <v>509</v>
      </c>
      <c r="D579" t="s">
        <v>3425</v>
      </c>
      <c r="E579" s="11">
        <v>46035</v>
      </c>
      <c r="F579" t="s">
        <v>3426</v>
      </c>
      <c r="G579" t="s">
        <v>45</v>
      </c>
      <c r="J579" t="s">
        <v>1657</v>
      </c>
      <c r="K579" t="s">
        <v>3427</v>
      </c>
      <c r="L579" t="s">
        <v>46</v>
      </c>
      <c r="M579" t="s">
        <v>100</v>
      </c>
      <c r="N579" t="s">
        <v>3428</v>
      </c>
      <c r="O579" t="s">
        <v>3429</v>
      </c>
      <c r="P579" s="46" t="str" cm="1">
        <f t="array" aca="1" ref="P579" ca="1">IFERROR(_xlfn.XLOOKUP(tblPedidos[[#This Row],[id_dropi]],tblNotas[[#This Row],[id__dropi]],tblNotas[[#This Row],[Notas Manuales]], “”, 0),"")</f>
        <v/>
      </c>
      <c r="Q579" t="s">
        <v>50</v>
      </c>
      <c r="R579" t="s">
        <v>3027</v>
      </c>
      <c r="S579">
        <v>20654.5</v>
      </c>
      <c r="T579">
        <v>-19245.5</v>
      </c>
      <c r="U579" cm="1">
        <f t="array" ref="U579">IFERROR(_xlfn.IFS(tblPedidos[[#This Row],[estado_operativo]]="ENTREGADO",tblPedidos[[#This Row],[ganancia_calc]],tblPedidos[[#This Row],[estado_operativo]]="DEVOLUCION",tblPedidos[[#This Row],[costo_devolucion_estimado]]),0)</f>
        <v>-19245.5</v>
      </c>
      <c r="V579">
        <v>-96227.5</v>
      </c>
      <c r="W579">
        <v>89900</v>
      </c>
      <c r="X579">
        <v>19245.5</v>
      </c>
      <c r="Y579">
        <v>50000</v>
      </c>
      <c r="Z579" s="11">
        <v>46040</v>
      </c>
      <c r="AA579">
        <v>4</v>
      </c>
      <c r="AB579" s="12">
        <v>0.51458333333333328</v>
      </c>
      <c r="AC579" t="s">
        <v>1657</v>
      </c>
      <c r="AD579" t="s">
        <v>1657</v>
      </c>
      <c r="AE579" t="s">
        <v>1657</v>
      </c>
    </row>
    <row r="580" spans="1:31">
      <c r="A580" t="s">
        <v>1343</v>
      </c>
      <c r="C580">
        <v>513</v>
      </c>
      <c r="D580" t="s">
        <v>3430</v>
      </c>
      <c r="E580" s="11">
        <v>46035</v>
      </c>
      <c r="F580" t="s">
        <v>3431</v>
      </c>
      <c r="G580" t="s">
        <v>45</v>
      </c>
      <c r="J580" t="s">
        <v>720</v>
      </c>
      <c r="K580" t="s">
        <v>3432</v>
      </c>
      <c r="L580" t="s">
        <v>234</v>
      </c>
      <c r="M580" t="s">
        <v>3433</v>
      </c>
      <c r="N580" t="s">
        <v>3434</v>
      </c>
      <c r="O580" t="s">
        <v>3435</v>
      </c>
      <c r="P580" s="46" t="str" cm="1">
        <f t="array" aca="1" ref="P580" ca="1">IFERROR(_xlfn.XLOOKUP(tblPedidos[[#This Row],[id_dropi]],tblNotas[[#This Row],[id__dropi]],tblNotas[[#This Row],[Notas Manuales]], “”, 0),"")</f>
        <v/>
      </c>
      <c r="R580" t="s">
        <v>2983</v>
      </c>
      <c r="S580">
        <v>28104.5</v>
      </c>
      <c r="T580">
        <v>-18345.5</v>
      </c>
      <c r="U580" cm="1">
        <f t="array" ref="U580">IFERROR(_xlfn.IFS(tblPedidos[[#This Row],[estado_operativo]]="ENTREGADO",tblPedidos[[#This Row],[ganancia_calc]],tblPedidos[[#This Row],[estado_operativo]]="DEVOLUCION",tblPedidos[[#This Row],[costo_devolucion_estimado]]),0)</f>
        <v>28104.5</v>
      </c>
      <c r="V580">
        <v>168627</v>
      </c>
      <c r="W580">
        <v>69900</v>
      </c>
      <c r="X580">
        <v>18345.5</v>
      </c>
      <c r="Y580">
        <v>23450</v>
      </c>
      <c r="Z580" s="11">
        <v>46037</v>
      </c>
      <c r="AA580">
        <v>7</v>
      </c>
      <c r="AB580" s="12">
        <v>0.61319444444444449</v>
      </c>
      <c r="AC580" t="s">
        <v>720</v>
      </c>
      <c r="AD580" t="s">
        <v>720</v>
      </c>
      <c r="AE580" t="s">
        <v>720</v>
      </c>
    </row>
    <row r="581" spans="1:31">
      <c r="A581" t="s">
        <v>33</v>
      </c>
      <c r="C581">
        <v>517</v>
      </c>
      <c r="D581" t="s">
        <v>3436</v>
      </c>
      <c r="E581" s="11">
        <v>46035</v>
      </c>
      <c r="F581" t="s">
        <v>3437</v>
      </c>
      <c r="G581" t="s">
        <v>45</v>
      </c>
      <c r="J581" t="s">
        <v>1371</v>
      </c>
      <c r="K581" t="s">
        <v>3438</v>
      </c>
      <c r="L581" t="s">
        <v>54</v>
      </c>
      <c r="M581" t="s">
        <v>2564</v>
      </c>
      <c r="N581" t="s">
        <v>3439</v>
      </c>
      <c r="O581" t="s">
        <v>3440</v>
      </c>
      <c r="P581" s="46" t="str" cm="1">
        <f t="array" aca="1" ref="P581" ca="1">IFERROR(_xlfn.XLOOKUP(tblPedidos[[#This Row],[id_dropi]],tblNotas[[#This Row],[id__dropi]],tblNotas[[#This Row],[Notas Manuales]], “”, 0),"")</f>
        <v/>
      </c>
      <c r="Q581" t="s">
        <v>50</v>
      </c>
      <c r="R581" t="s">
        <v>2983</v>
      </c>
      <c r="S581">
        <v>28104.5</v>
      </c>
      <c r="T581">
        <v>-18345.5</v>
      </c>
      <c r="U581" cm="1">
        <f t="array" ref="U581">IFERROR(_xlfn.IFS(tblPedidos[[#This Row],[estado_operativo]]="ENTREGADO",tblPedidos[[#This Row],[ganancia_calc]],tblPedidos[[#This Row],[estado_operativo]]="DEVOLUCION",tblPedidos[[#This Row],[costo_devolucion_estimado]]),0)</f>
        <v>0</v>
      </c>
      <c r="V581">
        <v>0</v>
      </c>
      <c r="W581">
        <v>69900</v>
      </c>
      <c r="X581">
        <v>18345.5</v>
      </c>
      <c r="Y581">
        <v>23450</v>
      </c>
      <c r="Z581" s="11">
        <v>46043</v>
      </c>
      <c r="AA581">
        <v>1</v>
      </c>
      <c r="AB581" s="12">
        <v>0.43472222222222223</v>
      </c>
      <c r="AC581" t="s">
        <v>982</v>
      </c>
      <c r="AD581" t="s">
        <v>982</v>
      </c>
      <c r="AE581" t="s">
        <v>1371</v>
      </c>
    </row>
    <row r="582" spans="1:31">
      <c r="A582" t="s">
        <v>1343</v>
      </c>
      <c r="C582">
        <v>518</v>
      </c>
      <c r="D582" t="s">
        <v>3441</v>
      </c>
      <c r="E582" s="11">
        <v>46035</v>
      </c>
      <c r="F582" t="s">
        <v>3442</v>
      </c>
      <c r="G582" t="s">
        <v>45</v>
      </c>
      <c r="J582" t="s">
        <v>720</v>
      </c>
      <c r="K582" t="s">
        <v>3443</v>
      </c>
      <c r="L582" t="s">
        <v>46</v>
      </c>
      <c r="M582" t="s">
        <v>100</v>
      </c>
      <c r="N582" t="s">
        <v>3444</v>
      </c>
      <c r="O582" t="s">
        <v>3445</v>
      </c>
      <c r="P582" s="46" t="str" cm="1">
        <f t="array" aca="1" ref="P582" ca="1">IFERROR(_xlfn.XLOOKUP(tblPedidos[[#This Row],[id_dropi]],tblNotas[[#This Row],[id__dropi]],tblNotas[[#This Row],[Notas Manuales]], “”, 0),"")</f>
        <v/>
      </c>
      <c r="R582" t="s">
        <v>2983</v>
      </c>
      <c r="S582">
        <v>28104.5</v>
      </c>
      <c r="T582">
        <v>-18345.5</v>
      </c>
      <c r="U582" cm="1">
        <f t="array" ref="U582">IFERROR(_xlfn.IFS(tblPedidos[[#This Row],[estado_operativo]]="ENTREGADO",tblPedidos[[#This Row],[ganancia_calc]],tblPedidos[[#This Row],[estado_operativo]]="DEVOLUCION",tblPedidos[[#This Row],[costo_devolucion_estimado]]),0)</f>
        <v>28104.5</v>
      </c>
      <c r="V582">
        <v>168627</v>
      </c>
      <c r="W582">
        <v>69900</v>
      </c>
      <c r="X582">
        <v>18345.5</v>
      </c>
      <c r="Y582">
        <v>23450</v>
      </c>
      <c r="Z582" s="11">
        <v>46037</v>
      </c>
      <c r="AA582">
        <v>7</v>
      </c>
      <c r="AB582" s="12">
        <v>0.67152777777777772</v>
      </c>
      <c r="AC582" t="s">
        <v>720</v>
      </c>
      <c r="AD582" t="s">
        <v>720</v>
      </c>
      <c r="AE582" t="s">
        <v>720</v>
      </c>
    </row>
    <row r="583" spans="1:31">
      <c r="A583" s="44" t="s">
        <v>1343</v>
      </c>
      <c r="B583" s="44" t="s">
        <v>2946</v>
      </c>
      <c r="C583" s="44">
        <v>519</v>
      </c>
      <c r="D583" s="44" t="s">
        <v>3446</v>
      </c>
      <c r="E583" s="45">
        <v>46035</v>
      </c>
      <c r="F583" t="s">
        <v>3447</v>
      </c>
      <c r="G583" s="44" t="s">
        <v>45</v>
      </c>
      <c r="H583" s="44"/>
      <c r="I583" s="44"/>
      <c r="J583" s="44" t="s">
        <v>720</v>
      </c>
      <c r="K583" s="44" t="s">
        <v>3448</v>
      </c>
      <c r="L583" s="44" t="s">
        <v>54</v>
      </c>
      <c r="M583" s="44" t="s">
        <v>3449</v>
      </c>
      <c r="N583" s="44" t="s">
        <v>3450</v>
      </c>
      <c r="O583" s="44" t="s">
        <v>3451</v>
      </c>
      <c r="P583" s="46" t="str" cm="1">
        <f t="array" aca="1" ref="P583" ca="1">IFERROR(_xlfn.XLOOKUP(tblPedidos[[#This Row],[id_dropi]],tblNotas[[#This Row],[id__dropi]],tblNotas[[#This Row],[Notas Manuales]], “”, 0),"")</f>
        <v/>
      </c>
      <c r="Q583" s="44" t="s">
        <v>50</v>
      </c>
      <c r="R583" s="44" t="s">
        <v>3213</v>
      </c>
      <c r="S583" s="44">
        <v>17004.5</v>
      </c>
      <c r="T583" s="44">
        <v>-17895.5</v>
      </c>
      <c r="U583" s="44" cm="1">
        <f t="array" ref="U583">IFERROR(_xlfn.IFS(tblPedidos[[#This Row],[estado_operativo]]="ENTREGADO",tblPedidos[[#This Row],[ganancia_calc]],tblPedidos[[#This Row],[estado_operativo]]="DEVOLUCION",tblPedidos[[#This Row],[costo_devolucion_estimado]]),0)</f>
        <v>17004.5</v>
      </c>
      <c r="V583" s="44">
        <v>17004.5</v>
      </c>
      <c r="W583" s="44">
        <v>59900</v>
      </c>
      <c r="X583" s="44">
        <v>17895.5</v>
      </c>
      <c r="Y583" s="44">
        <v>25000</v>
      </c>
      <c r="Z583" s="11">
        <v>46042</v>
      </c>
      <c r="AA583">
        <v>2</v>
      </c>
      <c r="AB583" s="12">
        <v>0.6166666666666667</v>
      </c>
      <c r="AC583" s="44" t="s">
        <v>720</v>
      </c>
      <c r="AD583" s="44" t="s">
        <v>720</v>
      </c>
      <c r="AE583" s="44" t="s">
        <v>720</v>
      </c>
    </row>
    <row r="584" spans="1:31">
      <c r="A584" t="s">
        <v>1343</v>
      </c>
      <c r="C584">
        <v>514</v>
      </c>
      <c r="D584" t="s">
        <v>3452</v>
      </c>
      <c r="E584" s="11">
        <v>46035</v>
      </c>
      <c r="F584" t="s">
        <v>3453</v>
      </c>
      <c r="G584" t="s">
        <v>45</v>
      </c>
      <c r="J584" t="s">
        <v>720</v>
      </c>
      <c r="K584" t="s">
        <v>3454</v>
      </c>
      <c r="L584" t="s">
        <v>159</v>
      </c>
      <c r="M584" t="s">
        <v>160</v>
      </c>
      <c r="N584" t="s">
        <v>3455</v>
      </c>
      <c r="O584" t="s">
        <v>3456</v>
      </c>
      <c r="P584" s="46" t="str" cm="1">
        <f t="array" aca="1" ref="P584" ca="1">IFERROR(_xlfn.XLOOKUP(tblPedidos[[#This Row],[id_dropi]],tblNotas[[#This Row],[id__dropi]],tblNotas[[#This Row],[Notas Manuales]], “”, 0),"")</f>
        <v/>
      </c>
      <c r="R584" t="s">
        <v>3213</v>
      </c>
      <c r="S584">
        <v>17004.5</v>
      </c>
      <c r="T584">
        <v>-17895.5</v>
      </c>
      <c r="U584" cm="1">
        <f t="array" ref="U584">IFERROR(_xlfn.IFS(tblPedidos[[#This Row],[estado_operativo]]="ENTREGADO",tblPedidos[[#This Row],[ganancia_calc]],tblPedidos[[#This Row],[estado_operativo]]="DEVOLUCION",tblPedidos[[#This Row],[costo_devolucion_estimado]]),0)</f>
        <v>17004.5</v>
      </c>
      <c r="V584">
        <v>102027</v>
      </c>
      <c r="W584">
        <v>59900</v>
      </c>
      <c r="X584">
        <v>17895.5</v>
      </c>
      <c r="Y584">
        <v>25000</v>
      </c>
      <c r="Z584" s="11">
        <v>46037</v>
      </c>
      <c r="AA584">
        <v>7</v>
      </c>
      <c r="AB584" s="12">
        <v>0.67222222222222228</v>
      </c>
      <c r="AC584" t="s">
        <v>720</v>
      </c>
      <c r="AD584" t="s">
        <v>720</v>
      </c>
      <c r="AE584" t="s">
        <v>720</v>
      </c>
    </row>
    <row r="585" spans="1:31">
      <c r="A585" s="44" t="s">
        <v>1343</v>
      </c>
      <c r="B585" s="44" t="s">
        <v>2946</v>
      </c>
      <c r="C585" s="44">
        <v>515</v>
      </c>
      <c r="D585" s="44" t="s">
        <v>3457</v>
      </c>
      <c r="E585" s="45">
        <v>46035</v>
      </c>
      <c r="F585" t="s">
        <v>3458</v>
      </c>
      <c r="G585" s="44" t="s">
        <v>45</v>
      </c>
      <c r="H585" s="44"/>
      <c r="I585" s="44"/>
      <c r="J585" s="44" t="s">
        <v>720</v>
      </c>
      <c r="K585" s="44" t="s">
        <v>3459</v>
      </c>
      <c r="L585" s="44" t="s">
        <v>46</v>
      </c>
      <c r="M585" s="44" t="s">
        <v>100</v>
      </c>
      <c r="N585" s="44" t="s">
        <v>3460</v>
      </c>
      <c r="O585" s="44" t="s">
        <v>3461</v>
      </c>
      <c r="P585" s="46" t="str" cm="1">
        <f t="array" aca="1" ref="P585" ca="1">IFERROR(_xlfn.XLOOKUP(tblPedidos[[#This Row],[id_dropi]],tblNotas[[#This Row],[id__dropi]],tblNotas[[#This Row],[Notas Manuales]], “”, 0),"")</f>
        <v/>
      </c>
      <c r="Q585" s="44"/>
      <c r="R585" s="44" t="s">
        <v>3008</v>
      </c>
      <c r="S585" s="44">
        <v>32729.5</v>
      </c>
      <c r="T585" s="44">
        <v>-12170.5</v>
      </c>
      <c r="U585" s="44" cm="1">
        <f t="array" ref="U585">IFERROR(_xlfn.IFS(tblPedidos[[#This Row],[estado_operativo]]="ENTREGADO",tblPedidos[[#This Row],[ganancia_calc]],tblPedidos[[#This Row],[estado_operativo]]="DEVOLUCION",tblPedidos[[#This Row],[costo_devolucion_estimado]]),0)</f>
        <v>32729.5</v>
      </c>
      <c r="V585" s="44">
        <v>163647.5</v>
      </c>
      <c r="W585" s="44">
        <v>64900</v>
      </c>
      <c r="X585" s="44">
        <v>12170.5</v>
      </c>
      <c r="Y585" s="44">
        <v>20000</v>
      </c>
      <c r="Z585" s="11">
        <v>46038</v>
      </c>
      <c r="AA585">
        <v>6</v>
      </c>
      <c r="AB585" s="12">
        <v>0.42222222222222222</v>
      </c>
      <c r="AC585" s="44" t="s">
        <v>720</v>
      </c>
      <c r="AD585" s="44" t="s">
        <v>720</v>
      </c>
      <c r="AE585" s="44" t="s">
        <v>720</v>
      </c>
    </row>
    <row r="586" spans="1:31">
      <c r="A586" s="44" t="s">
        <v>33</v>
      </c>
      <c r="B586" s="44" t="s">
        <v>2946</v>
      </c>
      <c r="C586" s="44">
        <v>516</v>
      </c>
      <c r="D586" s="44" t="s">
        <v>3462</v>
      </c>
      <c r="E586" s="45">
        <v>46035</v>
      </c>
      <c r="F586" t="s">
        <v>3463</v>
      </c>
      <c r="G586" s="44" t="s">
        <v>45</v>
      </c>
      <c r="H586" s="44"/>
      <c r="I586" s="44"/>
      <c r="J586" s="44" t="s">
        <v>1090</v>
      </c>
      <c r="K586" s="44" t="s">
        <v>3464</v>
      </c>
      <c r="L586" s="44" t="s">
        <v>545</v>
      </c>
      <c r="M586" s="44" t="s">
        <v>2691</v>
      </c>
      <c r="N586" s="44" t="s">
        <v>3465</v>
      </c>
      <c r="O586" s="44" t="s">
        <v>3466</v>
      </c>
      <c r="P586" s="46" t="str" cm="1">
        <f t="array" aca="1" ref="P586" ca="1">IFERROR(_xlfn.XLOOKUP(tblPedidos[[#This Row],[id_dropi]],tblNotas[[#This Row],[id__dropi]],tblNotas[[#This Row],[Notas Manuales]], “”, 0),"")</f>
        <v/>
      </c>
      <c r="Q586" s="44" t="s">
        <v>50</v>
      </c>
      <c r="R586" s="44" t="s">
        <v>3467</v>
      </c>
      <c r="S586" s="44">
        <v>33304.5</v>
      </c>
      <c r="T586" s="44">
        <v>-19695.5</v>
      </c>
      <c r="U586" s="44" cm="1">
        <f t="array" ref="U586">IFERROR(_xlfn.IFS(tblPedidos[[#This Row],[estado_operativo]]="ENTREGADO",tblPedidos[[#This Row],[ganancia_calc]],tblPedidos[[#This Row],[estado_operativo]]="DEVOLUCION",tblPedidos[[#This Row],[costo_devolucion_estimado]]),0)</f>
        <v>0</v>
      </c>
      <c r="V586" s="44">
        <v>0</v>
      </c>
      <c r="W586" s="44">
        <v>99900</v>
      </c>
      <c r="X586" s="44">
        <v>19695.5</v>
      </c>
      <c r="Y586" s="44">
        <v>46900</v>
      </c>
      <c r="Z586" s="11">
        <v>46038</v>
      </c>
      <c r="AA586">
        <v>6</v>
      </c>
      <c r="AB586" s="12">
        <v>0.68125000000000002</v>
      </c>
      <c r="AC586" s="44" t="s">
        <v>2236</v>
      </c>
      <c r="AD586" s="44" t="s">
        <v>2236</v>
      </c>
      <c r="AE586" s="44" t="s">
        <v>1090</v>
      </c>
    </row>
    <row r="587" spans="1:31">
      <c r="A587" t="s">
        <v>1343</v>
      </c>
      <c r="C587">
        <v>368</v>
      </c>
      <c r="D587" t="s">
        <v>3468</v>
      </c>
      <c r="E587" s="11">
        <v>46034</v>
      </c>
      <c r="F587" t="s">
        <v>3469</v>
      </c>
      <c r="G587" t="s">
        <v>45</v>
      </c>
      <c r="J587" t="s">
        <v>720</v>
      </c>
      <c r="K587" t="s">
        <v>3470</v>
      </c>
      <c r="L587" t="s">
        <v>74</v>
      </c>
      <c r="M587" t="s">
        <v>1555</v>
      </c>
      <c r="N587" t="s">
        <v>3471</v>
      </c>
      <c r="O587" t="s">
        <v>3472</v>
      </c>
      <c r="P587" s="46" t="str" cm="1">
        <f t="array" aca="1" ref="P587" ca="1">IFERROR(_xlfn.XLOOKUP(tblPedidos[[#This Row],[id_dropi]],tblNotas[[#This Row],[id__dropi]],tblNotas[[#This Row],[Notas Manuales]], “”, 0),"")</f>
        <v/>
      </c>
      <c r="R587" t="s">
        <v>3014</v>
      </c>
      <c r="S587">
        <v>22829.5</v>
      </c>
      <c r="T587">
        <v>-17670.5</v>
      </c>
      <c r="U587" cm="1">
        <f t="array" ref="U587">IFERROR(_xlfn.IFS(tblPedidos[[#This Row],[estado_operativo]]="ENTREGADO",tblPedidos[[#This Row],[ganancia_calc]],tblPedidos[[#This Row],[estado_operativo]]="DEVOLUCION",tblPedidos[[#This Row],[costo_devolucion_estimado]]),0)</f>
        <v>22829.5</v>
      </c>
      <c r="V587">
        <v>136977</v>
      </c>
      <c r="W587">
        <v>54900</v>
      </c>
      <c r="X587">
        <v>17670.5</v>
      </c>
      <c r="Y587">
        <v>14400</v>
      </c>
      <c r="Z587" s="11">
        <v>46037</v>
      </c>
      <c r="AA587">
        <v>7</v>
      </c>
      <c r="AB587" s="12">
        <v>0.67152777777777772</v>
      </c>
      <c r="AC587" t="s">
        <v>720</v>
      </c>
      <c r="AD587" t="s">
        <v>720</v>
      </c>
      <c r="AE587" t="s">
        <v>720</v>
      </c>
    </row>
    <row r="588" spans="1:31">
      <c r="A588" t="s">
        <v>33</v>
      </c>
      <c r="B588" t="s">
        <v>2946</v>
      </c>
      <c r="C588">
        <v>369</v>
      </c>
      <c r="D588" t="s">
        <v>3473</v>
      </c>
      <c r="E588" s="11">
        <v>46034</v>
      </c>
      <c r="F588" t="s">
        <v>3474</v>
      </c>
      <c r="G588" t="s">
        <v>45</v>
      </c>
      <c r="J588" t="s">
        <v>720</v>
      </c>
      <c r="K588" t="s">
        <v>3475</v>
      </c>
      <c r="L588" t="s">
        <v>328</v>
      </c>
      <c r="M588" t="s">
        <v>1327</v>
      </c>
      <c r="N588" t="s">
        <v>3476</v>
      </c>
      <c r="O588" t="s">
        <v>3477</v>
      </c>
      <c r="P588" s="46" t="str" cm="1">
        <f t="array" aca="1" ref="P588" ca="1">IFERROR(_xlfn.XLOOKUP(tblPedidos[[#This Row],[id_dropi]],tblNotas[[#This Row],[id__dropi]],tblNotas[[#This Row],[Notas Manuales]], “”, 0),"")</f>
        <v/>
      </c>
      <c r="Q588" t="s">
        <v>3478</v>
      </c>
      <c r="R588" t="s">
        <v>3027</v>
      </c>
      <c r="S588">
        <v>15879.5</v>
      </c>
      <c r="T588">
        <v>-19020.5</v>
      </c>
      <c r="U588" cm="1">
        <f t="array" ref="U588">IFERROR(_xlfn.IFS(tblPedidos[[#This Row],[estado_operativo]]="ENTREGADO",tblPedidos[[#This Row],[ganancia_calc]],tblPedidos[[#This Row],[estado_operativo]]="DEVOLUCION",tblPedidos[[#This Row],[costo_devolucion_estimado]]),0)</f>
        <v>15879.5</v>
      </c>
      <c r="V588">
        <v>0</v>
      </c>
      <c r="W588">
        <v>84900</v>
      </c>
      <c r="X588">
        <v>19020.5</v>
      </c>
      <c r="Y588">
        <v>50000</v>
      </c>
      <c r="Z588" s="11">
        <v>46043</v>
      </c>
      <c r="AA588">
        <v>1</v>
      </c>
      <c r="AB588" s="12">
        <v>0.43541666666666667</v>
      </c>
      <c r="AC588" t="s">
        <v>982</v>
      </c>
      <c r="AD588" t="s">
        <v>720</v>
      </c>
      <c r="AE588" t="s">
        <v>720</v>
      </c>
    </row>
    <row r="589" spans="1:31">
      <c r="A589" t="s">
        <v>1343</v>
      </c>
      <c r="C589">
        <v>367</v>
      </c>
      <c r="D589" t="s">
        <v>3479</v>
      </c>
      <c r="E589" s="11">
        <v>46034</v>
      </c>
      <c r="F589" t="s">
        <v>3480</v>
      </c>
      <c r="G589" t="s">
        <v>36</v>
      </c>
      <c r="J589" t="s">
        <v>720</v>
      </c>
      <c r="K589" t="s">
        <v>3481</v>
      </c>
      <c r="L589" t="s">
        <v>38</v>
      </c>
      <c r="M589" t="s">
        <v>3482</v>
      </c>
      <c r="N589" t="s">
        <v>3483</v>
      </c>
      <c r="O589" t="s">
        <v>3484</v>
      </c>
      <c r="P589" s="46" t="str" cm="1">
        <f t="array" aca="1" ref="P589" ca="1">IFERROR(_xlfn.XLOOKUP(tblPedidos[[#This Row],[id_dropi]],tblNotas[[#This Row],[id__dropi]],tblNotas[[#This Row],[Notas Manuales]], “”, 0),"")</f>
        <v/>
      </c>
      <c r="R589" t="s">
        <v>3014</v>
      </c>
      <c r="S589">
        <v>20736.5</v>
      </c>
      <c r="T589">
        <v>-11810.800000000001</v>
      </c>
      <c r="U589" cm="1">
        <f t="array" ref="U589">IFERROR(_xlfn.IFS(tblPedidos[[#This Row],[estado_operativo]]="ENTREGADO",tblPedidos[[#This Row],[ganancia_calc]],tblPedidos[[#This Row],[estado_operativo]]="DEVOLUCION",tblPedidos[[#This Row],[costo_devolucion_estimado]]),0)</f>
        <v>20736.5</v>
      </c>
      <c r="V589">
        <v>62209.5</v>
      </c>
      <c r="W589">
        <v>49900</v>
      </c>
      <c r="X589">
        <v>14763.5</v>
      </c>
      <c r="Y589">
        <v>14400</v>
      </c>
      <c r="Z589" s="11">
        <v>46035</v>
      </c>
      <c r="AA589">
        <v>9</v>
      </c>
      <c r="AB589" s="12">
        <v>0.6430555555555556</v>
      </c>
      <c r="AC589" t="s">
        <v>399</v>
      </c>
      <c r="AD589" t="s">
        <v>720</v>
      </c>
      <c r="AE589" t="s">
        <v>720</v>
      </c>
    </row>
    <row r="590" spans="1:31">
      <c r="A590" t="s">
        <v>1343</v>
      </c>
      <c r="C590">
        <v>365</v>
      </c>
      <c r="D590" t="s">
        <v>3485</v>
      </c>
      <c r="E590" s="11">
        <v>46034</v>
      </c>
      <c r="F590" t="s">
        <v>3486</v>
      </c>
      <c r="G590" t="s">
        <v>45</v>
      </c>
      <c r="J590" t="s">
        <v>720</v>
      </c>
      <c r="K590" t="s">
        <v>3487</v>
      </c>
      <c r="L590" t="s">
        <v>74</v>
      </c>
      <c r="M590" t="s">
        <v>1555</v>
      </c>
      <c r="N590" t="s">
        <v>3488</v>
      </c>
      <c r="O590" t="s">
        <v>3489</v>
      </c>
      <c r="P590" s="46" t="str" cm="1">
        <f t="array" aca="1" ref="P590" ca="1">IFERROR(_xlfn.XLOOKUP(tblPedidos[[#This Row],[id_dropi]],tblNotas[[#This Row],[id__dropi]],tblNotas[[#This Row],[Notas Manuales]], “”, 0),"")</f>
        <v/>
      </c>
      <c r="R590" t="s">
        <v>3200</v>
      </c>
      <c r="S590">
        <v>27529.5</v>
      </c>
      <c r="T590">
        <v>-18570.5</v>
      </c>
      <c r="U590" cm="1">
        <f t="array" ref="U590">IFERROR(_xlfn.IFS(tblPedidos[[#This Row],[estado_operativo]]="ENTREGADO",tblPedidos[[#This Row],[ganancia_calc]],tblPedidos[[#This Row],[estado_operativo]]="DEVOLUCION",tblPedidos[[#This Row],[costo_devolucion_estimado]]),0)</f>
        <v>27529.5</v>
      </c>
      <c r="V590">
        <v>165177</v>
      </c>
      <c r="W590">
        <v>74900</v>
      </c>
      <c r="X590">
        <v>18570.5</v>
      </c>
      <c r="Y590">
        <v>28800</v>
      </c>
      <c r="Z590" s="11">
        <v>46037</v>
      </c>
      <c r="AA590">
        <v>7</v>
      </c>
      <c r="AB590" s="12">
        <v>0.67152777777777772</v>
      </c>
      <c r="AC590" t="s">
        <v>720</v>
      </c>
      <c r="AD590" t="s">
        <v>720</v>
      </c>
      <c r="AE590" t="s">
        <v>720</v>
      </c>
    </row>
    <row r="591" spans="1:31">
      <c r="A591" t="s">
        <v>1343</v>
      </c>
      <c r="B591" t="s">
        <v>2946</v>
      </c>
      <c r="C591">
        <v>366</v>
      </c>
      <c r="D591" t="s">
        <v>3490</v>
      </c>
      <c r="E591" s="11">
        <v>46034</v>
      </c>
      <c r="F591" t="s">
        <v>3491</v>
      </c>
      <c r="G591" t="s">
        <v>36</v>
      </c>
      <c r="J591" t="s">
        <v>720</v>
      </c>
      <c r="K591" t="s">
        <v>3492</v>
      </c>
      <c r="L591" t="s">
        <v>322</v>
      </c>
      <c r="M591" t="s">
        <v>323</v>
      </c>
      <c r="N591" t="s">
        <v>3493</v>
      </c>
      <c r="O591" t="s">
        <v>3494</v>
      </c>
      <c r="P591" s="46" t="str" cm="1">
        <f t="array" aca="1" ref="P591" ca="1">IFERROR(_xlfn.XLOOKUP(tblPedidos[[#This Row],[id_dropi]],tblNotas[[#This Row],[id__dropi]],tblNotas[[#This Row],[Notas Manuales]], “”, 0),"")</f>
        <v/>
      </c>
      <c r="Q591" t="s">
        <v>3495</v>
      </c>
      <c r="R591" t="s">
        <v>3200</v>
      </c>
      <c r="S591">
        <v>25436.5</v>
      </c>
      <c r="T591">
        <v>-12530.800000000001</v>
      </c>
      <c r="U591" cm="1">
        <f t="array" ref="U591">IFERROR(_xlfn.IFS(tblPedidos[[#This Row],[estado_operativo]]="ENTREGADO",tblPedidos[[#This Row],[ganancia_calc]],tblPedidos[[#This Row],[estado_operativo]]="DEVOLUCION",tblPedidos[[#This Row],[costo_devolucion_estimado]]),0)</f>
        <v>25436.5</v>
      </c>
      <c r="V591">
        <v>152619</v>
      </c>
      <c r="W591">
        <v>69900</v>
      </c>
      <c r="X591">
        <v>15663.5</v>
      </c>
      <c r="Y591">
        <v>28800</v>
      </c>
      <c r="Z591" s="11">
        <v>46035</v>
      </c>
      <c r="AA591">
        <v>9</v>
      </c>
      <c r="AB591" s="12">
        <v>0.64652777777777781</v>
      </c>
      <c r="AC591" t="s">
        <v>399</v>
      </c>
      <c r="AD591" t="s">
        <v>720</v>
      </c>
      <c r="AE591" t="s">
        <v>720</v>
      </c>
    </row>
    <row r="592" spans="1:31">
      <c r="A592" t="s">
        <v>1343</v>
      </c>
      <c r="C592">
        <v>373</v>
      </c>
      <c r="D592" t="s">
        <v>3496</v>
      </c>
      <c r="E592" s="11">
        <v>46034</v>
      </c>
      <c r="F592" t="s">
        <v>3497</v>
      </c>
      <c r="G592" t="s">
        <v>45</v>
      </c>
      <c r="J592" t="s">
        <v>720</v>
      </c>
      <c r="K592" t="s">
        <v>3498</v>
      </c>
      <c r="L592" t="s">
        <v>46</v>
      </c>
      <c r="M592" t="s">
        <v>3499</v>
      </c>
      <c r="N592" t="s">
        <v>3500</v>
      </c>
      <c r="O592" t="s">
        <v>3501</v>
      </c>
      <c r="P592" s="46" t="str" cm="1">
        <f t="array" aca="1" ref="P592" ca="1">IFERROR(_xlfn.XLOOKUP(tblPedidos[[#This Row],[id_dropi]],tblNotas[[#This Row],[id__dropi]],tblNotas[[#This Row],[Notas Manuales]], “”, 0),"")</f>
        <v/>
      </c>
      <c r="R592" t="s">
        <v>3027</v>
      </c>
      <c r="S592">
        <v>20654.5</v>
      </c>
      <c r="T592">
        <v>-19245.5</v>
      </c>
      <c r="U592" cm="1">
        <f t="array" ref="U592">IFERROR(_xlfn.IFS(tblPedidos[[#This Row],[estado_operativo]]="ENTREGADO",tblPedidos[[#This Row],[ganancia_calc]],tblPedidos[[#This Row],[estado_operativo]]="DEVOLUCION",tblPedidos[[#This Row],[costo_devolucion_estimado]]),0)</f>
        <v>20654.5</v>
      </c>
      <c r="V592">
        <v>103272.5</v>
      </c>
      <c r="W592">
        <v>89900</v>
      </c>
      <c r="X592">
        <v>19245.5</v>
      </c>
      <c r="Y592">
        <v>50000</v>
      </c>
      <c r="Z592" s="11">
        <v>46038</v>
      </c>
      <c r="AA592">
        <v>6</v>
      </c>
      <c r="AB592" s="12">
        <v>0.84166666666666667</v>
      </c>
      <c r="AC592" t="s">
        <v>720</v>
      </c>
      <c r="AD592" t="s">
        <v>720</v>
      </c>
      <c r="AE592" t="s">
        <v>720</v>
      </c>
    </row>
    <row r="593" spans="1:31">
      <c r="A593" t="s">
        <v>1343</v>
      </c>
      <c r="C593">
        <v>374</v>
      </c>
      <c r="D593" t="s">
        <v>3502</v>
      </c>
      <c r="E593" s="11">
        <v>46034</v>
      </c>
      <c r="F593" t="s">
        <v>3503</v>
      </c>
      <c r="G593" t="s">
        <v>45</v>
      </c>
      <c r="J593" t="s">
        <v>1657</v>
      </c>
      <c r="K593" t="s">
        <v>3504</v>
      </c>
      <c r="L593" t="s">
        <v>234</v>
      </c>
      <c r="M593" t="s">
        <v>3505</v>
      </c>
      <c r="N593" t="s">
        <v>3506</v>
      </c>
      <c r="O593" t="s">
        <v>3507</v>
      </c>
      <c r="P593" s="46" t="str" cm="1">
        <f t="array" aca="1" ref="P593" ca="1">IFERROR(_xlfn.XLOOKUP(tblPedidos[[#This Row],[id_dropi]],tblNotas[[#This Row],[id__dropi]],tblNotas[[#This Row],[Notas Manuales]], “”, 0),"")</f>
        <v/>
      </c>
      <c r="R593" t="s">
        <v>3027</v>
      </c>
      <c r="S593">
        <v>20654.5</v>
      </c>
      <c r="T593">
        <v>-19245.5</v>
      </c>
      <c r="U593" cm="1">
        <f t="array" ref="U593">IFERROR(_xlfn.IFS(tblPedidos[[#This Row],[estado_operativo]]="ENTREGADO",tblPedidos[[#This Row],[ganancia_calc]],tblPedidos[[#This Row],[estado_operativo]]="DEVOLUCION",tblPedidos[[#This Row],[costo_devolucion_estimado]]),0)</f>
        <v>-19245.5</v>
      </c>
      <c r="V593">
        <v>-38491</v>
      </c>
      <c r="W593">
        <v>89900</v>
      </c>
      <c r="X593">
        <v>19245.5</v>
      </c>
      <c r="Y593">
        <v>50000</v>
      </c>
      <c r="Z593" s="11">
        <v>46042</v>
      </c>
      <c r="AA593">
        <v>2</v>
      </c>
      <c r="AB593" s="12">
        <v>0.42499999999999999</v>
      </c>
      <c r="AC593" t="s">
        <v>1657</v>
      </c>
      <c r="AD593" t="s">
        <v>1657</v>
      </c>
      <c r="AE593" t="s">
        <v>1657</v>
      </c>
    </row>
    <row r="594" spans="1:31">
      <c r="A594" t="s">
        <v>1343</v>
      </c>
      <c r="C594">
        <v>372</v>
      </c>
      <c r="D594" t="s">
        <v>3508</v>
      </c>
      <c r="E594" s="11">
        <v>46034</v>
      </c>
      <c r="F594" t="s">
        <v>3509</v>
      </c>
      <c r="G594" t="s">
        <v>36</v>
      </c>
      <c r="J594" t="s">
        <v>720</v>
      </c>
      <c r="K594" t="s">
        <v>3510</v>
      </c>
      <c r="L594" t="s">
        <v>81</v>
      </c>
      <c r="M594" t="s">
        <v>3511</v>
      </c>
      <c r="N594" t="s">
        <v>3512</v>
      </c>
      <c r="O594" t="s">
        <v>3513</v>
      </c>
      <c r="P594" s="46" t="str" cm="1">
        <f t="array" aca="1" ref="P594" ca="1">IFERROR(_xlfn.XLOOKUP(tblPedidos[[#This Row],[id_dropi]],tblNotas[[#This Row],[id__dropi]],tblNotas[[#This Row],[Notas Manuales]], “”, 0),"")</f>
        <v/>
      </c>
      <c r="R594" t="s">
        <v>3213</v>
      </c>
      <c r="S594">
        <v>19686.5</v>
      </c>
      <c r="T594">
        <v>-12170.800000000001</v>
      </c>
      <c r="U594" cm="1">
        <f t="array" ref="U594">IFERROR(_xlfn.IFS(tblPedidos[[#This Row],[estado_operativo]]="ENTREGADO",tblPedidos[[#This Row],[ganancia_calc]],tblPedidos[[#This Row],[estado_operativo]]="DEVOLUCION",tblPedidos[[#This Row],[costo_devolucion_estimado]]),0)</f>
        <v>19686.5</v>
      </c>
      <c r="V594">
        <v>59059.5</v>
      </c>
      <c r="W594">
        <v>59900</v>
      </c>
      <c r="X594">
        <v>15213.5</v>
      </c>
      <c r="Y594">
        <v>25000</v>
      </c>
      <c r="Z594" s="11">
        <v>46036</v>
      </c>
      <c r="AA594">
        <v>8</v>
      </c>
      <c r="AB594" s="12">
        <v>0.57916666666666672</v>
      </c>
      <c r="AC594" t="s">
        <v>788</v>
      </c>
      <c r="AD594" t="s">
        <v>720</v>
      </c>
      <c r="AE594" t="s">
        <v>720</v>
      </c>
    </row>
    <row r="595" spans="1:31">
      <c r="A595" t="s">
        <v>1343</v>
      </c>
      <c r="C595">
        <v>370</v>
      </c>
      <c r="D595" t="s">
        <v>3514</v>
      </c>
      <c r="E595" s="11">
        <v>46034</v>
      </c>
      <c r="F595" t="s">
        <v>3515</v>
      </c>
      <c r="G595" t="s">
        <v>45</v>
      </c>
      <c r="J595" t="s">
        <v>720</v>
      </c>
      <c r="K595" t="s">
        <v>3516</v>
      </c>
      <c r="L595" t="s">
        <v>46</v>
      </c>
      <c r="M595" t="s">
        <v>100</v>
      </c>
      <c r="N595" t="s">
        <v>3517</v>
      </c>
      <c r="O595" t="s">
        <v>3518</v>
      </c>
      <c r="P595" s="46" t="str" cm="1">
        <f t="array" aca="1" ref="P595" ca="1">IFERROR(_xlfn.XLOOKUP(tblPedidos[[#This Row],[id_dropi]],tblNotas[[#This Row],[id__dropi]],tblNotas[[#This Row],[Notas Manuales]], “”, 0),"")</f>
        <v/>
      </c>
      <c r="R595" t="s">
        <v>3027</v>
      </c>
      <c r="S595">
        <v>20654.5</v>
      </c>
      <c r="T595">
        <v>-19245.5</v>
      </c>
      <c r="U595" cm="1">
        <f t="array" ref="U595">IFERROR(_xlfn.IFS(tblPedidos[[#This Row],[estado_operativo]]="ENTREGADO",tblPedidos[[#This Row],[ganancia_calc]],tblPedidos[[#This Row],[estado_operativo]]="DEVOLUCION",tblPedidos[[#This Row],[costo_devolucion_estimado]]),0)</f>
        <v>20654.5</v>
      </c>
      <c r="V595">
        <v>103272.5</v>
      </c>
      <c r="W595">
        <v>89900</v>
      </c>
      <c r="X595">
        <v>19245.5</v>
      </c>
      <c r="Y595">
        <v>50000</v>
      </c>
      <c r="Z595" s="11">
        <v>46038</v>
      </c>
      <c r="AA595">
        <v>6</v>
      </c>
      <c r="AB595" s="12">
        <v>0.75694444444444442</v>
      </c>
      <c r="AC595" t="s">
        <v>720</v>
      </c>
      <c r="AD595" t="s">
        <v>720</v>
      </c>
      <c r="AE595" t="s">
        <v>720</v>
      </c>
    </row>
    <row r="596" spans="1:31">
      <c r="A596" t="s">
        <v>1343</v>
      </c>
      <c r="C596">
        <v>371</v>
      </c>
      <c r="D596" t="s">
        <v>3519</v>
      </c>
      <c r="E596" s="11">
        <v>46034</v>
      </c>
      <c r="F596" t="s">
        <v>3520</v>
      </c>
      <c r="G596" t="s">
        <v>45</v>
      </c>
      <c r="J596" t="s">
        <v>720</v>
      </c>
      <c r="K596" t="s">
        <v>3521</v>
      </c>
      <c r="L596" t="s">
        <v>1003</v>
      </c>
      <c r="M596" t="s">
        <v>2834</v>
      </c>
      <c r="N596" t="s">
        <v>3522</v>
      </c>
      <c r="O596" t="s">
        <v>3523</v>
      </c>
      <c r="P596" s="46" t="str" cm="1">
        <f t="array" aca="1" ref="P596" ca="1">IFERROR(_xlfn.XLOOKUP(tblPedidos[[#This Row],[id_dropi]],tblNotas[[#This Row],[id__dropi]],tblNotas[[#This Row],[Notas Manuales]], “”, 0),"")</f>
        <v/>
      </c>
      <c r="Q596" t="s">
        <v>3524</v>
      </c>
      <c r="R596" t="s">
        <v>3200</v>
      </c>
      <c r="S596">
        <v>27529.5</v>
      </c>
      <c r="T596">
        <v>-18570.5</v>
      </c>
      <c r="U596" cm="1">
        <f t="array" ref="U596">IFERROR(_xlfn.IFS(tblPedidos[[#This Row],[estado_operativo]]="ENTREGADO",tblPedidos[[#This Row],[ganancia_calc]],tblPedidos[[#This Row],[estado_operativo]]="DEVOLUCION",tblPedidos[[#This Row],[costo_devolucion_estimado]]),0)</f>
        <v>27529.5</v>
      </c>
      <c r="V596">
        <v>165177</v>
      </c>
      <c r="W596">
        <v>74900</v>
      </c>
      <c r="X596">
        <v>18570.5</v>
      </c>
      <c r="Y596">
        <v>28800</v>
      </c>
      <c r="Z596" s="11">
        <v>46037</v>
      </c>
      <c r="AA596">
        <v>7</v>
      </c>
      <c r="AB596" s="12">
        <v>4.8611111111111112E-2</v>
      </c>
      <c r="AC596" t="s">
        <v>720</v>
      </c>
      <c r="AD596" t="s">
        <v>720</v>
      </c>
      <c r="AE596" t="s">
        <v>720</v>
      </c>
    </row>
    <row r="597" spans="1:31">
      <c r="A597" t="s">
        <v>1343</v>
      </c>
      <c r="C597">
        <v>364</v>
      </c>
      <c r="D597" t="s">
        <v>3525</v>
      </c>
      <c r="E597" s="11">
        <v>46034</v>
      </c>
      <c r="F597" t="s">
        <v>3526</v>
      </c>
      <c r="G597" t="s">
        <v>45</v>
      </c>
      <c r="J597" t="s">
        <v>720</v>
      </c>
      <c r="K597" t="s">
        <v>3527</v>
      </c>
      <c r="L597" t="s">
        <v>545</v>
      </c>
      <c r="M597" t="s">
        <v>1255</v>
      </c>
      <c r="N597" t="s">
        <v>3528</v>
      </c>
      <c r="O597" t="s">
        <v>3529</v>
      </c>
      <c r="P597" s="46" t="str" cm="1">
        <f t="array" aca="1" ref="P597" ca="1">IFERROR(_xlfn.XLOOKUP(tblPedidos[[#This Row],[id_dropi]],tblNotas[[#This Row],[id__dropi]],tblNotas[[#This Row],[Notas Manuales]], “”, 0),"")</f>
        <v/>
      </c>
      <c r="R597" t="s">
        <v>3213</v>
      </c>
      <c r="S597">
        <v>17004.5</v>
      </c>
      <c r="T597">
        <v>-17895.5</v>
      </c>
      <c r="U597" cm="1">
        <f t="array" ref="U597">IFERROR(_xlfn.IFS(tblPedidos[[#This Row],[estado_operativo]]="ENTREGADO",tblPedidos[[#This Row],[ganancia_calc]],tblPedidos[[#This Row],[estado_operativo]]="DEVOLUCION",tblPedidos[[#This Row],[costo_devolucion_estimado]]),0)</f>
        <v>17004.5</v>
      </c>
      <c r="V597">
        <v>85022.5</v>
      </c>
      <c r="W597">
        <v>59900</v>
      </c>
      <c r="X597">
        <v>17895.5</v>
      </c>
      <c r="Y597">
        <v>25000</v>
      </c>
      <c r="Z597" s="11">
        <v>46038</v>
      </c>
      <c r="AA597">
        <v>6</v>
      </c>
      <c r="AB597" s="12">
        <v>0.05</v>
      </c>
      <c r="AC597" t="s">
        <v>720</v>
      </c>
      <c r="AD597" t="s">
        <v>720</v>
      </c>
      <c r="AE597" t="s">
        <v>720</v>
      </c>
    </row>
    <row r="598" spans="1:31">
      <c r="A598" t="s">
        <v>1343</v>
      </c>
      <c r="C598">
        <v>357</v>
      </c>
      <c r="D598" t="s">
        <v>3530</v>
      </c>
      <c r="E598" s="11">
        <v>46034</v>
      </c>
      <c r="F598" t="s">
        <v>3531</v>
      </c>
      <c r="G598" t="s">
        <v>36</v>
      </c>
      <c r="J598" t="s">
        <v>720</v>
      </c>
      <c r="K598" t="s">
        <v>3532</v>
      </c>
      <c r="L598" t="s">
        <v>322</v>
      </c>
      <c r="M598" t="s">
        <v>2788</v>
      </c>
      <c r="N598" t="s">
        <v>3533</v>
      </c>
      <c r="O598" t="s">
        <v>3534</v>
      </c>
      <c r="P598" s="46" t="str" cm="1">
        <f t="array" aca="1" ref="P598" ca="1">IFERROR(_xlfn.XLOOKUP(tblPedidos[[#This Row],[id_dropi]],tblNotas[[#This Row],[id__dropi]],tblNotas[[#This Row],[Notas Manuales]], “”, 0),"")</f>
        <v/>
      </c>
      <c r="Q598" t="s">
        <v>3535</v>
      </c>
      <c r="R598" t="s">
        <v>3027</v>
      </c>
      <c r="S598">
        <v>23336.5</v>
      </c>
      <c r="T598">
        <v>-13250.800000000001</v>
      </c>
      <c r="U598" cm="1">
        <f t="array" ref="U598">IFERROR(_xlfn.IFS(tblPedidos[[#This Row],[estado_operativo]]="ENTREGADO",tblPedidos[[#This Row],[ganancia_calc]],tblPedidos[[#This Row],[estado_operativo]]="DEVOLUCION",tblPedidos[[#This Row],[costo_devolucion_estimado]]),0)</f>
        <v>23336.5</v>
      </c>
      <c r="V598">
        <v>116682.5</v>
      </c>
      <c r="W598">
        <v>89900</v>
      </c>
      <c r="X598">
        <v>16563.5</v>
      </c>
      <c r="Y598">
        <v>50000</v>
      </c>
      <c r="Z598" s="11">
        <v>46035</v>
      </c>
      <c r="AA598">
        <v>9</v>
      </c>
      <c r="AB598" s="12">
        <v>0.90486111111111112</v>
      </c>
      <c r="AC598" t="s">
        <v>399</v>
      </c>
      <c r="AD598" t="s">
        <v>720</v>
      </c>
      <c r="AE598" t="s">
        <v>720</v>
      </c>
    </row>
    <row r="599" spans="1:31">
      <c r="A599" t="s">
        <v>1343</v>
      </c>
      <c r="B599" t="s">
        <v>2946</v>
      </c>
      <c r="C599">
        <v>358</v>
      </c>
      <c r="D599" t="s">
        <v>3536</v>
      </c>
      <c r="E599" s="11">
        <v>46034</v>
      </c>
      <c r="F599" t="s">
        <v>3537</v>
      </c>
      <c r="G599" t="s">
        <v>45</v>
      </c>
      <c r="J599" t="s">
        <v>720</v>
      </c>
      <c r="K599" t="s">
        <v>3538</v>
      </c>
      <c r="L599" t="s">
        <v>46</v>
      </c>
      <c r="M599" t="s">
        <v>94</v>
      </c>
      <c r="N599" t="s">
        <v>3539</v>
      </c>
      <c r="O599" t="s">
        <v>3540</v>
      </c>
      <c r="P599" s="46" t="str" cm="1">
        <f t="array" aca="1" ref="P599" ca="1">IFERROR(_xlfn.XLOOKUP(tblPedidos[[#This Row],[id_dropi]],tblNotas[[#This Row],[id__dropi]],tblNotas[[#This Row],[Notas Manuales]], “”, 0),"")</f>
        <v/>
      </c>
      <c r="R599" t="s">
        <v>3213</v>
      </c>
      <c r="S599">
        <v>22954.5</v>
      </c>
      <c r="T599">
        <v>-11945.5</v>
      </c>
      <c r="U599" cm="1">
        <f t="array" ref="U599">IFERROR(_xlfn.IFS(tblPedidos[[#This Row],[estado_operativo]]="ENTREGADO",tblPedidos[[#This Row],[ganancia_calc]],tblPedidos[[#This Row],[estado_operativo]]="DEVOLUCION",tblPedidos[[#This Row],[costo_devolucion_estimado]]),0)</f>
        <v>22954.5</v>
      </c>
      <c r="V599">
        <v>68863.5</v>
      </c>
      <c r="W599">
        <v>59900</v>
      </c>
      <c r="X599">
        <v>11945.5</v>
      </c>
      <c r="Y599">
        <v>25000</v>
      </c>
      <c r="Z599" s="11">
        <v>46041</v>
      </c>
      <c r="AA599">
        <v>3</v>
      </c>
      <c r="AB599" s="12">
        <v>0.43402777777777779</v>
      </c>
      <c r="AC599" t="s">
        <v>720</v>
      </c>
      <c r="AD599" t="s">
        <v>720</v>
      </c>
      <c r="AE599" t="s">
        <v>720</v>
      </c>
    </row>
    <row r="600" spans="1:31">
      <c r="A600" t="s">
        <v>33</v>
      </c>
      <c r="C600">
        <v>356</v>
      </c>
      <c r="D600" t="s">
        <v>3541</v>
      </c>
      <c r="E600" s="11">
        <v>46034</v>
      </c>
      <c r="F600" t="s">
        <v>3542</v>
      </c>
      <c r="G600" t="s">
        <v>45</v>
      </c>
      <c r="J600" t="s">
        <v>1371</v>
      </c>
      <c r="K600" t="s">
        <v>3543</v>
      </c>
      <c r="L600" t="s">
        <v>234</v>
      </c>
      <c r="M600" t="s">
        <v>3544</v>
      </c>
      <c r="N600" t="s">
        <v>3545</v>
      </c>
      <c r="O600" t="s">
        <v>3546</v>
      </c>
      <c r="P600" s="46" t="str" cm="1">
        <f t="array" aca="1" ref="P600" ca="1">IFERROR(_xlfn.XLOOKUP(tblPedidos[[#This Row],[id_dropi]],tblNotas[[#This Row],[id__dropi]],tblNotas[[#This Row],[Notas Manuales]], “”, 0),"")</f>
        <v/>
      </c>
      <c r="Q600" t="s">
        <v>3547</v>
      </c>
      <c r="R600" t="s">
        <v>3014</v>
      </c>
      <c r="S600">
        <v>22829.5</v>
      </c>
      <c r="T600">
        <v>-17670.5</v>
      </c>
      <c r="U600" cm="1">
        <f t="array" ref="U600">IFERROR(_xlfn.IFS(tblPedidos[[#This Row],[estado_operativo]]="ENTREGADO",tblPedidos[[#This Row],[ganancia_calc]],tblPedidos[[#This Row],[estado_operativo]]="DEVOLUCION",tblPedidos[[#This Row],[costo_devolucion_estimado]]),0)</f>
        <v>0</v>
      </c>
      <c r="V600">
        <v>0</v>
      </c>
      <c r="W600">
        <v>54900</v>
      </c>
      <c r="X600">
        <v>17670.5</v>
      </c>
      <c r="Y600">
        <v>14400</v>
      </c>
      <c r="Z600" s="11">
        <v>46043</v>
      </c>
      <c r="AA600">
        <v>1</v>
      </c>
      <c r="AB600" s="12">
        <v>0.43611111111111112</v>
      </c>
      <c r="AC600" t="s">
        <v>982</v>
      </c>
      <c r="AD600" t="s">
        <v>982</v>
      </c>
      <c r="AE600" t="s">
        <v>1371</v>
      </c>
    </row>
    <row r="601" spans="1:31">
      <c r="A601" t="s">
        <v>33</v>
      </c>
      <c r="B601" t="s">
        <v>2946</v>
      </c>
      <c r="C601">
        <v>354</v>
      </c>
      <c r="D601" t="s">
        <v>3548</v>
      </c>
      <c r="E601" s="11">
        <v>46034</v>
      </c>
      <c r="F601" t="s">
        <v>3549</v>
      </c>
      <c r="G601" t="s">
        <v>36</v>
      </c>
      <c r="J601" t="s">
        <v>3550</v>
      </c>
      <c r="K601" t="s">
        <v>3551</v>
      </c>
      <c r="L601" t="s">
        <v>322</v>
      </c>
      <c r="M601" t="s">
        <v>323</v>
      </c>
      <c r="N601" t="s">
        <v>3552</v>
      </c>
      <c r="O601" t="s">
        <v>3553</v>
      </c>
      <c r="P601" s="46" t="str" cm="1">
        <f t="array" aca="1" ref="P601" ca="1">IFERROR(_xlfn.XLOOKUP(tblPedidos[[#This Row],[id_dropi]],tblNotas[[#This Row],[id__dropi]],tblNotas[[#This Row],[Notas Manuales]], “”, 0),"")</f>
        <v/>
      </c>
      <c r="R601" t="s">
        <v>2983</v>
      </c>
      <c r="S601">
        <v>30786.5</v>
      </c>
      <c r="T601">
        <v>-12530.800000000001</v>
      </c>
      <c r="U601" cm="1">
        <f t="array" ref="U601">IFERROR(_xlfn.IFS(tblPedidos[[#This Row],[estado_operativo]]="ENTREGADO",tblPedidos[[#This Row],[ganancia_calc]],tblPedidos[[#This Row],[estado_operativo]]="DEVOLUCION",tblPedidos[[#This Row],[costo_devolucion_estimado]]),0)</f>
        <v>0</v>
      </c>
      <c r="V601">
        <v>0</v>
      </c>
      <c r="W601">
        <v>69900</v>
      </c>
      <c r="X601">
        <v>15663.5</v>
      </c>
      <c r="Y601">
        <v>23450</v>
      </c>
      <c r="Z601" s="11">
        <v>46035</v>
      </c>
      <c r="AA601">
        <v>9</v>
      </c>
      <c r="AB601" s="12">
        <v>0.87291666666666667</v>
      </c>
      <c r="AC601" t="s">
        <v>399</v>
      </c>
      <c r="AD601" t="s">
        <v>3550</v>
      </c>
      <c r="AE601" t="s">
        <v>3550</v>
      </c>
    </row>
    <row r="602" spans="1:31">
      <c r="A602" t="s">
        <v>1343</v>
      </c>
      <c r="C602">
        <v>355</v>
      </c>
      <c r="D602" t="s">
        <v>3554</v>
      </c>
      <c r="E602" s="11">
        <v>46034</v>
      </c>
      <c r="F602" t="s">
        <v>3555</v>
      </c>
      <c r="G602" t="s">
        <v>45</v>
      </c>
      <c r="J602" t="s">
        <v>720</v>
      </c>
      <c r="K602" t="s">
        <v>3556</v>
      </c>
      <c r="L602" t="s">
        <v>46</v>
      </c>
      <c r="M602" t="s">
        <v>100</v>
      </c>
      <c r="N602" t="s">
        <v>3557</v>
      </c>
      <c r="O602" t="s">
        <v>3558</v>
      </c>
      <c r="P602" s="46" t="str" cm="1">
        <f t="array" aca="1" ref="P602" ca="1">IFERROR(_xlfn.XLOOKUP(tblPedidos[[#This Row],[id_dropi]],tblNotas[[#This Row],[id__dropi]],tblNotas[[#This Row],[Notas Manuales]], “”, 0),"")</f>
        <v/>
      </c>
      <c r="R602" t="s">
        <v>3027</v>
      </c>
      <c r="S602">
        <v>20654.5</v>
      </c>
      <c r="T602">
        <v>-19245.5</v>
      </c>
      <c r="U602" cm="1">
        <f t="array" ref="U602">IFERROR(_xlfn.IFS(tblPedidos[[#This Row],[estado_operativo]]="ENTREGADO",tblPedidos[[#This Row],[ganancia_calc]],tblPedidos[[#This Row],[estado_operativo]]="DEVOLUCION",tblPedidos[[#This Row],[costo_devolucion_estimado]]),0)</f>
        <v>20654.5</v>
      </c>
      <c r="V602">
        <v>123927</v>
      </c>
      <c r="W602">
        <v>89900</v>
      </c>
      <c r="X602">
        <v>19245.5</v>
      </c>
      <c r="Y602">
        <v>50000</v>
      </c>
      <c r="Z602" s="11">
        <v>46037</v>
      </c>
      <c r="AA602">
        <v>7</v>
      </c>
      <c r="AB602" s="12">
        <v>0.75694444444444442</v>
      </c>
      <c r="AC602" t="s">
        <v>720</v>
      </c>
      <c r="AD602" t="s">
        <v>720</v>
      </c>
      <c r="AE602" t="s">
        <v>720</v>
      </c>
    </row>
    <row r="603" spans="1:31">
      <c r="A603" t="s">
        <v>1343</v>
      </c>
      <c r="C603">
        <v>362</v>
      </c>
      <c r="D603" t="s">
        <v>3559</v>
      </c>
      <c r="E603" s="11">
        <v>46034</v>
      </c>
      <c r="F603" t="s">
        <v>3560</v>
      </c>
      <c r="G603" t="s">
        <v>45</v>
      </c>
      <c r="J603" t="s">
        <v>720</v>
      </c>
      <c r="K603" t="s">
        <v>3561</v>
      </c>
      <c r="L603" t="s">
        <v>590</v>
      </c>
      <c r="M603" t="s">
        <v>761</v>
      </c>
      <c r="N603" t="s">
        <v>3562</v>
      </c>
      <c r="O603" t="s">
        <v>3563</v>
      </c>
      <c r="P603" s="46" t="str" cm="1">
        <f t="array" aca="1" ref="P603" ca="1">IFERROR(_xlfn.XLOOKUP(tblPedidos[[#This Row],[id_dropi]],tblNotas[[#This Row],[id__dropi]],tblNotas[[#This Row],[Notas Manuales]], “”, 0),"")</f>
        <v/>
      </c>
      <c r="Q603" t="s">
        <v>3564</v>
      </c>
      <c r="R603" t="s">
        <v>3014</v>
      </c>
      <c r="S603">
        <v>22829.5</v>
      </c>
      <c r="T603">
        <v>-17670.5</v>
      </c>
      <c r="U603" cm="1">
        <f t="array" ref="U603">IFERROR(_xlfn.IFS(tblPedidos[[#This Row],[estado_operativo]]="ENTREGADO",tblPedidos[[#This Row],[ganancia_calc]],tblPedidos[[#This Row],[estado_operativo]]="DEVOLUCION",tblPedidos[[#This Row],[costo_devolucion_estimado]]),0)</f>
        <v>22829.5</v>
      </c>
      <c r="V603">
        <v>114147.5</v>
      </c>
      <c r="W603">
        <v>54900</v>
      </c>
      <c r="X603">
        <v>17670.5</v>
      </c>
      <c r="Y603">
        <v>14400</v>
      </c>
      <c r="Z603" s="11">
        <v>46039</v>
      </c>
      <c r="AA603">
        <v>5</v>
      </c>
      <c r="AB603" s="12">
        <v>0.51180555555555551</v>
      </c>
      <c r="AC603" t="s">
        <v>720</v>
      </c>
      <c r="AD603" t="s">
        <v>720</v>
      </c>
      <c r="AE603" t="s">
        <v>720</v>
      </c>
    </row>
    <row r="604" spans="1:31">
      <c r="A604" t="s">
        <v>1343</v>
      </c>
      <c r="B604" t="s">
        <v>2946</v>
      </c>
      <c r="C604">
        <v>363</v>
      </c>
      <c r="D604" t="s">
        <v>3565</v>
      </c>
      <c r="E604" s="11">
        <v>46034</v>
      </c>
      <c r="F604" t="s">
        <v>3566</v>
      </c>
      <c r="G604" t="s">
        <v>45</v>
      </c>
      <c r="J604" t="s">
        <v>720</v>
      </c>
      <c r="K604" t="s">
        <v>3567</v>
      </c>
      <c r="L604" t="s">
        <v>427</v>
      </c>
      <c r="M604" t="s">
        <v>634</v>
      </c>
      <c r="N604" t="s">
        <v>3568</v>
      </c>
      <c r="O604" t="s">
        <v>3569</v>
      </c>
      <c r="P604" s="46" t="str" cm="1">
        <f t="array" aca="1" ref="P604" ca="1">IFERROR(_xlfn.XLOOKUP(tblPedidos[[#This Row],[id_dropi]],tblNotas[[#This Row],[id__dropi]],tblNotas[[#This Row],[Notas Manuales]], “”, 0),"")</f>
        <v/>
      </c>
      <c r="R604" t="s">
        <v>3149</v>
      </c>
      <c r="S604">
        <v>17004.5</v>
      </c>
      <c r="T604">
        <v>-17895.5</v>
      </c>
      <c r="U604" cm="1">
        <f t="array" ref="U604">IFERROR(_xlfn.IFS(tblPedidos[[#This Row],[estado_operativo]]="ENTREGADO",tblPedidos[[#This Row],[ganancia_calc]],tblPedidos[[#This Row],[estado_operativo]]="DEVOLUCION",tblPedidos[[#This Row],[costo_devolucion_estimado]]),0)</f>
        <v>17004.5</v>
      </c>
      <c r="V604">
        <v>85022.5</v>
      </c>
      <c r="W604">
        <v>59900</v>
      </c>
      <c r="X604">
        <v>17895.5</v>
      </c>
      <c r="Y604">
        <v>25000</v>
      </c>
      <c r="Z604" s="11">
        <v>46039</v>
      </c>
      <c r="AA604">
        <v>5</v>
      </c>
      <c r="AB604" s="12">
        <v>4.8611111111111112E-2</v>
      </c>
      <c r="AC604" t="s">
        <v>720</v>
      </c>
      <c r="AD604" t="s">
        <v>720</v>
      </c>
      <c r="AE604" t="s">
        <v>720</v>
      </c>
    </row>
    <row r="605" spans="1:31">
      <c r="A605" t="s">
        <v>1343</v>
      </c>
      <c r="C605">
        <v>361</v>
      </c>
      <c r="D605" t="s">
        <v>3570</v>
      </c>
      <c r="E605" s="11">
        <v>46034</v>
      </c>
      <c r="F605" t="s">
        <v>3571</v>
      </c>
      <c r="G605" t="s">
        <v>45</v>
      </c>
      <c r="J605" t="s">
        <v>720</v>
      </c>
      <c r="K605" t="s">
        <v>3572</v>
      </c>
      <c r="L605" t="s">
        <v>46</v>
      </c>
      <c r="M605" t="s">
        <v>100</v>
      </c>
      <c r="N605" t="s">
        <v>3573</v>
      </c>
      <c r="O605" t="s">
        <v>3574</v>
      </c>
      <c r="P605" s="46" t="str" cm="1">
        <f t="array" aca="1" ref="P605" ca="1">IFERROR(_xlfn.XLOOKUP(tblPedidos[[#This Row],[id_dropi]],tblNotas[[#This Row],[id__dropi]],tblNotas[[#This Row],[Notas Manuales]], “”, 0),"")</f>
        <v/>
      </c>
      <c r="R605" t="s">
        <v>2983</v>
      </c>
      <c r="S605">
        <v>28104.5</v>
      </c>
      <c r="T605">
        <v>-18345.5</v>
      </c>
      <c r="U605" cm="1">
        <f t="array" ref="U605">IFERROR(_xlfn.IFS(tblPedidos[[#This Row],[estado_operativo]]="ENTREGADO",tblPedidos[[#This Row],[ganancia_calc]],tblPedidos[[#This Row],[estado_operativo]]="DEVOLUCION",tblPedidos[[#This Row],[costo_devolucion_estimado]]),0)</f>
        <v>28104.5</v>
      </c>
      <c r="V605">
        <v>168627</v>
      </c>
      <c r="W605">
        <v>69900</v>
      </c>
      <c r="X605">
        <v>18345.5</v>
      </c>
      <c r="Y605">
        <v>23450</v>
      </c>
      <c r="Z605" s="11">
        <v>46036</v>
      </c>
      <c r="AA605">
        <v>8</v>
      </c>
      <c r="AB605" s="12">
        <v>0.75624999999999998</v>
      </c>
      <c r="AC605" t="s">
        <v>720</v>
      </c>
      <c r="AD605" t="s">
        <v>720</v>
      </c>
      <c r="AE605" t="s">
        <v>720</v>
      </c>
    </row>
    <row r="606" spans="1:31">
      <c r="A606" t="s">
        <v>1343</v>
      </c>
      <c r="C606">
        <v>359</v>
      </c>
      <c r="D606" t="s">
        <v>3575</v>
      </c>
      <c r="E606" s="11">
        <v>46034</v>
      </c>
      <c r="F606" t="s">
        <v>3576</v>
      </c>
      <c r="G606" t="s">
        <v>45</v>
      </c>
      <c r="J606" t="s">
        <v>720</v>
      </c>
      <c r="K606" t="s">
        <v>3577</v>
      </c>
      <c r="L606" t="s">
        <v>322</v>
      </c>
      <c r="M606" t="s">
        <v>2211</v>
      </c>
      <c r="N606" t="s">
        <v>3578</v>
      </c>
      <c r="O606" t="s">
        <v>3579</v>
      </c>
      <c r="P606" s="46" t="str" cm="1">
        <f t="array" aca="1" ref="P606" ca="1">IFERROR(_xlfn.XLOOKUP(tblPedidos[[#This Row],[id_dropi]],tblNotas[[#This Row],[id__dropi]],tblNotas[[#This Row],[Notas Manuales]], “”, 0),"")</f>
        <v/>
      </c>
      <c r="Q606" t="s">
        <v>3578</v>
      </c>
      <c r="R606" t="s">
        <v>3014</v>
      </c>
      <c r="S606">
        <v>22829.5</v>
      </c>
      <c r="T606">
        <v>-17670.5</v>
      </c>
      <c r="U606" cm="1">
        <f t="array" ref="U606">IFERROR(_xlfn.IFS(tblPedidos[[#This Row],[estado_operativo]]="ENTREGADO",tblPedidos[[#This Row],[ganancia_calc]],tblPedidos[[#This Row],[estado_operativo]]="DEVOLUCION",tblPedidos[[#This Row],[costo_devolucion_estimado]]),0)</f>
        <v>22829.5</v>
      </c>
      <c r="V606">
        <v>114147.5</v>
      </c>
      <c r="W606">
        <v>54900</v>
      </c>
      <c r="X606">
        <v>17670.5</v>
      </c>
      <c r="Y606">
        <v>14400</v>
      </c>
      <c r="Z606" s="11">
        <v>46038</v>
      </c>
      <c r="AA606">
        <v>6</v>
      </c>
      <c r="AB606" s="12">
        <v>0.5083333333333333</v>
      </c>
      <c r="AC606" t="s">
        <v>720</v>
      </c>
      <c r="AD606" t="s">
        <v>720</v>
      </c>
      <c r="AE606" t="s">
        <v>720</v>
      </c>
    </row>
    <row r="607" spans="1:31">
      <c r="A607" t="s">
        <v>1343</v>
      </c>
      <c r="C607">
        <v>360</v>
      </c>
      <c r="D607" t="s">
        <v>3580</v>
      </c>
      <c r="E607" s="11">
        <v>46034</v>
      </c>
      <c r="F607" t="s">
        <v>3581</v>
      </c>
      <c r="G607" t="s">
        <v>36</v>
      </c>
      <c r="J607" t="s">
        <v>720</v>
      </c>
      <c r="K607" t="s">
        <v>3582</v>
      </c>
      <c r="L607" t="s">
        <v>662</v>
      </c>
      <c r="M607" t="s">
        <v>3583</v>
      </c>
      <c r="N607" t="s">
        <v>3584</v>
      </c>
      <c r="O607" t="s">
        <v>3585</v>
      </c>
      <c r="P607" s="46" t="str" cm="1">
        <f t="array" aca="1" ref="P607" ca="1">IFERROR(_xlfn.XLOOKUP(tblPedidos[[#This Row],[id_dropi]],tblNotas[[#This Row],[id__dropi]],tblNotas[[#This Row],[Notas Manuales]], “”, 0),"")</f>
        <v/>
      </c>
      <c r="R607" t="s">
        <v>3027</v>
      </c>
      <c r="S607">
        <v>23336.5</v>
      </c>
      <c r="T607">
        <v>-13250.800000000001</v>
      </c>
      <c r="U607" cm="1">
        <f t="array" ref="U607">IFERROR(_xlfn.IFS(tblPedidos[[#This Row],[estado_operativo]]="ENTREGADO",tblPedidos[[#This Row],[ganancia_calc]],tblPedidos[[#This Row],[estado_operativo]]="DEVOLUCION",tblPedidos[[#This Row],[costo_devolucion_estimado]]),0)</f>
        <v>23336.5</v>
      </c>
      <c r="V607">
        <v>70009.5</v>
      </c>
      <c r="W607">
        <v>89900</v>
      </c>
      <c r="X607">
        <v>16563.5</v>
      </c>
      <c r="Y607">
        <v>50000</v>
      </c>
      <c r="Z607" s="11">
        <v>46035</v>
      </c>
      <c r="AA607">
        <v>9</v>
      </c>
      <c r="AB607" s="12">
        <v>0.90833333333333333</v>
      </c>
      <c r="AC607" t="s">
        <v>399</v>
      </c>
      <c r="AD607" t="s">
        <v>720</v>
      </c>
      <c r="AE607" t="s">
        <v>720</v>
      </c>
    </row>
    <row r="608" spans="1:31">
      <c r="A608" t="s">
        <v>1343</v>
      </c>
      <c r="C608">
        <v>389</v>
      </c>
      <c r="D608" t="s">
        <v>3586</v>
      </c>
      <c r="E608" s="11">
        <v>46034</v>
      </c>
      <c r="F608" t="s">
        <v>3587</v>
      </c>
      <c r="G608" t="s">
        <v>36</v>
      </c>
      <c r="J608" t="s">
        <v>720</v>
      </c>
      <c r="K608" t="s">
        <v>3588</v>
      </c>
      <c r="L608" t="s">
        <v>166</v>
      </c>
      <c r="M608" t="s">
        <v>1748</v>
      </c>
      <c r="N608" t="s">
        <v>3589</v>
      </c>
      <c r="O608" t="s">
        <v>3590</v>
      </c>
      <c r="P608" s="46" t="str" cm="1">
        <f t="array" aca="1" ref="P608" ca="1">IFERROR(_xlfn.XLOOKUP(tblPedidos[[#This Row],[id_dropi]],tblNotas[[#This Row],[id__dropi]],tblNotas[[#This Row],[Notas Manuales]], “”, 0),"")</f>
        <v/>
      </c>
      <c r="Q608" t="s">
        <v>3591</v>
      </c>
      <c r="R608" t="s">
        <v>3213</v>
      </c>
      <c r="S608">
        <v>19686.5</v>
      </c>
      <c r="T608">
        <v>-12170.800000000001</v>
      </c>
      <c r="U608" cm="1">
        <f t="array" ref="U608">IFERROR(_xlfn.IFS(tblPedidos[[#This Row],[estado_operativo]]="ENTREGADO",tblPedidos[[#This Row],[ganancia_calc]],tblPedidos[[#This Row],[estado_operativo]]="DEVOLUCION",tblPedidos[[#This Row],[costo_devolucion_estimado]]),0)</f>
        <v>19686.5</v>
      </c>
      <c r="V608">
        <v>59059.5</v>
      </c>
      <c r="W608">
        <v>59900</v>
      </c>
      <c r="X608">
        <v>15213.5</v>
      </c>
      <c r="Y608">
        <v>25000</v>
      </c>
      <c r="Z608" s="11">
        <v>46036</v>
      </c>
      <c r="AA608">
        <v>8</v>
      </c>
      <c r="AB608" s="12">
        <v>0.57986111111111116</v>
      </c>
      <c r="AC608" t="s">
        <v>788</v>
      </c>
      <c r="AD608" t="s">
        <v>720</v>
      </c>
      <c r="AE608" t="s">
        <v>720</v>
      </c>
    </row>
    <row r="609" spans="1:31">
      <c r="A609" t="s">
        <v>1343</v>
      </c>
      <c r="C609">
        <v>390</v>
      </c>
      <c r="D609" t="s">
        <v>3592</v>
      </c>
      <c r="E609" s="11">
        <v>46034</v>
      </c>
      <c r="F609" t="s">
        <v>3593</v>
      </c>
      <c r="G609" t="s">
        <v>45</v>
      </c>
      <c r="J609" t="s">
        <v>720</v>
      </c>
      <c r="K609" t="s">
        <v>3594</v>
      </c>
      <c r="L609" t="s">
        <v>74</v>
      </c>
      <c r="M609" t="s">
        <v>1680</v>
      </c>
      <c r="N609" t="s">
        <v>3595</v>
      </c>
      <c r="O609" t="s">
        <v>3596</v>
      </c>
      <c r="P609" s="46" t="str" cm="1">
        <f t="array" aca="1" ref="P609" ca="1">IFERROR(_xlfn.XLOOKUP(tblPedidos[[#This Row],[id_dropi]],tblNotas[[#This Row],[id__dropi]],tblNotas[[#This Row],[Notas Manuales]], “”, 0),"")</f>
        <v/>
      </c>
      <c r="R609" t="s">
        <v>3213</v>
      </c>
      <c r="S609">
        <v>17004.5</v>
      </c>
      <c r="T609">
        <v>-17895.5</v>
      </c>
      <c r="U609" cm="1">
        <f t="array" ref="U609">IFERROR(_xlfn.IFS(tblPedidos[[#This Row],[estado_operativo]]="ENTREGADO",tblPedidos[[#This Row],[ganancia_calc]],tblPedidos[[#This Row],[estado_operativo]]="DEVOLUCION",tblPedidos[[#This Row],[costo_devolucion_estimado]]),0)</f>
        <v>17004.5</v>
      </c>
      <c r="V609">
        <v>85022.5</v>
      </c>
      <c r="W609">
        <v>59900</v>
      </c>
      <c r="X609">
        <v>17895.5</v>
      </c>
      <c r="Y609">
        <v>25000</v>
      </c>
      <c r="Z609" s="11">
        <v>46038</v>
      </c>
      <c r="AA609">
        <v>6</v>
      </c>
      <c r="AB609" s="12">
        <v>0.84652777777777777</v>
      </c>
      <c r="AC609" t="s">
        <v>720</v>
      </c>
      <c r="AD609" t="s">
        <v>720</v>
      </c>
      <c r="AE609" t="s">
        <v>720</v>
      </c>
    </row>
    <row r="610" spans="1:31">
      <c r="A610" t="s">
        <v>1343</v>
      </c>
      <c r="C610">
        <v>388</v>
      </c>
      <c r="D610" t="s">
        <v>3597</v>
      </c>
      <c r="E610" s="11">
        <v>46034</v>
      </c>
      <c r="F610" t="s">
        <v>3598</v>
      </c>
      <c r="G610" t="s">
        <v>45</v>
      </c>
      <c r="J610" t="s">
        <v>720</v>
      </c>
      <c r="K610" t="s">
        <v>3599</v>
      </c>
      <c r="L610" t="s">
        <v>46</v>
      </c>
      <c r="M610" t="s">
        <v>100</v>
      </c>
      <c r="N610" t="s">
        <v>3600</v>
      </c>
      <c r="O610" t="s">
        <v>3601</v>
      </c>
      <c r="P610" s="46" t="str" cm="1">
        <f t="array" aca="1" ref="P610" ca="1">IFERROR(_xlfn.XLOOKUP(tblPedidos[[#This Row],[id_dropi]],tblNotas[[#This Row],[id__dropi]],tblNotas[[#This Row],[Notas Manuales]], “”, 0),"")</f>
        <v/>
      </c>
      <c r="Q610" t="s">
        <v>3602</v>
      </c>
      <c r="R610" t="s">
        <v>3200</v>
      </c>
      <c r="S610">
        <v>33479.5</v>
      </c>
      <c r="T610">
        <v>-12620.5</v>
      </c>
      <c r="U610" cm="1">
        <f t="array" ref="U610">IFERROR(_xlfn.IFS(tblPedidos[[#This Row],[estado_operativo]]="ENTREGADO",tblPedidos[[#This Row],[ganancia_calc]],tblPedidos[[#This Row],[estado_operativo]]="DEVOLUCION",tblPedidos[[#This Row],[costo_devolucion_estimado]]),0)</f>
        <v>33479.5</v>
      </c>
      <c r="V610">
        <v>200877</v>
      </c>
      <c r="W610">
        <v>74900</v>
      </c>
      <c r="X610">
        <v>12620.5</v>
      </c>
      <c r="Y610">
        <v>28800</v>
      </c>
      <c r="Z610" s="11">
        <v>46036</v>
      </c>
      <c r="AA610">
        <v>8</v>
      </c>
      <c r="AB610" s="12">
        <v>0.75763888888888886</v>
      </c>
      <c r="AC610" t="s">
        <v>720</v>
      </c>
      <c r="AD610" t="s">
        <v>720</v>
      </c>
      <c r="AE610" t="s">
        <v>720</v>
      </c>
    </row>
    <row r="611" spans="1:31">
      <c r="A611" t="s">
        <v>1343</v>
      </c>
      <c r="C611">
        <v>386</v>
      </c>
      <c r="D611" t="s">
        <v>3603</v>
      </c>
      <c r="E611" s="11">
        <v>46034</v>
      </c>
      <c r="F611" t="s">
        <v>3604</v>
      </c>
      <c r="G611" t="s">
        <v>45</v>
      </c>
      <c r="J611" t="s">
        <v>720</v>
      </c>
      <c r="K611" t="s">
        <v>3605</v>
      </c>
      <c r="L611" t="s">
        <v>46</v>
      </c>
      <c r="M611" t="s">
        <v>2233</v>
      </c>
      <c r="N611" t="s">
        <v>3606</v>
      </c>
      <c r="O611" t="s">
        <v>3607</v>
      </c>
      <c r="P611" s="46" t="str" cm="1">
        <f t="array" aca="1" ref="P611" ca="1">IFERROR(_xlfn.XLOOKUP(tblPedidos[[#This Row],[id_dropi]],tblNotas[[#This Row],[id__dropi]],tblNotas[[#This Row],[Notas Manuales]], “”, 0),"")</f>
        <v/>
      </c>
      <c r="R611" t="s">
        <v>3027</v>
      </c>
      <c r="S611">
        <v>20654.5</v>
      </c>
      <c r="T611">
        <v>-19245.5</v>
      </c>
      <c r="U611" cm="1">
        <f t="array" ref="U611">IFERROR(_xlfn.IFS(tblPedidos[[#This Row],[estado_operativo]]="ENTREGADO",tblPedidos[[#This Row],[ganancia_calc]],tblPedidos[[#This Row],[estado_operativo]]="DEVOLUCION",tblPedidos[[#This Row],[costo_devolucion_estimado]]),0)</f>
        <v>20654.5</v>
      </c>
      <c r="V611">
        <v>103272.5</v>
      </c>
      <c r="W611">
        <v>89900</v>
      </c>
      <c r="X611">
        <v>19245.5</v>
      </c>
      <c r="Y611">
        <v>50000</v>
      </c>
      <c r="Z611" s="11">
        <v>46038</v>
      </c>
      <c r="AA611">
        <v>6</v>
      </c>
      <c r="AB611" s="12">
        <v>0.67500000000000004</v>
      </c>
      <c r="AC611" t="s">
        <v>720</v>
      </c>
      <c r="AD611" t="s">
        <v>720</v>
      </c>
      <c r="AE611" t="s">
        <v>720</v>
      </c>
    </row>
    <row r="612" spans="1:31">
      <c r="A612" t="s">
        <v>1343</v>
      </c>
      <c r="C612">
        <v>387</v>
      </c>
      <c r="D612" t="s">
        <v>3608</v>
      </c>
      <c r="E612" s="11">
        <v>46034</v>
      </c>
      <c r="F612" t="s">
        <v>3609</v>
      </c>
      <c r="G612" t="s">
        <v>45</v>
      </c>
      <c r="J612" t="s">
        <v>720</v>
      </c>
      <c r="K612" t="s">
        <v>3610</v>
      </c>
      <c r="L612" t="s">
        <v>111</v>
      </c>
      <c r="M612" t="s">
        <v>2307</v>
      </c>
      <c r="N612" t="s">
        <v>3611</v>
      </c>
      <c r="O612" t="s">
        <v>3612</v>
      </c>
      <c r="P612" s="46" t="str" cm="1">
        <f t="array" aca="1" ref="P612" ca="1">IFERROR(_xlfn.XLOOKUP(tblPedidos[[#This Row],[id_dropi]],tblNotas[[#This Row],[id__dropi]],tblNotas[[#This Row],[Notas Manuales]], “”, 0),"")</f>
        <v/>
      </c>
      <c r="R612" t="s">
        <v>3137</v>
      </c>
      <c r="S612">
        <v>22054.5</v>
      </c>
      <c r="T612">
        <v>-17895.5</v>
      </c>
      <c r="U612" cm="1">
        <f t="array" ref="U612">IFERROR(_xlfn.IFS(tblPedidos[[#This Row],[estado_operativo]]="ENTREGADO",tblPedidos[[#This Row],[ganancia_calc]],tblPedidos[[#This Row],[estado_operativo]]="DEVOLUCION",tblPedidos[[#This Row],[costo_devolucion_estimado]]),0)</f>
        <v>22054.5</v>
      </c>
      <c r="V612">
        <v>132327</v>
      </c>
      <c r="W612">
        <v>59900</v>
      </c>
      <c r="X612">
        <v>17895.5</v>
      </c>
      <c r="Y612">
        <v>19950</v>
      </c>
      <c r="Z612" s="11">
        <v>46037</v>
      </c>
      <c r="AA612">
        <v>7</v>
      </c>
      <c r="AB612" s="12">
        <v>0.61111111111111116</v>
      </c>
      <c r="AC612" t="s">
        <v>720</v>
      </c>
      <c r="AD612" t="s">
        <v>720</v>
      </c>
      <c r="AE612" t="s">
        <v>720</v>
      </c>
    </row>
    <row r="613" spans="1:31">
      <c r="A613" t="s">
        <v>1343</v>
      </c>
      <c r="C613">
        <v>394</v>
      </c>
      <c r="D613" t="s">
        <v>3613</v>
      </c>
      <c r="E613" s="11">
        <v>46034</v>
      </c>
      <c r="F613" t="s">
        <v>3614</v>
      </c>
      <c r="G613" t="s">
        <v>45</v>
      </c>
      <c r="J613" t="s">
        <v>720</v>
      </c>
      <c r="K613" t="s">
        <v>3615</v>
      </c>
      <c r="L613" t="s">
        <v>68</v>
      </c>
      <c r="M613" t="s">
        <v>69</v>
      </c>
      <c r="N613" t="s">
        <v>3616</v>
      </c>
      <c r="O613" t="s">
        <v>3617</v>
      </c>
      <c r="P613" s="46" t="str" cm="1">
        <f t="array" aca="1" ref="P613" ca="1">IFERROR(_xlfn.XLOOKUP(tblPedidos[[#This Row],[id_dropi]],tblNotas[[#This Row],[id__dropi]],tblNotas[[#This Row],[Notas Manuales]], “”, 0),"")</f>
        <v/>
      </c>
      <c r="Q613" t="s">
        <v>3618</v>
      </c>
      <c r="R613" t="s">
        <v>3200</v>
      </c>
      <c r="S613">
        <v>27529.5</v>
      </c>
      <c r="T613">
        <v>-18570.5</v>
      </c>
      <c r="U613" cm="1">
        <f t="array" ref="U613">IFERROR(_xlfn.IFS(tblPedidos[[#This Row],[estado_operativo]]="ENTREGADO",tblPedidos[[#This Row],[ganancia_calc]],tblPedidos[[#This Row],[estado_operativo]]="DEVOLUCION",tblPedidos[[#This Row],[costo_devolucion_estimado]]),0)</f>
        <v>27529.5</v>
      </c>
      <c r="V613">
        <v>165177</v>
      </c>
      <c r="W613">
        <v>74900</v>
      </c>
      <c r="X613">
        <v>18570.5</v>
      </c>
      <c r="Y613">
        <v>28800</v>
      </c>
      <c r="Z613" s="11">
        <v>46036</v>
      </c>
      <c r="AA613">
        <v>8</v>
      </c>
      <c r="AB613" s="12">
        <v>0.75555555555555554</v>
      </c>
      <c r="AC613" t="s">
        <v>720</v>
      </c>
      <c r="AD613" t="s">
        <v>720</v>
      </c>
      <c r="AE613" t="s">
        <v>720</v>
      </c>
    </row>
    <row r="614" spans="1:31">
      <c r="A614" t="s">
        <v>1343</v>
      </c>
      <c r="C614">
        <v>395</v>
      </c>
      <c r="D614" t="s">
        <v>3619</v>
      </c>
      <c r="E614" s="11">
        <v>46034</v>
      </c>
      <c r="F614" t="s">
        <v>3620</v>
      </c>
      <c r="G614" t="s">
        <v>45</v>
      </c>
      <c r="J614" t="s">
        <v>720</v>
      </c>
      <c r="K614" t="s">
        <v>3621</v>
      </c>
      <c r="L614" t="s">
        <v>328</v>
      </c>
      <c r="M614" t="s">
        <v>3622</v>
      </c>
      <c r="N614" t="s">
        <v>3623</v>
      </c>
      <c r="O614" t="s">
        <v>3624</v>
      </c>
      <c r="P614" s="46" t="str" cm="1">
        <f t="array" aca="1" ref="P614" ca="1">IFERROR(_xlfn.XLOOKUP(tblPedidos[[#This Row],[id_dropi]],tblNotas[[#This Row],[id__dropi]],tblNotas[[#This Row],[Notas Manuales]], “”, 0),"")</f>
        <v/>
      </c>
      <c r="Q614" t="s">
        <v>50</v>
      </c>
      <c r="R614" t="s">
        <v>3213</v>
      </c>
      <c r="S614">
        <v>17004.5</v>
      </c>
      <c r="T614">
        <v>-17895.5</v>
      </c>
      <c r="U614" cm="1">
        <f t="array" ref="U614">IFERROR(_xlfn.IFS(tblPedidos[[#This Row],[estado_operativo]]="ENTREGADO",tblPedidos[[#This Row],[ganancia_calc]],tblPedidos[[#This Row],[estado_operativo]]="DEVOLUCION",tblPedidos[[#This Row],[costo_devolucion_estimado]]),0)</f>
        <v>17004.5</v>
      </c>
      <c r="V614">
        <v>85022.5</v>
      </c>
      <c r="W614">
        <v>59900</v>
      </c>
      <c r="X614">
        <v>17895.5</v>
      </c>
      <c r="Y614">
        <v>25000</v>
      </c>
      <c r="Z614" s="11">
        <v>46039</v>
      </c>
      <c r="AA614">
        <v>5</v>
      </c>
      <c r="AB614" s="12">
        <v>0.60972222222222228</v>
      </c>
      <c r="AC614" t="s">
        <v>720</v>
      </c>
      <c r="AD614" t="s">
        <v>720</v>
      </c>
      <c r="AE614" t="s">
        <v>720</v>
      </c>
    </row>
    <row r="615" spans="1:31">
      <c r="A615" t="s">
        <v>1343</v>
      </c>
      <c r="C615">
        <v>393</v>
      </c>
      <c r="D615" t="s">
        <v>3625</v>
      </c>
      <c r="E615" s="11">
        <v>46034</v>
      </c>
      <c r="F615" t="s">
        <v>3626</v>
      </c>
      <c r="G615" t="s">
        <v>45</v>
      </c>
      <c r="J615" t="s">
        <v>720</v>
      </c>
      <c r="K615" t="s">
        <v>3627</v>
      </c>
      <c r="L615" t="s">
        <v>105</v>
      </c>
      <c r="M615" t="s">
        <v>2125</v>
      </c>
      <c r="N615" t="s">
        <v>3628</v>
      </c>
      <c r="O615" t="s">
        <v>3629</v>
      </c>
      <c r="P615" s="46" t="str" cm="1">
        <f t="array" aca="1" ref="P615" ca="1">IFERROR(_xlfn.XLOOKUP(tblPedidos[[#This Row],[id_dropi]],tblNotas[[#This Row],[id__dropi]],tblNotas[[#This Row],[Notas Manuales]], “”, 0),"")</f>
        <v/>
      </c>
      <c r="R615" t="s">
        <v>3027</v>
      </c>
      <c r="S615">
        <v>20654.5</v>
      </c>
      <c r="T615">
        <v>-19245.5</v>
      </c>
      <c r="U615" cm="1">
        <f t="array" ref="U615">IFERROR(_xlfn.IFS(tblPedidos[[#This Row],[estado_operativo]]="ENTREGADO",tblPedidos[[#This Row],[ganancia_calc]],tblPedidos[[#This Row],[estado_operativo]]="DEVOLUCION",tblPedidos[[#This Row],[costo_devolucion_estimado]]),0)</f>
        <v>20654.5</v>
      </c>
      <c r="V615">
        <v>61963.5</v>
      </c>
      <c r="W615">
        <v>89900</v>
      </c>
      <c r="X615">
        <v>19245.5</v>
      </c>
      <c r="Y615">
        <v>50000</v>
      </c>
      <c r="Z615" s="11">
        <v>46041</v>
      </c>
      <c r="AA615">
        <v>3</v>
      </c>
      <c r="AB615" s="12">
        <v>0.7368055555555556</v>
      </c>
      <c r="AC615" t="s">
        <v>720</v>
      </c>
      <c r="AD615" t="s">
        <v>720</v>
      </c>
      <c r="AE615" t="s">
        <v>720</v>
      </c>
    </row>
    <row r="616" spans="1:31">
      <c r="A616" t="s">
        <v>1343</v>
      </c>
      <c r="C616">
        <v>391</v>
      </c>
      <c r="D616" t="s">
        <v>3630</v>
      </c>
      <c r="E616" s="11">
        <v>46034</v>
      </c>
      <c r="F616" t="s">
        <v>3631</v>
      </c>
      <c r="G616" t="s">
        <v>36</v>
      </c>
      <c r="J616" t="s">
        <v>720</v>
      </c>
      <c r="K616" t="s">
        <v>3632</v>
      </c>
      <c r="L616" t="s">
        <v>54</v>
      </c>
      <c r="M616" t="s">
        <v>224</v>
      </c>
      <c r="N616" t="s">
        <v>3633</v>
      </c>
      <c r="O616" t="s">
        <v>3634</v>
      </c>
      <c r="P616" s="46" t="str" cm="1">
        <f t="array" aca="1" ref="P616" ca="1">IFERROR(_xlfn.XLOOKUP(tblPedidos[[#This Row],[id_dropi]],tblNotas[[#This Row],[id__dropi]],tblNotas[[#This Row],[Notas Manuales]], “”, 0),"")</f>
        <v/>
      </c>
      <c r="R616" t="s">
        <v>3027</v>
      </c>
      <c r="S616">
        <v>23336.5</v>
      </c>
      <c r="T616">
        <v>-13250.800000000001</v>
      </c>
      <c r="U616" cm="1">
        <f t="array" ref="U616">IFERROR(_xlfn.IFS(tblPedidos[[#This Row],[estado_operativo]]="ENTREGADO",tblPedidos[[#This Row],[ganancia_calc]],tblPedidos[[#This Row],[estado_operativo]]="DEVOLUCION",tblPedidos[[#This Row],[costo_devolucion_estimado]]),0)</f>
        <v>23336.5</v>
      </c>
      <c r="V616">
        <v>140019</v>
      </c>
      <c r="W616">
        <v>89900</v>
      </c>
      <c r="X616">
        <v>16563.5</v>
      </c>
      <c r="Y616">
        <v>50000</v>
      </c>
      <c r="Z616" s="11">
        <v>46035</v>
      </c>
      <c r="AA616">
        <v>9</v>
      </c>
      <c r="AB616" s="12">
        <v>0.90486111111111112</v>
      </c>
      <c r="AC616" t="s">
        <v>399</v>
      </c>
      <c r="AD616" t="s">
        <v>720</v>
      </c>
      <c r="AE616" t="s">
        <v>720</v>
      </c>
    </row>
    <row r="617" spans="1:31">
      <c r="A617" t="s">
        <v>1343</v>
      </c>
      <c r="C617">
        <v>392</v>
      </c>
      <c r="D617" t="s">
        <v>3635</v>
      </c>
      <c r="E617" s="11">
        <v>46034</v>
      </c>
      <c r="F617" t="s">
        <v>3636</v>
      </c>
      <c r="G617" t="s">
        <v>45</v>
      </c>
      <c r="J617" t="s">
        <v>720</v>
      </c>
      <c r="K617" t="s">
        <v>3637</v>
      </c>
      <c r="L617" t="s">
        <v>322</v>
      </c>
      <c r="M617" t="s">
        <v>3638</v>
      </c>
      <c r="N617" t="s">
        <v>3639</v>
      </c>
      <c r="O617" t="s">
        <v>3640</v>
      </c>
      <c r="P617" s="46" t="str" cm="1">
        <f t="array" aca="1" ref="P617" ca="1">IFERROR(_xlfn.XLOOKUP(tblPedidos[[#This Row],[id_dropi]],tblNotas[[#This Row],[id__dropi]],tblNotas[[#This Row],[Notas Manuales]], “”, 0),"")</f>
        <v/>
      </c>
      <c r="R617" t="s">
        <v>3213</v>
      </c>
      <c r="S617">
        <v>17004.5</v>
      </c>
      <c r="T617">
        <v>-17895.5</v>
      </c>
      <c r="U617" cm="1">
        <f t="array" ref="U617">IFERROR(_xlfn.IFS(tblPedidos[[#This Row],[estado_operativo]]="ENTREGADO",tblPedidos[[#This Row],[ganancia_calc]],tblPedidos[[#This Row],[estado_operativo]]="DEVOLUCION",tblPedidos[[#This Row],[costo_devolucion_estimado]]),0)</f>
        <v>17004.5</v>
      </c>
      <c r="V617">
        <v>85022.5</v>
      </c>
      <c r="W617">
        <v>59900</v>
      </c>
      <c r="X617">
        <v>17895.5</v>
      </c>
      <c r="Y617">
        <v>25000</v>
      </c>
      <c r="Z617" s="11">
        <v>46038</v>
      </c>
      <c r="AA617">
        <v>6</v>
      </c>
      <c r="AB617" s="12">
        <v>0.75694444444444442</v>
      </c>
      <c r="AC617" t="s">
        <v>720</v>
      </c>
      <c r="AD617" t="s">
        <v>720</v>
      </c>
      <c r="AE617" t="s">
        <v>720</v>
      </c>
    </row>
    <row r="618" spans="1:31">
      <c r="A618" t="s">
        <v>1343</v>
      </c>
      <c r="C618">
        <v>385</v>
      </c>
      <c r="D618" t="s">
        <v>3641</v>
      </c>
      <c r="E618" s="11">
        <v>46034</v>
      </c>
      <c r="F618" t="s">
        <v>3642</v>
      </c>
      <c r="G618" t="s">
        <v>45</v>
      </c>
      <c r="J618" t="s">
        <v>720</v>
      </c>
      <c r="K618" t="s">
        <v>3643</v>
      </c>
      <c r="L618" t="s">
        <v>46</v>
      </c>
      <c r="M618" t="s">
        <v>100</v>
      </c>
      <c r="N618" t="s">
        <v>3644</v>
      </c>
      <c r="O618" t="s">
        <v>3645</v>
      </c>
      <c r="P618" s="46" t="str" cm="1">
        <f t="array" aca="1" ref="P618" ca="1">IFERROR(_xlfn.XLOOKUP(tblPedidos[[#This Row],[id_dropi]],tblNotas[[#This Row],[id__dropi]],tblNotas[[#This Row],[Notas Manuales]], “”, 0),"")</f>
        <v/>
      </c>
      <c r="Q618" t="s">
        <v>3646</v>
      </c>
      <c r="R618" t="s">
        <v>3213</v>
      </c>
      <c r="S618">
        <v>22954.5</v>
      </c>
      <c r="T618">
        <v>-11945.5</v>
      </c>
      <c r="U618" cm="1">
        <f t="array" ref="U618">IFERROR(_xlfn.IFS(tblPedidos[[#This Row],[estado_operativo]]="ENTREGADO",tblPedidos[[#This Row],[ganancia_calc]],tblPedidos[[#This Row],[estado_operativo]]="DEVOLUCION",tblPedidos[[#This Row],[costo_devolucion_estimado]]),0)</f>
        <v>22954.5</v>
      </c>
      <c r="V618">
        <v>137727</v>
      </c>
      <c r="W618">
        <v>59900</v>
      </c>
      <c r="X618">
        <v>11945.5</v>
      </c>
      <c r="Y618">
        <v>25000</v>
      </c>
      <c r="Z618" s="11">
        <v>46037</v>
      </c>
      <c r="AA618">
        <v>7</v>
      </c>
      <c r="AB618" s="12">
        <v>0.75624999999999998</v>
      </c>
      <c r="AC618" t="s">
        <v>720</v>
      </c>
      <c r="AD618" t="s">
        <v>720</v>
      </c>
      <c r="AE618" t="s">
        <v>720</v>
      </c>
    </row>
    <row r="619" spans="1:31">
      <c r="A619" t="s">
        <v>1343</v>
      </c>
      <c r="C619">
        <v>378</v>
      </c>
      <c r="D619" t="s">
        <v>3647</v>
      </c>
      <c r="E619" s="11">
        <v>46034</v>
      </c>
      <c r="F619" t="s">
        <v>3648</v>
      </c>
      <c r="G619" t="s">
        <v>36</v>
      </c>
      <c r="J619" t="s">
        <v>720</v>
      </c>
      <c r="K619" t="s">
        <v>3649</v>
      </c>
      <c r="L619" t="s">
        <v>81</v>
      </c>
      <c r="M619" t="s">
        <v>272</v>
      </c>
      <c r="N619" t="s">
        <v>3650</v>
      </c>
      <c r="O619" t="s">
        <v>3651</v>
      </c>
      <c r="P619" s="46" t="str" cm="1">
        <f t="array" aca="1" ref="P619" ca="1">IFERROR(_xlfn.XLOOKUP(tblPedidos[[#This Row],[id_dropi]],tblNotas[[#This Row],[id__dropi]],tblNotas[[#This Row],[Notas Manuales]], “”, 0),"")</f>
        <v/>
      </c>
      <c r="Q619" t="s">
        <v>3652</v>
      </c>
      <c r="R619" t="s">
        <v>3213</v>
      </c>
      <c r="S619">
        <v>19686.5</v>
      </c>
      <c r="T619">
        <v>-12170.800000000001</v>
      </c>
      <c r="U619" cm="1">
        <f t="array" ref="U619">IFERROR(_xlfn.IFS(tblPedidos[[#This Row],[estado_operativo]]="ENTREGADO",tblPedidos[[#This Row],[ganancia_calc]],tblPedidos[[#This Row],[estado_operativo]]="DEVOLUCION",tblPedidos[[#This Row],[costo_devolucion_estimado]]),0)</f>
        <v>19686.5</v>
      </c>
      <c r="V619">
        <v>98432.5</v>
      </c>
      <c r="W619">
        <v>59900</v>
      </c>
      <c r="X619">
        <v>15213.5</v>
      </c>
      <c r="Y619">
        <v>25000</v>
      </c>
      <c r="Z619" s="11">
        <v>46036</v>
      </c>
      <c r="AA619">
        <v>8</v>
      </c>
      <c r="AB619" s="12">
        <v>0.57986111111111116</v>
      </c>
      <c r="AC619" t="s">
        <v>788</v>
      </c>
      <c r="AD619" t="s">
        <v>720</v>
      </c>
      <c r="AE619" t="s">
        <v>720</v>
      </c>
    </row>
    <row r="620" spans="1:31">
      <c r="A620" t="s">
        <v>1343</v>
      </c>
      <c r="C620">
        <v>379</v>
      </c>
      <c r="D620" t="s">
        <v>3653</v>
      </c>
      <c r="E620" s="11">
        <v>46034</v>
      </c>
      <c r="F620" t="s">
        <v>3654</v>
      </c>
      <c r="G620" t="s">
        <v>45</v>
      </c>
      <c r="J620" t="s">
        <v>720</v>
      </c>
      <c r="K620" t="s">
        <v>3655</v>
      </c>
      <c r="L620" t="s">
        <v>545</v>
      </c>
      <c r="M620" t="s">
        <v>883</v>
      </c>
      <c r="N620" t="s">
        <v>3656</v>
      </c>
      <c r="O620" t="s">
        <v>3657</v>
      </c>
      <c r="P620" s="46" t="str" cm="1">
        <f t="array" aca="1" ref="P620" ca="1">IFERROR(_xlfn.XLOOKUP(tblPedidos[[#This Row],[id_dropi]],tblNotas[[#This Row],[id__dropi]],tblNotas[[#This Row],[Notas Manuales]], “”, 0),"")</f>
        <v/>
      </c>
      <c r="R620" t="s">
        <v>3137</v>
      </c>
      <c r="S620">
        <v>22054.5</v>
      </c>
      <c r="T620">
        <v>-17895.5</v>
      </c>
      <c r="U620" cm="1">
        <f t="array" ref="U620">IFERROR(_xlfn.IFS(tblPedidos[[#This Row],[estado_operativo]]="ENTREGADO",tblPedidos[[#This Row],[ganancia_calc]],tblPedidos[[#This Row],[estado_operativo]]="DEVOLUCION",tblPedidos[[#This Row],[costo_devolucion_estimado]]),0)</f>
        <v>22054.5</v>
      </c>
      <c r="V620">
        <v>132327</v>
      </c>
      <c r="W620">
        <v>59900</v>
      </c>
      <c r="X620">
        <v>17895.5</v>
      </c>
      <c r="Y620">
        <v>19950</v>
      </c>
      <c r="Z620" s="11">
        <v>46037</v>
      </c>
      <c r="AA620">
        <v>7</v>
      </c>
      <c r="AB620" s="12">
        <v>0.83958333333333335</v>
      </c>
      <c r="AC620" t="s">
        <v>720</v>
      </c>
      <c r="AD620" t="s">
        <v>720</v>
      </c>
      <c r="AE620" t="s">
        <v>720</v>
      </c>
    </row>
    <row r="621" spans="1:31">
      <c r="A621" t="s">
        <v>1343</v>
      </c>
      <c r="C621">
        <v>377</v>
      </c>
      <c r="D621" t="s">
        <v>3658</v>
      </c>
      <c r="E621" s="11">
        <v>46034</v>
      </c>
      <c r="F621" t="s">
        <v>3659</v>
      </c>
      <c r="G621" t="s">
        <v>45</v>
      </c>
      <c r="J621" t="s">
        <v>720</v>
      </c>
      <c r="K621" t="s">
        <v>3660</v>
      </c>
      <c r="L621" t="s">
        <v>46</v>
      </c>
      <c r="M621" t="s">
        <v>100</v>
      </c>
      <c r="N621" t="s">
        <v>3661</v>
      </c>
      <c r="O621" t="s">
        <v>3662</v>
      </c>
      <c r="P621" s="46" t="str" cm="1">
        <f t="array" aca="1" ref="P621" ca="1">IFERROR(_xlfn.XLOOKUP(tblPedidos[[#This Row],[id_dropi]],tblNotas[[#This Row],[id__dropi]],tblNotas[[#This Row],[Notas Manuales]], “”, 0),"")</f>
        <v/>
      </c>
      <c r="Q621" t="s">
        <v>50</v>
      </c>
      <c r="R621" t="s">
        <v>2983</v>
      </c>
      <c r="S621">
        <v>28104.5</v>
      </c>
      <c r="T621">
        <v>-18345.5</v>
      </c>
      <c r="U621" cm="1">
        <f t="array" ref="U621">IFERROR(_xlfn.IFS(tblPedidos[[#This Row],[estado_operativo]]="ENTREGADO",tblPedidos[[#This Row],[ganancia_calc]],tblPedidos[[#This Row],[estado_operativo]]="DEVOLUCION",tblPedidos[[#This Row],[costo_devolucion_estimado]]),0)</f>
        <v>28104.5</v>
      </c>
      <c r="V621">
        <v>140522.5</v>
      </c>
      <c r="W621">
        <v>69900</v>
      </c>
      <c r="X621">
        <v>18345.5</v>
      </c>
      <c r="Y621">
        <v>23450</v>
      </c>
      <c r="Z621" s="11">
        <v>46039</v>
      </c>
      <c r="AA621">
        <v>5</v>
      </c>
      <c r="AB621" s="12">
        <v>0.5131944444444444</v>
      </c>
      <c r="AC621" t="s">
        <v>720</v>
      </c>
      <c r="AD621" t="s">
        <v>720</v>
      </c>
      <c r="AE621" t="s">
        <v>720</v>
      </c>
    </row>
    <row r="622" spans="1:31">
      <c r="A622" t="s">
        <v>1343</v>
      </c>
      <c r="C622">
        <v>375</v>
      </c>
      <c r="D622" t="s">
        <v>3663</v>
      </c>
      <c r="E622" s="11">
        <v>46034</v>
      </c>
      <c r="F622" t="s">
        <v>3664</v>
      </c>
      <c r="G622" t="s">
        <v>45</v>
      </c>
      <c r="J622" t="s">
        <v>720</v>
      </c>
      <c r="K622" t="s">
        <v>3665</v>
      </c>
      <c r="L622" t="s">
        <v>159</v>
      </c>
      <c r="M622" t="s">
        <v>160</v>
      </c>
      <c r="N622" t="s">
        <v>3666</v>
      </c>
      <c r="O622" t="s">
        <v>3667</v>
      </c>
      <c r="P622" s="46" t="str" cm="1">
        <f t="array" aca="1" ref="P622" ca="1">IFERROR(_xlfn.XLOOKUP(tblPedidos[[#This Row],[id_dropi]],tblNotas[[#This Row],[id__dropi]],tblNotas[[#This Row],[Notas Manuales]], “”, 0),"")</f>
        <v/>
      </c>
      <c r="R622" t="s">
        <v>3137</v>
      </c>
      <c r="S622">
        <v>28004.5</v>
      </c>
      <c r="T622">
        <v>-11945.5</v>
      </c>
      <c r="U622" cm="1">
        <f t="array" ref="U622">IFERROR(_xlfn.IFS(tblPedidos[[#This Row],[estado_operativo]]="ENTREGADO",tblPedidos[[#This Row],[ganancia_calc]],tblPedidos[[#This Row],[estado_operativo]]="DEVOLUCION",tblPedidos[[#This Row],[costo_devolucion_estimado]]),0)</f>
        <v>28004.5</v>
      </c>
      <c r="V622">
        <v>168027</v>
      </c>
      <c r="W622">
        <v>59900</v>
      </c>
      <c r="X622">
        <v>11945.5</v>
      </c>
      <c r="Y622">
        <v>19950</v>
      </c>
      <c r="Z622" s="11">
        <v>46036</v>
      </c>
      <c r="AA622">
        <v>8</v>
      </c>
      <c r="AB622" s="12">
        <v>0.67291666666666672</v>
      </c>
      <c r="AC622" t="s">
        <v>720</v>
      </c>
      <c r="AD622" t="s">
        <v>720</v>
      </c>
      <c r="AE622" t="s">
        <v>720</v>
      </c>
    </row>
    <row r="623" spans="1:31">
      <c r="A623" t="s">
        <v>1343</v>
      </c>
      <c r="C623">
        <v>376</v>
      </c>
      <c r="D623" t="s">
        <v>3668</v>
      </c>
      <c r="E623" s="11">
        <v>46034</v>
      </c>
      <c r="F623" t="s">
        <v>3669</v>
      </c>
      <c r="G623" t="s">
        <v>45</v>
      </c>
      <c r="J623" t="s">
        <v>720</v>
      </c>
      <c r="K623" t="s">
        <v>3670</v>
      </c>
      <c r="L623" t="s">
        <v>46</v>
      </c>
      <c r="M623" t="s">
        <v>100</v>
      </c>
      <c r="N623" t="s">
        <v>3671</v>
      </c>
      <c r="O623" t="s">
        <v>3672</v>
      </c>
      <c r="P623" s="46" t="str" cm="1">
        <f t="array" aca="1" ref="P623" ca="1">IFERROR(_xlfn.XLOOKUP(tblPedidos[[#This Row],[id_dropi]],tblNotas[[#This Row],[id__dropi]],tblNotas[[#This Row],[Notas Manuales]], “”, 0),"")</f>
        <v/>
      </c>
      <c r="R623" t="s">
        <v>2983</v>
      </c>
      <c r="S623">
        <v>28104.5</v>
      </c>
      <c r="T623">
        <v>-18345.5</v>
      </c>
      <c r="U623" cm="1">
        <f t="array" ref="U623">IFERROR(_xlfn.IFS(tblPedidos[[#This Row],[estado_operativo]]="ENTREGADO",tblPedidos[[#This Row],[ganancia_calc]],tblPedidos[[#This Row],[estado_operativo]]="DEVOLUCION",tblPedidos[[#This Row],[costo_devolucion_estimado]]),0)</f>
        <v>28104.5</v>
      </c>
      <c r="V623">
        <v>168627</v>
      </c>
      <c r="W623">
        <v>69900</v>
      </c>
      <c r="X623">
        <v>18345.5</v>
      </c>
      <c r="Y623">
        <v>23450</v>
      </c>
      <c r="Z623" s="11">
        <v>46036</v>
      </c>
      <c r="AA623">
        <v>8</v>
      </c>
      <c r="AB623" s="12">
        <v>0.75624999999999998</v>
      </c>
      <c r="AC623" t="s">
        <v>720</v>
      </c>
      <c r="AD623" t="s">
        <v>720</v>
      </c>
      <c r="AE623" t="s">
        <v>720</v>
      </c>
    </row>
    <row r="624" spans="1:31">
      <c r="A624" t="s">
        <v>1343</v>
      </c>
      <c r="C624">
        <v>383</v>
      </c>
      <c r="D624" t="s">
        <v>3673</v>
      </c>
      <c r="E624" s="11">
        <v>46034</v>
      </c>
      <c r="F624" t="s">
        <v>3674</v>
      </c>
      <c r="G624" t="s">
        <v>45</v>
      </c>
      <c r="J624" t="s">
        <v>720</v>
      </c>
      <c r="K624" t="s">
        <v>3675</v>
      </c>
      <c r="L624" t="s">
        <v>46</v>
      </c>
      <c r="M624" t="s">
        <v>100</v>
      </c>
      <c r="N624" t="s">
        <v>3676</v>
      </c>
      <c r="O624" t="s">
        <v>3677</v>
      </c>
      <c r="P624" s="46" t="str" cm="1">
        <f t="array" aca="1" ref="P624" ca="1">IFERROR(_xlfn.XLOOKUP(tblPedidos[[#This Row],[id_dropi]],tblNotas[[#This Row],[id__dropi]],tblNotas[[#This Row],[Notas Manuales]], “”, 0),"")</f>
        <v/>
      </c>
      <c r="R624" t="s">
        <v>3008</v>
      </c>
      <c r="S624">
        <v>27954.5</v>
      </c>
      <c r="T624">
        <v>-11945.5</v>
      </c>
      <c r="U624" cm="1">
        <f t="array" ref="U624">IFERROR(_xlfn.IFS(tblPedidos[[#This Row],[estado_operativo]]="ENTREGADO",tblPedidos[[#This Row],[ganancia_calc]],tblPedidos[[#This Row],[estado_operativo]]="DEVOLUCION",tblPedidos[[#This Row],[costo_devolucion_estimado]]),0)</f>
        <v>27954.5</v>
      </c>
      <c r="V624">
        <v>139772.5</v>
      </c>
      <c r="W624">
        <v>59900</v>
      </c>
      <c r="X624">
        <v>11945.5</v>
      </c>
      <c r="Y624">
        <v>20000</v>
      </c>
      <c r="Z624" s="11">
        <v>46038</v>
      </c>
      <c r="AA624">
        <v>6</v>
      </c>
      <c r="AB624" s="12">
        <v>0.67361111111111116</v>
      </c>
      <c r="AC624" t="s">
        <v>720</v>
      </c>
      <c r="AD624" t="s">
        <v>720</v>
      </c>
      <c r="AE624" t="s">
        <v>720</v>
      </c>
    </row>
    <row r="625" spans="1:31">
      <c r="A625" t="s">
        <v>1343</v>
      </c>
      <c r="C625">
        <v>384</v>
      </c>
      <c r="D625" t="s">
        <v>3678</v>
      </c>
      <c r="E625" s="11">
        <v>46034</v>
      </c>
      <c r="F625" t="s">
        <v>3679</v>
      </c>
      <c r="G625" t="s">
        <v>45</v>
      </c>
      <c r="J625" t="s">
        <v>720</v>
      </c>
      <c r="K625" t="s">
        <v>3680</v>
      </c>
      <c r="L625" t="s">
        <v>54</v>
      </c>
      <c r="M625" t="s">
        <v>373</v>
      </c>
      <c r="N625" t="s">
        <v>3681</v>
      </c>
      <c r="O625" t="s">
        <v>3682</v>
      </c>
      <c r="P625" s="46" t="str" cm="1">
        <f t="array" aca="1" ref="P625" ca="1">IFERROR(_xlfn.XLOOKUP(tblPedidos[[#This Row],[id_dropi]],tblNotas[[#This Row],[id__dropi]],tblNotas[[#This Row],[Notas Manuales]], “”, 0),"")</f>
        <v/>
      </c>
      <c r="R625" t="s">
        <v>2983</v>
      </c>
      <c r="S625">
        <v>32654.5</v>
      </c>
      <c r="T625">
        <v>-13795.5</v>
      </c>
      <c r="U625" cm="1">
        <f t="array" ref="U625">IFERROR(_xlfn.IFS(tblPedidos[[#This Row],[estado_operativo]]="ENTREGADO",tblPedidos[[#This Row],[ganancia_calc]],tblPedidos[[#This Row],[estado_operativo]]="DEVOLUCION",tblPedidos[[#This Row],[costo_devolucion_estimado]]),0)</f>
        <v>32654.5</v>
      </c>
      <c r="V625">
        <v>195927</v>
      </c>
      <c r="W625">
        <v>69900</v>
      </c>
      <c r="X625">
        <v>13795.5</v>
      </c>
      <c r="Y625">
        <v>23450</v>
      </c>
      <c r="Z625" s="11">
        <v>46037</v>
      </c>
      <c r="AA625">
        <v>7</v>
      </c>
      <c r="AB625" s="12">
        <v>4.9305555555555554E-2</v>
      </c>
      <c r="AC625" t="s">
        <v>720</v>
      </c>
      <c r="AD625" t="s">
        <v>720</v>
      </c>
      <c r="AE625" t="s">
        <v>720</v>
      </c>
    </row>
    <row r="626" spans="1:31">
      <c r="A626" t="s">
        <v>1343</v>
      </c>
      <c r="C626">
        <v>382</v>
      </c>
      <c r="D626" t="s">
        <v>3683</v>
      </c>
      <c r="E626" s="11">
        <v>46034</v>
      </c>
      <c r="F626" t="s">
        <v>3684</v>
      </c>
      <c r="G626" t="s">
        <v>45</v>
      </c>
      <c r="J626" t="s">
        <v>720</v>
      </c>
      <c r="K626" t="s">
        <v>3685</v>
      </c>
      <c r="L626" t="s">
        <v>54</v>
      </c>
      <c r="M626" t="s">
        <v>3686</v>
      </c>
      <c r="N626" t="s">
        <v>3687</v>
      </c>
      <c r="O626" t="s">
        <v>3688</v>
      </c>
      <c r="P626" s="46" t="str" cm="1">
        <f t="array" aca="1" ref="P626" ca="1">IFERROR(_xlfn.XLOOKUP(tblPedidos[[#This Row],[id_dropi]],tblNotas[[#This Row],[id__dropi]],tblNotas[[#This Row],[Notas Manuales]], “”, 0),"")</f>
        <v/>
      </c>
      <c r="Q626" t="s">
        <v>50</v>
      </c>
      <c r="R626" t="s">
        <v>2983</v>
      </c>
      <c r="S626">
        <v>28104.5</v>
      </c>
      <c r="T626">
        <v>-18345.5</v>
      </c>
      <c r="U626" cm="1">
        <f t="array" ref="U626">IFERROR(_xlfn.IFS(tblPedidos[[#This Row],[estado_operativo]]="ENTREGADO",tblPedidos[[#This Row],[ganancia_calc]],tblPedidos[[#This Row],[estado_operativo]]="DEVOLUCION",tblPedidos[[#This Row],[costo_devolucion_estimado]]),0)</f>
        <v>28104.5</v>
      </c>
      <c r="V626">
        <v>140522.5</v>
      </c>
      <c r="W626">
        <v>69900</v>
      </c>
      <c r="X626">
        <v>18345.5</v>
      </c>
      <c r="Y626">
        <v>23450</v>
      </c>
      <c r="Z626" s="11">
        <v>46039</v>
      </c>
      <c r="AA626">
        <v>5</v>
      </c>
      <c r="AB626" s="12">
        <v>0.51041666666666663</v>
      </c>
      <c r="AC626" t="s">
        <v>720</v>
      </c>
      <c r="AD626" t="s">
        <v>720</v>
      </c>
      <c r="AE626" t="s">
        <v>720</v>
      </c>
    </row>
    <row r="627" spans="1:31">
      <c r="A627" t="s">
        <v>1343</v>
      </c>
      <c r="C627">
        <v>380</v>
      </c>
      <c r="D627" t="s">
        <v>3689</v>
      </c>
      <c r="E627" s="11">
        <v>46034</v>
      </c>
      <c r="F627" t="s">
        <v>3690</v>
      </c>
      <c r="G627" t="s">
        <v>36</v>
      </c>
      <c r="J627" t="s">
        <v>720</v>
      </c>
      <c r="K627" t="s">
        <v>3691</v>
      </c>
      <c r="L627" t="s">
        <v>81</v>
      </c>
      <c r="M627" t="s">
        <v>118</v>
      </c>
      <c r="N627" t="s">
        <v>3692</v>
      </c>
      <c r="O627" t="s">
        <v>3693</v>
      </c>
      <c r="P627" s="46" t="str" cm="1">
        <f t="array" aca="1" ref="P627" ca="1">IFERROR(_xlfn.XLOOKUP(tblPedidos[[#This Row],[id_dropi]],tblNotas[[#This Row],[id__dropi]],tblNotas[[#This Row],[Notas Manuales]], “”, 0),"")</f>
        <v/>
      </c>
      <c r="R627" t="s">
        <v>2983</v>
      </c>
      <c r="S627">
        <v>32946.5</v>
      </c>
      <c r="T627">
        <v>-10802.800000000001</v>
      </c>
      <c r="U627" cm="1">
        <f t="array" ref="U627">IFERROR(_xlfn.IFS(tblPedidos[[#This Row],[estado_operativo]]="ENTREGADO",tblPedidos[[#This Row],[ganancia_calc]],tblPedidos[[#This Row],[estado_operativo]]="DEVOLUCION",tblPedidos[[#This Row],[costo_devolucion_estimado]]),0)</f>
        <v>32946.5</v>
      </c>
      <c r="V627">
        <v>197679</v>
      </c>
      <c r="W627">
        <v>69900</v>
      </c>
      <c r="X627">
        <v>13503.5</v>
      </c>
      <c r="Y627">
        <v>23450</v>
      </c>
      <c r="Z627" s="11">
        <v>46035</v>
      </c>
      <c r="AA627">
        <v>9</v>
      </c>
      <c r="AB627" s="12">
        <v>0.87291666666666667</v>
      </c>
      <c r="AC627" t="s">
        <v>399</v>
      </c>
      <c r="AD627" t="s">
        <v>720</v>
      </c>
      <c r="AE627" t="s">
        <v>720</v>
      </c>
    </row>
    <row r="628" spans="1:31">
      <c r="A628" t="s">
        <v>1343</v>
      </c>
      <c r="C628">
        <v>381</v>
      </c>
      <c r="D628" t="s">
        <v>3694</v>
      </c>
      <c r="E628" s="11">
        <v>46034</v>
      </c>
      <c r="F628" t="s">
        <v>3695</v>
      </c>
      <c r="G628" t="s">
        <v>45</v>
      </c>
      <c r="J628" t="s">
        <v>720</v>
      </c>
      <c r="K628" t="s">
        <v>3696</v>
      </c>
      <c r="L628" t="s">
        <v>136</v>
      </c>
      <c r="M628" t="s">
        <v>206</v>
      </c>
      <c r="N628" t="s">
        <v>3697</v>
      </c>
      <c r="O628" t="s">
        <v>3698</v>
      </c>
      <c r="P628" s="46" t="str" cm="1">
        <f t="array" aca="1" ref="P628" ca="1">IFERROR(_xlfn.XLOOKUP(tblPedidos[[#This Row],[id_dropi]],tblNotas[[#This Row],[id__dropi]],tblNotas[[#This Row],[Notas Manuales]], “”, 0),"")</f>
        <v/>
      </c>
      <c r="R628" t="s">
        <v>2983</v>
      </c>
      <c r="S628">
        <v>23329.5</v>
      </c>
      <c r="T628">
        <v>-18120.5</v>
      </c>
      <c r="U628" cm="1">
        <f t="array" ref="U628">IFERROR(_xlfn.IFS(tblPedidos[[#This Row],[estado_operativo]]="ENTREGADO",tblPedidos[[#This Row],[ganancia_calc]],tblPedidos[[#This Row],[estado_operativo]]="DEVOLUCION",tblPedidos[[#This Row],[costo_devolucion_estimado]]),0)</f>
        <v>23329.5</v>
      </c>
      <c r="V628">
        <v>139977</v>
      </c>
      <c r="W628">
        <v>64900</v>
      </c>
      <c r="X628">
        <v>18120.5</v>
      </c>
      <c r="Y628">
        <v>23450</v>
      </c>
      <c r="Z628" s="11">
        <v>46036</v>
      </c>
      <c r="AA628">
        <v>8</v>
      </c>
      <c r="AB628" s="12">
        <v>0.84236111111111112</v>
      </c>
      <c r="AC628" t="s">
        <v>720</v>
      </c>
      <c r="AD628" t="s">
        <v>720</v>
      </c>
      <c r="AE628" t="s">
        <v>720</v>
      </c>
    </row>
    <row r="629" spans="1:31">
      <c r="A629" t="s">
        <v>1343</v>
      </c>
      <c r="C629">
        <v>326</v>
      </c>
      <c r="D629" t="s">
        <v>3699</v>
      </c>
      <c r="E629" s="11">
        <v>46034</v>
      </c>
      <c r="F629" t="s">
        <v>3700</v>
      </c>
      <c r="G629" t="s">
        <v>36</v>
      </c>
      <c r="J629" t="s">
        <v>720</v>
      </c>
      <c r="K629" t="s">
        <v>3701</v>
      </c>
      <c r="L629" t="s">
        <v>81</v>
      </c>
      <c r="M629" t="s">
        <v>118</v>
      </c>
      <c r="N629" t="s">
        <v>3702</v>
      </c>
      <c r="O629" t="s">
        <v>3703</v>
      </c>
      <c r="P629" s="46" t="str" cm="1">
        <f t="array" aca="1" ref="P629" ca="1">IFERROR(_xlfn.XLOOKUP(tblPedidos[[#This Row],[id_dropi]],tblNotas[[#This Row],[id__dropi]],tblNotas[[#This Row],[Notas Manuales]], “”, 0),"")</f>
        <v/>
      </c>
      <c r="R629" t="s">
        <v>2983</v>
      </c>
      <c r="S629">
        <v>28171.5</v>
      </c>
      <c r="T629">
        <v>-10622.800000000001</v>
      </c>
      <c r="U629" cm="1">
        <f t="array" ref="U629">IFERROR(_xlfn.IFS(tblPedidos[[#This Row],[estado_operativo]]="ENTREGADO",tblPedidos[[#This Row],[ganancia_calc]],tblPedidos[[#This Row],[estado_operativo]]="DEVOLUCION",tblPedidos[[#This Row],[costo_devolucion_estimado]]),0)</f>
        <v>28171.5</v>
      </c>
      <c r="V629">
        <v>169029</v>
      </c>
      <c r="W629">
        <v>64900</v>
      </c>
      <c r="X629">
        <v>13278.5</v>
      </c>
      <c r="Y629">
        <v>23450</v>
      </c>
      <c r="Z629" s="11">
        <v>46035</v>
      </c>
      <c r="AA629">
        <v>9</v>
      </c>
      <c r="AB629" s="12">
        <v>0.87291666666666667</v>
      </c>
      <c r="AC629" t="s">
        <v>399</v>
      </c>
      <c r="AD629" t="s">
        <v>720</v>
      </c>
      <c r="AE629" t="s">
        <v>720</v>
      </c>
    </row>
    <row r="630" spans="1:31">
      <c r="A630" t="s">
        <v>1343</v>
      </c>
      <c r="B630" t="s">
        <v>2946</v>
      </c>
      <c r="C630">
        <v>327</v>
      </c>
      <c r="D630" t="s">
        <v>3704</v>
      </c>
      <c r="E630" s="11">
        <v>46034</v>
      </c>
      <c r="F630" t="s">
        <v>3705</v>
      </c>
      <c r="G630" t="s">
        <v>45</v>
      </c>
      <c r="J630" t="s">
        <v>720</v>
      </c>
      <c r="K630" t="s">
        <v>3706</v>
      </c>
      <c r="L630" t="s">
        <v>61</v>
      </c>
      <c r="M630" t="s">
        <v>3707</v>
      </c>
      <c r="N630" t="s">
        <v>3708</v>
      </c>
      <c r="O630" t="s">
        <v>3709</v>
      </c>
      <c r="P630" s="46" t="str" cm="1">
        <f t="array" aca="1" ref="P630" ca="1">IFERROR(_xlfn.XLOOKUP(tblPedidos[[#This Row],[id_dropi]],tblNotas[[#This Row],[id__dropi]],tblNotas[[#This Row],[Notas Manuales]], “”, 0),"")</f>
        <v/>
      </c>
      <c r="Q630" t="s">
        <v>50</v>
      </c>
      <c r="R630" t="s">
        <v>2983</v>
      </c>
      <c r="S630">
        <v>28104.5</v>
      </c>
      <c r="T630">
        <v>-18345.5</v>
      </c>
      <c r="U630" cm="1">
        <f t="array" ref="U630">IFERROR(_xlfn.IFS(tblPedidos[[#This Row],[estado_operativo]]="ENTREGADO",tblPedidos[[#This Row],[ganancia_calc]],tblPedidos[[#This Row],[estado_operativo]]="DEVOLUCION",tblPedidos[[#This Row],[costo_devolucion_estimado]]),0)</f>
        <v>28104.5</v>
      </c>
      <c r="V630">
        <v>84313.5</v>
      </c>
      <c r="W630">
        <v>69900</v>
      </c>
      <c r="X630">
        <v>18345.5</v>
      </c>
      <c r="Y630">
        <v>23450</v>
      </c>
      <c r="Z630" s="11">
        <v>46041</v>
      </c>
      <c r="AA630">
        <v>3</v>
      </c>
      <c r="AB630" s="12">
        <v>0.5229166666666667</v>
      </c>
      <c r="AC630" t="s">
        <v>720</v>
      </c>
      <c r="AD630" t="s">
        <v>720</v>
      </c>
      <c r="AE630" t="s">
        <v>720</v>
      </c>
    </row>
    <row r="631" spans="1:31">
      <c r="A631" t="s">
        <v>1343</v>
      </c>
      <c r="B631" t="s">
        <v>2946</v>
      </c>
      <c r="C631">
        <v>325</v>
      </c>
      <c r="D631" t="s">
        <v>3710</v>
      </c>
      <c r="E631" s="11">
        <v>46034</v>
      </c>
      <c r="F631" t="s">
        <v>3711</v>
      </c>
      <c r="G631" t="s">
        <v>45</v>
      </c>
      <c r="J631" t="s">
        <v>720</v>
      </c>
      <c r="K631" t="s">
        <v>3712</v>
      </c>
      <c r="L631" t="s">
        <v>46</v>
      </c>
      <c r="M631" t="s">
        <v>100</v>
      </c>
      <c r="N631" t="s">
        <v>3713</v>
      </c>
      <c r="O631" t="s">
        <v>3714</v>
      </c>
      <c r="P631" s="46" t="str" cm="1">
        <f t="array" aca="1" ref="P631" ca="1">IFERROR(_xlfn.XLOOKUP(tblPedidos[[#This Row],[id_dropi]],tblNotas[[#This Row],[id__dropi]],tblNotas[[#This Row],[Notas Manuales]], “”, 0),"")</f>
        <v/>
      </c>
      <c r="R631" t="s">
        <v>3008</v>
      </c>
      <c r="S631">
        <v>27954.5</v>
      </c>
      <c r="T631">
        <v>-11945.5</v>
      </c>
      <c r="U631" cm="1">
        <f t="array" ref="U631">IFERROR(_xlfn.IFS(tblPedidos[[#This Row],[estado_operativo]]="ENTREGADO",tblPedidos[[#This Row],[ganancia_calc]],tblPedidos[[#This Row],[estado_operativo]]="DEVOLUCION",tblPedidos[[#This Row],[costo_devolucion_estimado]]),0)</f>
        <v>27954.5</v>
      </c>
      <c r="V631">
        <v>167727</v>
      </c>
      <c r="W631">
        <v>59900</v>
      </c>
      <c r="X631">
        <v>11945.5</v>
      </c>
      <c r="Y631">
        <v>20000</v>
      </c>
      <c r="Z631" s="11">
        <v>46036</v>
      </c>
      <c r="AA631">
        <v>8</v>
      </c>
      <c r="AB631" s="12">
        <v>0.67291666666666672</v>
      </c>
      <c r="AC631" t="s">
        <v>720</v>
      </c>
      <c r="AD631" t="s">
        <v>720</v>
      </c>
      <c r="AE631" t="s">
        <v>720</v>
      </c>
    </row>
    <row r="632" spans="1:31">
      <c r="A632" t="s">
        <v>1343</v>
      </c>
      <c r="C632">
        <v>323</v>
      </c>
      <c r="D632" t="s">
        <v>3715</v>
      </c>
      <c r="E632" s="11">
        <v>46034</v>
      </c>
      <c r="F632" t="s">
        <v>3716</v>
      </c>
      <c r="G632" t="s">
        <v>45</v>
      </c>
      <c r="J632" t="s">
        <v>720</v>
      </c>
      <c r="K632" t="s">
        <v>3717</v>
      </c>
      <c r="L632" t="s">
        <v>136</v>
      </c>
      <c r="M632" t="s">
        <v>206</v>
      </c>
      <c r="N632" t="s">
        <v>3718</v>
      </c>
      <c r="O632" t="s">
        <v>3719</v>
      </c>
      <c r="P632" s="46" t="str" cm="1">
        <f t="array" aca="1" ref="P632" ca="1">IFERROR(_xlfn.XLOOKUP(tblPedidos[[#This Row],[id_dropi]],tblNotas[[#This Row],[id__dropi]],tblNotas[[#This Row],[Notas Manuales]], “”, 0),"")</f>
        <v/>
      </c>
      <c r="R632" t="s">
        <v>3137</v>
      </c>
      <c r="S632">
        <v>22054.5</v>
      </c>
      <c r="T632">
        <v>-17895.5</v>
      </c>
      <c r="U632" cm="1">
        <f t="array" ref="U632">IFERROR(_xlfn.IFS(tblPedidos[[#This Row],[estado_operativo]]="ENTREGADO",tblPedidos[[#This Row],[ganancia_calc]],tblPedidos[[#This Row],[estado_operativo]]="DEVOLUCION",tblPedidos[[#This Row],[costo_devolucion_estimado]]),0)</f>
        <v>22054.5</v>
      </c>
      <c r="V632">
        <v>132327</v>
      </c>
      <c r="W632">
        <v>59900</v>
      </c>
      <c r="X632">
        <v>17895.5</v>
      </c>
      <c r="Y632">
        <v>19950</v>
      </c>
      <c r="Z632" s="11">
        <v>46037</v>
      </c>
      <c r="AA632">
        <v>7</v>
      </c>
      <c r="AB632" s="12">
        <v>0.75694444444444442</v>
      </c>
      <c r="AC632" t="s">
        <v>720</v>
      </c>
      <c r="AD632" t="s">
        <v>720</v>
      </c>
      <c r="AE632" t="s">
        <v>720</v>
      </c>
    </row>
    <row r="633" spans="1:31">
      <c r="A633" t="s">
        <v>33</v>
      </c>
      <c r="C633">
        <v>324</v>
      </c>
      <c r="D633" t="s">
        <v>3720</v>
      </c>
      <c r="E633" s="11">
        <v>46034</v>
      </c>
      <c r="F633" t="s">
        <v>3721</v>
      </c>
      <c r="G633" t="s">
        <v>958</v>
      </c>
      <c r="J633" t="s">
        <v>959</v>
      </c>
      <c r="K633" t="s">
        <v>3722</v>
      </c>
      <c r="L633" t="s">
        <v>81</v>
      </c>
      <c r="M633" t="s">
        <v>118</v>
      </c>
      <c r="N633" t="s">
        <v>3723</v>
      </c>
      <c r="O633" t="s">
        <v>3724</v>
      </c>
      <c r="P633" s="46" t="str" cm="1">
        <f t="array" aca="1" ref="P633" ca="1">IFERROR(_xlfn.XLOOKUP(tblPedidos[[#This Row],[id_dropi]],tblNotas[[#This Row],[id__dropi]],tblNotas[[#This Row],[Notas Manuales]], “”, 0),"")</f>
        <v/>
      </c>
      <c r="R633" t="s">
        <v>3008</v>
      </c>
      <c r="S633">
        <v>32128.5</v>
      </c>
      <c r="T633">
        <v>-10217.200000000001</v>
      </c>
      <c r="U633" cm="1">
        <f t="array" ref="U633">IFERROR(_xlfn.IFS(tblPedidos[[#This Row],[estado_operativo]]="ENTREGADO",tblPedidos[[#This Row],[ganancia_calc]],tblPedidos[[#This Row],[estado_operativo]]="DEVOLUCION",tblPedidos[[#This Row],[costo_devolucion_estimado]]),0)</f>
        <v>0</v>
      </c>
      <c r="V633">
        <v>0</v>
      </c>
      <c r="W633">
        <v>64900</v>
      </c>
      <c r="X633">
        <v>12771.5</v>
      </c>
      <c r="Y633">
        <v>20000</v>
      </c>
      <c r="Z633" s="11">
        <v>46042</v>
      </c>
      <c r="AA633">
        <v>2</v>
      </c>
      <c r="AB633" s="12">
        <v>0.26180555555555557</v>
      </c>
      <c r="AC633" t="s">
        <v>964</v>
      </c>
      <c r="AD633" t="s">
        <v>964</v>
      </c>
      <c r="AE633" t="s">
        <v>959</v>
      </c>
    </row>
    <row r="634" spans="1:31">
      <c r="A634" t="s">
        <v>1343</v>
      </c>
      <c r="C634">
        <v>331</v>
      </c>
      <c r="D634" t="s">
        <v>3725</v>
      </c>
      <c r="E634" s="11">
        <v>46034</v>
      </c>
      <c r="F634" t="s">
        <v>3726</v>
      </c>
      <c r="G634" t="s">
        <v>45</v>
      </c>
      <c r="J634" t="s">
        <v>720</v>
      </c>
      <c r="K634" t="s">
        <v>3727</v>
      </c>
      <c r="L634" t="s">
        <v>212</v>
      </c>
      <c r="M634" t="s">
        <v>3728</v>
      </c>
      <c r="N634" t="s">
        <v>3729</v>
      </c>
      <c r="O634" t="s">
        <v>3730</v>
      </c>
      <c r="P634" s="46" t="str" cm="1">
        <f t="array" aca="1" ref="P634" ca="1">IFERROR(_xlfn.XLOOKUP(tblPedidos[[#This Row],[id_dropi]],tblNotas[[#This Row],[id__dropi]],tblNotas[[#This Row],[Notas Manuales]], “”, 0),"")</f>
        <v/>
      </c>
      <c r="R634" t="s">
        <v>2983</v>
      </c>
      <c r="S634">
        <v>28104.5</v>
      </c>
      <c r="T634">
        <v>-18345.5</v>
      </c>
      <c r="U634" cm="1">
        <f t="array" ref="U634">IFERROR(_xlfn.IFS(tblPedidos[[#This Row],[estado_operativo]]="ENTREGADO",tblPedidos[[#This Row],[ganancia_calc]],tblPedidos[[#This Row],[estado_operativo]]="DEVOLUCION",tblPedidos[[#This Row],[costo_devolucion_estimado]]),0)</f>
        <v>28104.5</v>
      </c>
      <c r="V634">
        <v>140522.5</v>
      </c>
      <c r="W634">
        <v>69900</v>
      </c>
      <c r="X634">
        <v>18345.5</v>
      </c>
      <c r="Y634">
        <v>23450</v>
      </c>
      <c r="Z634" s="11">
        <v>46038</v>
      </c>
      <c r="AA634">
        <v>6</v>
      </c>
      <c r="AB634" s="12">
        <v>0.84583333333333333</v>
      </c>
      <c r="AC634" t="s">
        <v>720</v>
      </c>
      <c r="AD634" t="s">
        <v>720</v>
      </c>
      <c r="AE634" t="s">
        <v>720</v>
      </c>
    </row>
    <row r="635" spans="1:31">
      <c r="A635" t="s">
        <v>1343</v>
      </c>
      <c r="C635">
        <v>332</v>
      </c>
      <c r="D635" t="s">
        <v>3731</v>
      </c>
      <c r="E635" s="11">
        <v>46034</v>
      </c>
      <c r="F635" t="s">
        <v>3732</v>
      </c>
      <c r="G635" t="s">
        <v>45</v>
      </c>
      <c r="J635" t="s">
        <v>720</v>
      </c>
      <c r="K635" t="s">
        <v>3733</v>
      </c>
      <c r="L635" t="s">
        <v>68</v>
      </c>
      <c r="M635" t="s">
        <v>69</v>
      </c>
      <c r="N635" t="s">
        <v>3734</v>
      </c>
      <c r="O635" t="s">
        <v>3735</v>
      </c>
      <c r="P635" s="46" t="str" cm="1">
        <f t="array" aca="1" ref="P635" ca="1">IFERROR(_xlfn.XLOOKUP(tblPedidos[[#This Row],[id_dropi]],tblNotas[[#This Row],[id__dropi]],tblNotas[[#This Row],[Notas Manuales]], “”, 0),"")</f>
        <v/>
      </c>
      <c r="R635" t="s">
        <v>3137</v>
      </c>
      <c r="S635">
        <v>26604.5</v>
      </c>
      <c r="T635">
        <v>-13345.5</v>
      </c>
      <c r="U635" cm="1">
        <f t="array" ref="U635">IFERROR(_xlfn.IFS(tblPedidos[[#This Row],[estado_operativo]]="ENTREGADO",tblPedidos[[#This Row],[ganancia_calc]],tblPedidos[[#This Row],[estado_operativo]]="DEVOLUCION",tblPedidos[[#This Row],[costo_devolucion_estimado]]),0)</f>
        <v>26604.5</v>
      </c>
      <c r="V635">
        <v>159627</v>
      </c>
      <c r="W635">
        <v>59900</v>
      </c>
      <c r="X635">
        <v>13345.5</v>
      </c>
      <c r="Y635">
        <v>19950</v>
      </c>
      <c r="Z635" s="11">
        <v>46036</v>
      </c>
      <c r="AA635">
        <v>8</v>
      </c>
      <c r="AB635" s="12">
        <v>0.75555555555555554</v>
      </c>
      <c r="AC635" t="s">
        <v>720</v>
      </c>
      <c r="AD635" t="s">
        <v>720</v>
      </c>
      <c r="AE635" t="s">
        <v>720</v>
      </c>
    </row>
    <row r="636" spans="1:31">
      <c r="A636" t="s">
        <v>1343</v>
      </c>
      <c r="C636">
        <v>330</v>
      </c>
      <c r="D636" t="s">
        <v>3736</v>
      </c>
      <c r="E636" s="11">
        <v>46034</v>
      </c>
      <c r="F636" t="s">
        <v>3737</v>
      </c>
      <c r="G636" t="s">
        <v>36</v>
      </c>
      <c r="J636" t="s">
        <v>720</v>
      </c>
      <c r="K636" t="s">
        <v>3738</v>
      </c>
      <c r="L636" t="s">
        <v>38</v>
      </c>
      <c r="M636" t="s">
        <v>1320</v>
      </c>
      <c r="N636" t="s">
        <v>3739</v>
      </c>
      <c r="O636" t="s">
        <v>3740</v>
      </c>
      <c r="P636" s="46" t="str" cm="1">
        <f t="array" aca="1" ref="P636" ca="1">IFERROR(_xlfn.XLOOKUP(tblPedidos[[#This Row],[id_dropi]],tblNotas[[#This Row],[id__dropi]],tblNotas[[#This Row],[Notas Manuales]], “”, 0),"")</f>
        <v/>
      </c>
      <c r="Q636" t="s">
        <v>3741</v>
      </c>
      <c r="R636" t="s">
        <v>3008</v>
      </c>
      <c r="S636">
        <v>29461.5</v>
      </c>
      <c r="T636">
        <v>-12350.800000000001</v>
      </c>
      <c r="U636" cm="1">
        <f t="array" ref="U636">IFERROR(_xlfn.IFS(tblPedidos[[#This Row],[estado_operativo]]="ENTREGADO",tblPedidos[[#This Row],[ganancia_calc]],tblPedidos[[#This Row],[estado_operativo]]="DEVOLUCION",tblPedidos[[#This Row],[costo_devolucion_estimado]]),0)</f>
        <v>29461.5</v>
      </c>
      <c r="V636">
        <v>29461.5</v>
      </c>
      <c r="W636">
        <v>64900</v>
      </c>
      <c r="X636">
        <v>15438.5</v>
      </c>
      <c r="Y636">
        <v>20000</v>
      </c>
      <c r="Z636" s="11">
        <v>46037</v>
      </c>
      <c r="AA636">
        <v>7</v>
      </c>
      <c r="AB636" s="12">
        <v>0.4597222222222222</v>
      </c>
      <c r="AC636" t="s">
        <v>399</v>
      </c>
      <c r="AD636" t="s">
        <v>720</v>
      </c>
      <c r="AE636" t="s">
        <v>720</v>
      </c>
    </row>
    <row r="637" spans="1:31">
      <c r="A637" t="s">
        <v>1343</v>
      </c>
      <c r="C637">
        <v>328</v>
      </c>
      <c r="D637" t="s">
        <v>3742</v>
      </c>
      <c r="E637" s="11">
        <v>46034</v>
      </c>
      <c r="F637" t="s">
        <v>3743</v>
      </c>
      <c r="G637" t="s">
        <v>45</v>
      </c>
      <c r="J637" t="s">
        <v>720</v>
      </c>
      <c r="K637" t="s">
        <v>3744</v>
      </c>
      <c r="L637" t="s">
        <v>328</v>
      </c>
      <c r="M637" t="s">
        <v>3745</v>
      </c>
      <c r="N637" t="s">
        <v>3746</v>
      </c>
      <c r="O637" t="s">
        <v>3747</v>
      </c>
      <c r="P637" s="46" t="str" cm="1">
        <f t="array" aca="1" ref="P637" ca="1">IFERROR(_xlfn.XLOOKUP(tblPedidos[[#This Row],[id_dropi]],tblNotas[[#This Row],[id__dropi]],tblNotas[[#This Row],[Notas Manuales]], “”, 0),"")</f>
        <v/>
      </c>
      <c r="R637" t="s">
        <v>3137</v>
      </c>
      <c r="S637">
        <v>22054.5</v>
      </c>
      <c r="T637">
        <v>-17895.5</v>
      </c>
      <c r="U637" cm="1">
        <f t="array" ref="U637">IFERROR(_xlfn.IFS(tblPedidos[[#This Row],[estado_operativo]]="ENTREGADO",tblPedidos[[#This Row],[ganancia_calc]],tblPedidos[[#This Row],[estado_operativo]]="DEVOLUCION",tblPedidos[[#This Row],[costo_devolucion_estimado]]),0)</f>
        <v>22054.5</v>
      </c>
      <c r="V637">
        <v>66163.5</v>
      </c>
      <c r="W637">
        <v>59900</v>
      </c>
      <c r="X637">
        <v>17895.5</v>
      </c>
      <c r="Y637">
        <v>19950</v>
      </c>
      <c r="Z637" s="11">
        <v>46041</v>
      </c>
      <c r="AA637">
        <v>3</v>
      </c>
      <c r="AB637" s="12">
        <v>0.46527777777777779</v>
      </c>
      <c r="AC637" t="s">
        <v>720</v>
      </c>
      <c r="AD637" t="s">
        <v>720</v>
      </c>
      <c r="AE637" t="s">
        <v>720</v>
      </c>
    </row>
    <row r="638" spans="1:31">
      <c r="A638" t="s">
        <v>1343</v>
      </c>
      <c r="B638" t="s">
        <v>2946</v>
      </c>
      <c r="C638">
        <v>329</v>
      </c>
      <c r="D638" t="s">
        <v>3748</v>
      </c>
      <c r="E638" s="11">
        <v>46034</v>
      </c>
      <c r="F638" t="s">
        <v>3749</v>
      </c>
      <c r="G638" t="s">
        <v>36</v>
      </c>
      <c r="J638" t="s">
        <v>720</v>
      </c>
      <c r="K638" t="s">
        <v>3750</v>
      </c>
      <c r="L638" t="s">
        <v>590</v>
      </c>
      <c r="M638" t="s">
        <v>783</v>
      </c>
      <c r="N638" t="s">
        <v>3751</v>
      </c>
      <c r="O638" t="s">
        <v>3752</v>
      </c>
      <c r="P638" s="46" t="str" cm="1">
        <f t="array" aca="1" ref="P638" ca="1">IFERROR(_xlfn.XLOOKUP(tblPedidos[[#This Row],[id_dropi]],tblNotas[[#This Row],[id__dropi]],tblNotas[[#This Row],[Notas Manuales]], “”, 0),"")</f>
        <v/>
      </c>
      <c r="Q638" t="s">
        <v>3753</v>
      </c>
      <c r="R638" t="s">
        <v>2983</v>
      </c>
      <c r="S638">
        <v>30786.5</v>
      </c>
      <c r="T638">
        <v>-12530.800000000001</v>
      </c>
      <c r="U638" cm="1">
        <f t="array" ref="U638">IFERROR(_xlfn.IFS(tblPedidos[[#This Row],[estado_operativo]]="ENTREGADO",tblPedidos[[#This Row],[ganancia_calc]],tblPedidos[[#This Row],[estado_operativo]]="DEVOLUCION",tblPedidos[[#This Row],[costo_devolucion_estimado]]),0)</f>
        <v>30786.5</v>
      </c>
      <c r="V638">
        <v>153932.5</v>
      </c>
      <c r="W638">
        <v>69900</v>
      </c>
      <c r="X638">
        <v>15663.5</v>
      </c>
      <c r="Y638">
        <v>23450</v>
      </c>
      <c r="Z638" s="11">
        <v>46035</v>
      </c>
      <c r="AA638">
        <v>9</v>
      </c>
      <c r="AB638" s="12">
        <v>0.87291666666666667</v>
      </c>
      <c r="AC638" t="s">
        <v>399</v>
      </c>
      <c r="AD638" t="s">
        <v>720</v>
      </c>
      <c r="AE638" t="s">
        <v>720</v>
      </c>
    </row>
    <row r="639" spans="1:31">
      <c r="A639" t="s">
        <v>33</v>
      </c>
      <c r="C639">
        <v>322</v>
      </c>
      <c r="D639" t="s">
        <v>3754</v>
      </c>
      <c r="E639" s="11">
        <v>46034</v>
      </c>
      <c r="F639" t="s">
        <v>3755</v>
      </c>
      <c r="G639" t="s">
        <v>45</v>
      </c>
      <c r="J639" t="s">
        <v>1371</v>
      </c>
      <c r="K639" t="s">
        <v>3756</v>
      </c>
      <c r="L639" t="s">
        <v>81</v>
      </c>
      <c r="M639" t="s">
        <v>2240</v>
      </c>
      <c r="N639" t="s">
        <v>3757</v>
      </c>
      <c r="O639" t="s">
        <v>3758</v>
      </c>
      <c r="P639" s="46" t="str" cm="1">
        <f t="array" aca="1" ref="P639" ca="1">IFERROR(_xlfn.XLOOKUP(tblPedidos[[#This Row],[id_dropi]],tblNotas[[#This Row],[id__dropi]],tblNotas[[#This Row],[Notas Manuales]], “”, 0),"")</f>
        <v/>
      </c>
      <c r="R639" t="s">
        <v>3137</v>
      </c>
      <c r="S639">
        <v>22054.5</v>
      </c>
      <c r="T639">
        <v>-17895.5</v>
      </c>
      <c r="U639" cm="1">
        <f t="array" ref="U639">IFERROR(_xlfn.IFS(tblPedidos[[#This Row],[estado_operativo]]="ENTREGADO",tblPedidos[[#This Row],[ganancia_calc]],tblPedidos[[#This Row],[estado_operativo]]="DEVOLUCION",tblPedidos[[#This Row],[costo_devolucion_estimado]]),0)</f>
        <v>0</v>
      </c>
      <c r="V639">
        <v>0</v>
      </c>
      <c r="W639">
        <v>59900</v>
      </c>
      <c r="X639">
        <v>17895.5</v>
      </c>
      <c r="Y639">
        <v>19950</v>
      </c>
      <c r="Z639" s="11">
        <v>46043</v>
      </c>
      <c r="AA639">
        <v>1</v>
      </c>
      <c r="AB639" s="12">
        <v>0.43541666666666667</v>
      </c>
      <c r="AC639" t="s">
        <v>982</v>
      </c>
      <c r="AD639" t="s">
        <v>982</v>
      </c>
      <c r="AE639" t="s">
        <v>1371</v>
      </c>
    </row>
    <row r="640" spans="1:31">
      <c r="A640" t="s">
        <v>33</v>
      </c>
      <c r="C640">
        <v>315</v>
      </c>
      <c r="D640" t="s">
        <v>3759</v>
      </c>
      <c r="E640" s="11">
        <v>46034</v>
      </c>
      <c r="F640" t="s">
        <v>3760</v>
      </c>
      <c r="G640" t="s">
        <v>45</v>
      </c>
      <c r="J640" t="s">
        <v>1371</v>
      </c>
      <c r="K640" t="s">
        <v>3761</v>
      </c>
      <c r="L640" t="s">
        <v>61</v>
      </c>
      <c r="M640" t="s">
        <v>1333</v>
      </c>
      <c r="N640" t="s">
        <v>3762</v>
      </c>
      <c r="O640" t="s">
        <v>3763</v>
      </c>
      <c r="P640" s="46" t="str" cm="1">
        <f t="array" aca="1" ref="P640" ca="1">IFERROR(_xlfn.XLOOKUP(tblPedidos[[#This Row],[id_dropi]],tblNotas[[#This Row],[id__dropi]],tblNotas[[#This Row],[Notas Manuales]], “”, 0),"")</f>
        <v/>
      </c>
      <c r="R640" t="s">
        <v>2983</v>
      </c>
      <c r="S640">
        <v>28104.5</v>
      </c>
      <c r="T640">
        <v>-18345.5</v>
      </c>
      <c r="U640" cm="1">
        <f t="array" ref="U640">IFERROR(_xlfn.IFS(tblPedidos[[#This Row],[estado_operativo]]="ENTREGADO",tblPedidos[[#This Row],[ganancia_calc]],tblPedidos[[#This Row],[estado_operativo]]="DEVOLUCION",tblPedidos[[#This Row],[costo_devolucion_estimado]]),0)</f>
        <v>0</v>
      </c>
      <c r="V640">
        <v>0</v>
      </c>
      <c r="W640">
        <v>69900</v>
      </c>
      <c r="X640">
        <v>18345.5</v>
      </c>
      <c r="Y640">
        <v>23450</v>
      </c>
      <c r="Z640" s="11">
        <v>46043</v>
      </c>
      <c r="AA640">
        <v>1</v>
      </c>
      <c r="AB640" s="12">
        <v>0.43611111111111112</v>
      </c>
      <c r="AC640" t="s">
        <v>982</v>
      </c>
      <c r="AD640" t="s">
        <v>982</v>
      </c>
      <c r="AE640" t="s">
        <v>1371</v>
      </c>
    </row>
    <row r="641" spans="1:31">
      <c r="A641" t="s">
        <v>1343</v>
      </c>
      <c r="B641" t="s">
        <v>2946</v>
      </c>
      <c r="C641">
        <v>316</v>
      </c>
      <c r="D641" t="s">
        <v>3764</v>
      </c>
      <c r="E641" s="11">
        <v>46034</v>
      </c>
      <c r="F641" t="s">
        <v>3765</v>
      </c>
      <c r="G641" t="s">
        <v>36</v>
      </c>
      <c r="J641" t="s">
        <v>720</v>
      </c>
      <c r="K641" t="s">
        <v>3766</v>
      </c>
      <c r="L641" t="s">
        <v>54</v>
      </c>
      <c r="M641" t="s">
        <v>373</v>
      </c>
      <c r="N641" t="s">
        <v>3767</v>
      </c>
      <c r="O641" t="s">
        <v>3768</v>
      </c>
      <c r="P641" s="46" t="str" cm="1">
        <f t="array" aca="1" ref="P641" ca="1">IFERROR(_xlfn.XLOOKUP(tblPedidos[[#This Row],[id_dropi]],tblNotas[[#This Row],[id__dropi]],tblNotas[[#This Row],[Notas Manuales]], “”, 0),"")</f>
        <v/>
      </c>
      <c r="R641" t="s">
        <v>3267</v>
      </c>
      <c r="S641">
        <v>25136.5</v>
      </c>
      <c r="T641">
        <v>-11810.800000000001</v>
      </c>
      <c r="U641" cm="1">
        <f t="array" ref="U641">IFERROR(_xlfn.IFS(tblPedidos[[#This Row],[estado_operativo]]="ENTREGADO",tblPedidos[[#This Row],[ganancia_calc]],tblPedidos[[#This Row],[estado_operativo]]="DEVOLUCION",tblPedidos[[#This Row],[costo_devolucion_estimado]]),0)</f>
        <v>25136.5</v>
      </c>
      <c r="V641">
        <v>150819</v>
      </c>
      <c r="W641">
        <v>49900</v>
      </c>
      <c r="X641">
        <v>14763.5</v>
      </c>
      <c r="Y641">
        <v>10000</v>
      </c>
      <c r="Z641" s="11">
        <v>46036</v>
      </c>
      <c r="AA641">
        <v>8</v>
      </c>
      <c r="AB641" s="12">
        <v>0.69722222222222219</v>
      </c>
      <c r="AC641" t="s">
        <v>399</v>
      </c>
      <c r="AD641" t="s">
        <v>720</v>
      </c>
      <c r="AE641" t="s">
        <v>720</v>
      </c>
    </row>
    <row r="642" spans="1:31">
      <c r="A642" t="s">
        <v>1343</v>
      </c>
      <c r="C642">
        <v>314</v>
      </c>
      <c r="D642" t="s">
        <v>3769</v>
      </c>
      <c r="E642" s="11">
        <v>46034</v>
      </c>
      <c r="F642" t="s">
        <v>3770</v>
      </c>
      <c r="G642" t="s">
        <v>36</v>
      </c>
      <c r="J642" t="s">
        <v>720</v>
      </c>
      <c r="K642" t="s">
        <v>3771</v>
      </c>
      <c r="L642" t="s">
        <v>54</v>
      </c>
      <c r="M642" t="s">
        <v>373</v>
      </c>
      <c r="N642" t="s">
        <v>3772</v>
      </c>
      <c r="O642" t="s">
        <v>3773</v>
      </c>
      <c r="P642" s="46" t="str" cm="1">
        <f t="array" aca="1" ref="P642" ca="1">IFERROR(_xlfn.XLOOKUP(tblPedidos[[#This Row],[id_dropi]],tblNotas[[#This Row],[id__dropi]],tblNotas[[#This Row],[Notas Manuales]], “”, 0),"")</f>
        <v/>
      </c>
      <c r="Q642" t="s">
        <v>3774</v>
      </c>
      <c r="R642" t="s">
        <v>2983</v>
      </c>
      <c r="S642">
        <v>32946.5</v>
      </c>
      <c r="T642">
        <v>-10802.800000000001</v>
      </c>
      <c r="U642" cm="1">
        <f t="array" ref="U642">IFERROR(_xlfn.IFS(tblPedidos[[#This Row],[estado_operativo]]="ENTREGADO",tblPedidos[[#This Row],[ganancia_calc]],tblPedidos[[#This Row],[estado_operativo]]="DEVOLUCION",tblPedidos[[#This Row],[costo_devolucion_estimado]]),0)</f>
        <v>32946.5</v>
      </c>
      <c r="V642">
        <v>197679</v>
      </c>
      <c r="W642">
        <v>69900</v>
      </c>
      <c r="X642">
        <v>13503.5</v>
      </c>
      <c r="Y642">
        <v>23450</v>
      </c>
      <c r="Z642" s="11">
        <v>46035</v>
      </c>
      <c r="AA642">
        <v>9</v>
      </c>
      <c r="AB642" s="12">
        <v>0.87291666666666667</v>
      </c>
      <c r="AC642" t="s">
        <v>399</v>
      </c>
      <c r="AD642" t="s">
        <v>720</v>
      </c>
      <c r="AE642" t="s">
        <v>720</v>
      </c>
    </row>
    <row r="643" spans="1:31">
      <c r="A643" t="s">
        <v>1343</v>
      </c>
      <c r="C643">
        <v>312</v>
      </c>
      <c r="D643" t="s">
        <v>3775</v>
      </c>
      <c r="E643" s="11">
        <v>46034</v>
      </c>
      <c r="F643" t="s">
        <v>3726</v>
      </c>
      <c r="G643" t="s">
        <v>45</v>
      </c>
      <c r="J643" t="s">
        <v>1657</v>
      </c>
      <c r="K643" t="s">
        <v>3776</v>
      </c>
      <c r="L643" t="s">
        <v>212</v>
      </c>
      <c r="M643" t="s">
        <v>3728</v>
      </c>
      <c r="N643" t="s">
        <v>3777</v>
      </c>
      <c r="O643" t="s">
        <v>3730</v>
      </c>
      <c r="P643" s="46" t="str" cm="1">
        <f t="array" aca="1" ref="P643" ca="1">IFERROR(_xlfn.XLOOKUP(tblPedidos[[#This Row],[id_dropi]],tblNotas[[#This Row],[id__dropi]],tblNotas[[#This Row],[Notas Manuales]], “”, 0),"")</f>
        <v/>
      </c>
      <c r="Q643" t="s">
        <v>3778</v>
      </c>
      <c r="R643" t="s">
        <v>2983</v>
      </c>
      <c r="S643">
        <v>28104.5</v>
      </c>
      <c r="T643">
        <v>-18345.5</v>
      </c>
      <c r="U643" cm="1">
        <f t="array" ref="U643">IFERROR(_xlfn.IFS(tblPedidos[[#This Row],[estado_operativo]]="ENTREGADO",tblPedidos[[#This Row],[ganancia_calc]],tblPedidos[[#This Row],[estado_operativo]]="DEVOLUCION",tblPedidos[[#This Row],[costo_devolucion_estimado]]),0)</f>
        <v>-18345.5</v>
      </c>
      <c r="V643">
        <v>-55036.5</v>
      </c>
      <c r="W643">
        <v>69900</v>
      </c>
      <c r="X643">
        <v>18345.5</v>
      </c>
      <c r="Y643">
        <v>23450</v>
      </c>
      <c r="Z643" s="11">
        <v>46041</v>
      </c>
      <c r="AA643">
        <v>3</v>
      </c>
      <c r="AB643" s="12">
        <v>0.62152777777777779</v>
      </c>
      <c r="AC643" t="s">
        <v>1657</v>
      </c>
      <c r="AD643" t="s">
        <v>1657</v>
      </c>
      <c r="AE643" t="s">
        <v>1657</v>
      </c>
    </row>
    <row r="644" spans="1:31">
      <c r="A644" t="s">
        <v>1343</v>
      </c>
      <c r="C644">
        <v>313</v>
      </c>
      <c r="D644" t="s">
        <v>3779</v>
      </c>
      <c r="E644" s="11">
        <v>46034</v>
      </c>
      <c r="F644" t="s">
        <v>3780</v>
      </c>
      <c r="G644" t="s">
        <v>958</v>
      </c>
      <c r="J644" t="s">
        <v>720</v>
      </c>
      <c r="K644" t="s">
        <v>3781</v>
      </c>
      <c r="L644" t="s">
        <v>81</v>
      </c>
      <c r="M644" t="s">
        <v>118</v>
      </c>
      <c r="N644" t="s">
        <v>3782</v>
      </c>
      <c r="O644" t="s">
        <v>3783</v>
      </c>
      <c r="P644" s="46" t="str" cm="1">
        <f t="array" aca="1" ref="P644" ca="1">IFERROR(_xlfn.XLOOKUP(tblPedidos[[#This Row],[id_dropi]],tblNotas[[#This Row],[id__dropi]],tblNotas[[#This Row],[Notas Manuales]], “”, 0),"")</f>
        <v/>
      </c>
      <c r="R644" t="s">
        <v>3273</v>
      </c>
      <c r="S644">
        <v>44603.5</v>
      </c>
      <c r="T644">
        <v>-9037.2000000000007</v>
      </c>
      <c r="U644" cm="1">
        <f t="array" ref="U644">IFERROR(_xlfn.IFS(tblPedidos[[#This Row],[estado_operativo]]="ENTREGADO",tblPedidos[[#This Row],[ganancia_calc]],tblPedidos[[#This Row],[estado_operativo]]="DEVOLUCION",tblPedidos[[#This Row],[costo_devolucion_estimado]]),0)</f>
        <v>44603.5</v>
      </c>
      <c r="V644">
        <v>223017.5</v>
      </c>
      <c r="W644">
        <v>79900</v>
      </c>
      <c r="X644">
        <v>11296.5</v>
      </c>
      <c r="Y644">
        <v>24000</v>
      </c>
      <c r="Z644" s="11">
        <v>46038</v>
      </c>
      <c r="AA644">
        <v>6</v>
      </c>
      <c r="AB644" s="12">
        <v>0.50694444444444442</v>
      </c>
      <c r="AC644" t="s">
        <v>720</v>
      </c>
      <c r="AD644" t="s">
        <v>720</v>
      </c>
      <c r="AE644" t="s">
        <v>720</v>
      </c>
    </row>
    <row r="645" spans="1:31">
      <c r="A645" t="s">
        <v>1343</v>
      </c>
      <c r="C645">
        <v>320</v>
      </c>
      <c r="D645" t="s">
        <v>3784</v>
      </c>
      <c r="E645" s="11">
        <v>46034</v>
      </c>
      <c r="F645" t="s">
        <v>3785</v>
      </c>
      <c r="G645" t="s">
        <v>45</v>
      </c>
      <c r="J645" t="s">
        <v>720</v>
      </c>
      <c r="K645" t="s">
        <v>3786</v>
      </c>
      <c r="L645" t="s">
        <v>46</v>
      </c>
      <c r="M645" t="s">
        <v>263</v>
      </c>
      <c r="N645" t="s">
        <v>3787</v>
      </c>
      <c r="O645" t="s">
        <v>3788</v>
      </c>
      <c r="P645" s="46" t="str" cm="1">
        <f t="array" aca="1" ref="P645" ca="1">IFERROR(_xlfn.XLOOKUP(tblPedidos[[#This Row],[id_dropi]],tblNotas[[#This Row],[id__dropi]],tblNotas[[#This Row],[Notas Manuales]], “”, 0),"")</f>
        <v/>
      </c>
      <c r="Q645" t="s">
        <v>3789</v>
      </c>
      <c r="R645" t="s">
        <v>3137</v>
      </c>
      <c r="S645">
        <v>22054.5</v>
      </c>
      <c r="T645">
        <v>-17895.5</v>
      </c>
      <c r="U645" cm="1">
        <f t="array" ref="U645">IFERROR(_xlfn.IFS(tblPedidos[[#This Row],[estado_operativo]]="ENTREGADO",tblPedidos[[#This Row],[ganancia_calc]],tblPedidos[[#This Row],[estado_operativo]]="DEVOLUCION",tblPedidos[[#This Row],[costo_devolucion_estimado]]),0)</f>
        <v>22054.5</v>
      </c>
      <c r="V645">
        <v>110272.5</v>
      </c>
      <c r="W645">
        <v>59900</v>
      </c>
      <c r="X645">
        <v>17895.5</v>
      </c>
      <c r="Y645">
        <v>19950</v>
      </c>
      <c r="Z645" s="11">
        <v>46038</v>
      </c>
      <c r="AA645">
        <v>6</v>
      </c>
      <c r="AB645" s="12">
        <v>0.84583333333333333</v>
      </c>
      <c r="AC645" t="s">
        <v>720</v>
      </c>
      <c r="AD645" t="s">
        <v>720</v>
      </c>
      <c r="AE645" t="s">
        <v>720</v>
      </c>
    </row>
    <row r="646" spans="1:31">
      <c r="A646" t="s">
        <v>1343</v>
      </c>
      <c r="B646" t="s">
        <v>2946</v>
      </c>
      <c r="C646">
        <v>321</v>
      </c>
      <c r="D646" t="s">
        <v>3790</v>
      </c>
      <c r="E646" s="11">
        <v>46034</v>
      </c>
      <c r="F646" t="s">
        <v>3791</v>
      </c>
      <c r="G646" t="s">
        <v>45</v>
      </c>
      <c r="J646" t="s">
        <v>720</v>
      </c>
      <c r="K646" t="s">
        <v>3792</v>
      </c>
      <c r="L646" t="s">
        <v>74</v>
      </c>
      <c r="M646" t="s">
        <v>3793</v>
      </c>
      <c r="N646" t="s">
        <v>3794</v>
      </c>
      <c r="O646" t="s">
        <v>3795</v>
      </c>
      <c r="P646" s="46" t="str" cm="1">
        <f t="array" aca="1" ref="P646" ca="1">IFERROR(_xlfn.XLOOKUP(tblPedidos[[#This Row],[id_dropi]],tblNotas[[#This Row],[id__dropi]],tblNotas[[#This Row],[Notas Manuales]], “”, 0),"")</f>
        <v/>
      </c>
      <c r="R646" t="s">
        <v>3137</v>
      </c>
      <c r="S646">
        <v>22054.5</v>
      </c>
      <c r="T646">
        <v>-17895.5</v>
      </c>
      <c r="U646" cm="1">
        <f t="array" ref="U646">IFERROR(_xlfn.IFS(tblPedidos[[#This Row],[estado_operativo]]="ENTREGADO",tblPedidos[[#This Row],[ganancia_calc]],tblPedidos[[#This Row],[estado_operativo]]="DEVOLUCION",tblPedidos[[#This Row],[costo_devolucion_estimado]]),0)</f>
        <v>22054.5</v>
      </c>
      <c r="V646">
        <v>110272.5</v>
      </c>
      <c r="W646">
        <v>59900</v>
      </c>
      <c r="X646">
        <v>17895.5</v>
      </c>
      <c r="Y646">
        <v>19950</v>
      </c>
      <c r="Z646" s="11">
        <v>46038</v>
      </c>
      <c r="AA646">
        <v>6</v>
      </c>
      <c r="AB646" s="12">
        <v>0.7583333333333333</v>
      </c>
      <c r="AC646" t="s">
        <v>720</v>
      </c>
      <c r="AD646" t="s">
        <v>720</v>
      </c>
      <c r="AE646" t="s">
        <v>720</v>
      </c>
    </row>
    <row r="647" spans="1:31">
      <c r="A647" t="s">
        <v>1343</v>
      </c>
      <c r="B647" t="s">
        <v>2946</v>
      </c>
      <c r="C647">
        <v>319</v>
      </c>
      <c r="D647" t="s">
        <v>3796</v>
      </c>
      <c r="E647" s="11">
        <v>46034</v>
      </c>
      <c r="F647" t="s">
        <v>3797</v>
      </c>
      <c r="G647" t="s">
        <v>45</v>
      </c>
      <c r="J647" t="s">
        <v>720</v>
      </c>
      <c r="K647" t="s">
        <v>3798</v>
      </c>
      <c r="L647" t="s">
        <v>54</v>
      </c>
      <c r="M647" t="s">
        <v>3799</v>
      </c>
      <c r="N647" t="s">
        <v>3800</v>
      </c>
      <c r="O647" t="s">
        <v>3801</v>
      </c>
      <c r="P647" s="46" t="str" cm="1">
        <f t="array" aca="1" ref="P647" ca="1">IFERROR(_xlfn.XLOOKUP(tblPedidos[[#This Row],[id_dropi]],tblNotas[[#This Row],[id__dropi]],tblNotas[[#This Row],[Notas Manuales]], “”, 0),"")</f>
        <v/>
      </c>
      <c r="Q647" t="s">
        <v>50</v>
      </c>
      <c r="R647" t="s">
        <v>3267</v>
      </c>
      <c r="S647">
        <v>21201</v>
      </c>
      <c r="T647">
        <v>-18699</v>
      </c>
      <c r="U647" cm="1">
        <f t="array" ref="U647">IFERROR(_xlfn.IFS(tblPedidos[[#This Row],[estado_operativo]]="ENTREGADO",tblPedidos[[#This Row],[ganancia_calc]],tblPedidos[[#This Row],[estado_operativo]]="DEVOLUCION",tblPedidos[[#This Row],[costo_devolucion_estimado]]),0)</f>
        <v>21201</v>
      </c>
      <c r="V647">
        <v>63603</v>
      </c>
      <c r="W647">
        <v>49900</v>
      </c>
      <c r="X647">
        <v>18699</v>
      </c>
      <c r="Y647">
        <v>10000</v>
      </c>
      <c r="Z647" s="11">
        <v>46041</v>
      </c>
      <c r="AA647">
        <v>3</v>
      </c>
      <c r="AB647" s="12">
        <v>0.62847222222222221</v>
      </c>
      <c r="AC647" t="s">
        <v>720</v>
      </c>
      <c r="AD647" t="s">
        <v>720</v>
      </c>
      <c r="AE647" t="s">
        <v>720</v>
      </c>
    </row>
    <row r="648" spans="1:31">
      <c r="A648" t="s">
        <v>1343</v>
      </c>
      <c r="B648" t="s">
        <v>2946</v>
      </c>
      <c r="C648">
        <v>317</v>
      </c>
      <c r="D648" t="s">
        <v>3802</v>
      </c>
      <c r="E648" s="11">
        <v>46034</v>
      </c>
      <c r="F648" t="s">
        <v>3803</v>
      </c>
      <c r="G648" t="s">
        <v>45</v>
      </c>
      <c r="J648" t="s">
        <v>720</v>
      </c>
      <c r="K648" t="s">
        <v>3804</v>
      </c>
      <c r="L648" t="s">
        <v>46</v>
      </c>
      <c r="M648" t="s">
        <v>100</v>
      </c>
      <c r="N648" t="s">
        <v>3805</v>
      </c>
      <c r="O648" t="s">
        <v>3806</v>
      </c>
      <c r="P648" s="46" t="str" cm="1">
        <f t="array" aca="1" ref="P648" ca="1">IFERROR(_xlfn.XLOOKUP(tblPedidos[[#This Row],[id_dropi]],tblNotas[[#This Row],[id__dropi]],tblNotas[[#This Row],[Notas Manuales]], “”, 0),"")</f>
        <v/>
      </c>
      <c r="R648" t="s">
        <v>2983</v>
      </c>
      <c r="S648">
        <v>28104.5</v>
      </c>
      <c r="T648">
        <v>-18345.5</v>
      </c>
      <c r="U648" cm="1">
        <f t="array" ref="U648">IFERROR(_xlfn.IFS(tblPedidos[[#This Row],[estado_operativo]]="ENTREGADO",tblPedidos[[#This Row],[ganancia_calc]],tblPedidos[[#This Row],[estado_operativo]]="DEVOLUCION",tblPedidos[[#This Row],[costo_devolucion_estimado]]),0)</f>
        <v>28104.5</v>
      </c>
      <c r="V648">
        <v>168627</v>
      </c>
      <c r="W648">
        <v>69900</v>
      </c>
      <c r="X648">
        <v>18345.5</v>
      </c>
      <c r="Y648">
        <v>23450</v>
      </c>
      <c r="Z648" s="11">
        <v>46036</v>
      </c>
      <c r="AA648">
        <v>8</v>
      </c>
      <c r="AB648" s="12">
        <v>0.75624999999999998</v>
      </c>
      <c r="AC648" t="s">
        <v>720</v>
      </c>
      <c r="AD648" t="s">
        <v>720</v>
      </c>
      <c r="AE648" t="s">
        <v>720</v>
      </c>
    </row>
    <row r="649" spans="1:31">
      <c r="A649" t="s">
        <v>1343</v>
      </c>
      <c r="C649">
        <v>318</v>
      </c>
      <c r="D649" t="s">
        <v>3807</v>
      </c>
      <c r="E649" s="11">
        <v>46034</v>
      </c>
      <c r="F649" t="s">
        <v>3808</v>
      </c>
      <c r="G649" t="s">
        <v>45</v>
      </c>
      <c r="J649" t="s">
        <v>720</v>
      </c>
      <c r="K649" t="s">
        <v>3809</v>
      </c>
      <c r="L649" t="s">
        <v>38</v>
      </c>
      <c r="M649" t="s">
        <v>39</v>
      </c>
      <c r="N649" t="s">
        <v>3810</v>
      </c>
      <c r="O649" t="s">
        <v>3811</v>
      </c>
      <c r="P649" s="46" t="str" cm="1">
        <f t="array" aca="1" ref="P649" ca="1">IFERROR(_xlfn.XLOOKUP(tblPedidos[[#This Row],[id_dropi]],tblNotas[[#This Row],[id__dropi]],tblNotas[[#This Row],[Notas Manuales]], “”, 0),"")</f>
        <v/>
      </c>
      <c r="R649" t="s">
        <v>3137</v>
      </c>
      <c r="S649">
        <v>22054.5</v>
      </c>
      <c r="T649">
        <v>-17895.5</v>
      </c>
      <c r="U649" cm="1">
        <f t="array" ref="U649">IFERROR(_xlfn.IFS(tblPedidos[[#This Row],[estado_operativo]]="ENTREGADO",tblPedidos[[#This Row],[ganancia_calc]],tblPedidos[[#This Row],[estado_operativo]]="DEVOLUCION",tblPedidos[[#This Row],[costo_devolucion_estimado]]),0)</f>
        <v>22054.5</v>
      </c>
      <c r="V649">
        <v>110272.5</v>
      </c>
      <c r="W649">
        <v>59900</v>
      </c>
      <c r="X649">
        <v>17895.5</v>
      </c>
      <c r="Y649">
        <v>19950</v>
      </c>
      <c r="Z649" s="11">
        <v>46039</v>
      </c>
      <c r="AA649">
        <v>5</v>
      </c>
      <c r="AB649" s="12">
        <v>0.50902777777777775</v>
      </c>
      <c r="AC649" t="s">
        <v>720</v>
      </c>
      <c r="AD649" t="s">
        <v>720</v>
      </c>
      <c r="AE649" t="s">
        <v>720</v>
      </c>
    </row>
    <row r="650" spans="1:31">
      <c r="A650" t="s">
        <v>1343</v>
      </c>
      <c r="C650">
        <v>347</v>
      </c>
      <c r="D650" t="s">
        <v>3812</v>
      </c>
      <c r="E650" s="11">
        <v>46034</v>
      </c>
      <c r="F650" t="s">
        <v>3813</v>
      </c>
      <c r="G650" t="s">
        <v>958</v>
      </c>
      <c r="J650" t="s">
        <v>720</v>
      </c>
      <c r="K650" t="s">
        <v>3814</v>
      </c>
      <c r="L650" t="s">
        <v>81</v>
      </c>
      <c r="M650" t="s">
        <v>118</v>
      </c>
      <c r="N650" t="s">
        <v>3815</v>
      </c>
      <c r="O650" t="s">
        <v>3816</v>
      </c>
      <c r="P650" s="46" t="str" cm="1">
        <f t="array" aca="1" ref="P650" ca="1">IFERROR(_xlfn.XLOOKUP(tblPedidos[[#This Row],[id_dropi]],tblNotas[[#This Row],[id__dropi]],tblNotas[[#This Row],[Notas Manuales]], “”, 0),"")</f>
        <v/>
      </c>
      <c r="R650" t="s">
        <v>3817</v>
      </c>
      <c r="S650">
        <v>36602.53</v>
      </c>
      <c r="T650">
        <v>-10637.175999999999</v>
      </c>
      <c r="U650" cm="1">
        <f t="array" ref="U650">IFERROR(_xlfn.IFS(tblPedidos[[#This Row],[estado_operativo]]="ENTREGADO",tblPedidos[[#This Row],[ganancia_calc]],tblPedidos[[#This Row],[estado_operativo]]="DEVOLUCION",tblPedidos[[#This Row],[costo_devolucion_estimado]]),0)</f>
        <v>36602.53</v>
      </c>
      <c r="V650">
        <v>183012.65</v>
      </c>
      <c r="W650">
        <v>79899</v>
      </c>
      <c r="X650">
        <v>13296.47</v>
      </c>
      <c r="Y650">
        <v>30000</v>
      </c>
      <c r="Z650" s="11">
        <v>46038</v>
      </c>
      <c r="AA650">
        <v>6</v>
      </c>
      <c r="AB650" s="12">
        <v>0.70833333333333337</v>
      </c>
      <c r="AC650" t="s">
        <v>3818</v>
      </c>
      <c r="AD650" t="s">
        <v>720</v>
      </c>
      <c r="AE650" t="s">
        <v>720</v>
      </c>
    </row>
    <row r="651" spans="1:31">
      <c r="A651" t="s">
        <v>33</v>
      </c>
      <c r="C651">
        <v>348</v>
      </c>
      <c r="D651" t="s">
        <v>3819</v>
      </c>
      <c r="E651" s="11">
        <v>46034</v>
      </c>
      <c r="F651" t="s">
        <v>2594</v>
      </c>
      <c r="G651" t="s">
        <v>45</v>
      </c>
      <c r="J651" t="s">
        <v>1090</v>
      </c>
      <c r="L651" t="s">
        <v>46</v>
      </c>
      <c r="M651" t="s">
        <v>100</v>
      </c>
      <c r="N651" t="s">
        <v>2596</v>
      </c>
      <c r="O651" t="s">
        <v>2597</v>
      </c>
      <c r="P651" s="46" t="str" cm="1">
        <f t="array" aca="1" ref="P651" ca="1">IFERROR(_xlfn.XLOOKUP(tblPedidos[[#This Row],[id_dropi]],tblNotas[[#This Row],[id__dropi]],tblNotas[[#This Row],[Notas Manuales]], “”, 0),"")</f>
        <v/>
      </c>
      <c r="R651" t="s">
        <v>2983</v>
      </c>
      <c r="S651">
        <v>28104.5</v>
      </c>
      <c r="T651">
        <v>-18345.5</v>
      </c>
      <c r="U651" cm="1">
        <f t="array" ref="U651">IFERROR(_xlfn.IFS(tblPedidos[[#This Row],[estado_operativo]]="ENTREGADO",tblPedidos[[#This Row],[ganancia_calc]],tblPedidos[[#This Row],[estado_operativo]]="DEVOLUCION",tblPedidos[[#This Row],[costo_devolucion_estimado]]),0)</f>
        <v>0</v>
      </c>
      <c r="V651">
        <v>0</v>
      </c>
      <c r="W651">
        <v>69900</v>
      </c>
      <c r="X651">
        <v>18345.5</v>
      </c>
      <c r="Y651">
        <v>23450</v>
      </c>
      <c r="Z651" s="11">
        <v>46038</v>
      </c>
      <c r="AA651">
        <v>6</v>
      </c>
      <c r="AB651" s="12">
        <v>0.71458333333333335</v>
      </c>
      <c r="AC651" t="s">
        <v>1090</v>
      </c>
      <c r="AD651" t="s">
        <v>1090</v>
      </c>
      <c r="AE651" t="s">
        <v>1090</v>
      </c>
    </row>
    <row r="652" spans="1:31">
      <c r="A652" t="s">
        <v>33</v>
      </c>
      <c r="C652">
        <v>346</v>
      </c>
      <c r="D652" t="s">
        <v>3820</v>
      </c>
      <c r="E652" s="11">
        <v>46034</v>
      </c>
      <c r="F652" t="s">
        <v>2400</v>
      </c>
      <c r="G652" t="s">
        <v>45</v>
      </c>
      <c r="J652" t="s">
        <v>720</v>
      </c>
      <c r="K652" t="s">
        <v>3821</v>
      </c>
      <c r="L652" t="s">
        <v>152</v>
      </c>
      <c r="M652" t="s">
        <v>153</v>
      </c>
      <c r="N652" t="s">
        <v>3822</v>
      </c>
      <c r="O652" t="s">
        <v>3823</v>
      </c>
      <c r="P652" s="46" t="str" cm="1">
        <f t="array" aca="1" ref="P652" ca="1">IFERROR(_xlfn.XLOOKUP(tblPedidos[[#This Row],[id_dropi]],tblNotas[[#This Row],[id__dropi]],tblNotas[[#This Row],[Notas Manuales]], “”, 0),"")</f>
        <v/>
      </c>
      <c r="Q652" t="s">
        <v>50</v>
      </c>
      <c r="R652" t="s">
        <v>3008</v>
      </c>
      <c r="S652">
        <v>26779.5</v>
      </c>
      <c r="T652">
        <v>-18120.5</v>
      </c>
      <c r="U652" cm="1">
        <f t="array" ref="U652">IFERROR(_xlfn.IFS(tblPedidos[[#This Row],[estado_operativo]]="ENTREGADO",tblPedidos[[#This Row],[ganancia_calc]],tblPedidos[[#This Row],[estado_operativo]]="DEVOLUCION",tblPedidos[[#This Row],[costo_devolucion_estimado]]),0)</f>
        <v>26779.5</v>
      </c>
      <c r="V652">
        <v>0</v>
      </c>
      <c r="W652">
        <v>64900</v>
      </c>
      <c r="X652">
        <v>18120.5</v>
      </c>
      <c r="Y652">
        <v>20000</v>
      </c>
      <c r="Z652" s="11">
        <v>46043</v>
      </c>
      <c r="AA652">
        <v>1</v>
      </c>
      <c r="AB652" s="12">
        <v>0.43194444444444446</v>
      </c>
      <c r="AC652" t="s">
        <v>982</v>
      </c>
      <c r="AD652" t="s">
        <v>720</v>
      </c>
      <c r="AE652" t="s">
        <v>720</v>
      </c>
    </row>
    <row r="653" spans="1:31">
      <c r="A653" t="s">
        <v>1343</v>
      </c>
      <c r="C653">
        <v>344</v>
      </c>
      <c r="D653" t="s">
        <v>3824</v>
      </c>
      <c r="E653" s="11">
        <v>46034</v>
      </c>
      <c r="F653" t="s">
        <v>3825</v>
      </c>
      <c r="G653" t="s">
        <v>45</v>
      </c>
      <c r="J653" t="s">
        <v>720</v>
      </c>
      <c r="K653" t="s">
        <v>3826</v>
      </c>
      <c r="L653" t="s">
        <v>38</v>
      </c>
      <c r="M653" t="s">
        <v>39</v>
      </c>
      <c r="N653" t="s">
        <v>3827</v>
      </c>
      <c r="O653" t="s">
        <v>3828</v>
      </c>
      <c r="P653" s="46" t="str" cm="1">
        <f t="array" aca="1" ref="P653" ca="1">IFERROR(_xlfn.XLOOKUP(tblPedidos[[#This Row],[id_dropi]],tblNotas[[#This Row],[id__dropi]],tblNotas[[#This Row],[Notas Manuales]], “”, 0),"")</f>
        <v/>
      </c>
      <c r="Q653" t="s">
        <v>3829</v>
      </c>
      <c r="R653" t="s">
        <v>2983</v>
      </c>
      <c r="S653">
        <v>28104.5</v>
      </c>
      <c r="T653">
        <v>-18345.5</v>
      </c>
      <c r="U653" cm="1">
        <f t="array" ref="U653">IFERROR(_xlfn.IFS(tblPedidos[[#This Row],[estado_operativo]]="ENTREGADO",tblPedidos[[#This Row],[ganancia_calc]],tblPedidos[[#This Row],[estado_operativo]]="DEVOLUCION",tblPedidos[[#This Row],[costo_devolucion_estimado]]),0)</f>
        <v>28104.5</v>
      </c>
      <c r="V653">
        <v>140522.5</v>
      </c>
      <c r="W653">
        <v>69900</v>
      </c>
      <c r="X653">
        <v>18345.5</v>
      </c>
      <c r="Y653">
        <v>23450</v>
      </c>
      <c r="Z653" s="11">
        <v>46039</v>
      </c>
      <c r="AA653">
        <v>5</v>
      </c>
      <c r="AB653" s="12">
        <v>0.42708333333333331</v>
      </c>
      <c r="AC653" t="s">
        <v>720</v>
      </c>
      <c r="AD653" t="s">
        <v>720</v>
      </c>
      <c r="AE653" t="s">
        <v>720</v>
      </c>
    </row>
    <row r="654" spans="1:31">
      <c r="A654" t="s">
        <v>1343</v>
      </c>
      <c r="B654" t="s">
        <v>2946</v>
      </c>
      <c r="C654">
        <v>345</v>
      </c>
      <c r="D654" t="s">
        <v>3830</v>
      </c>
      <c r="E654" s="11">
        <v>46034</v>
      </c>
      <c r="F654" t="s">
        <v>3831</v>
      </c>
      <c r="G654" t="s">
        <v>45</v>
      </c>
      <c r="J654" t="s">
        <v>720</v>
      </c>
      <c r="K654" t="s">
        <v>3832</v>
      </c>
      <c r="L654" t="s">
        <v>46</v>
      </c>
      <c r="M654" t="s">
        <v>100</v>
      </c>
      <c r="N654" t="s">
        <v>3833</v>
      </c>
      <c r="O654" t="s">
        <v>3834</v>
      </c>
      <c r="P654" s="46" t="str" cm="1">
        <f t="array" aca="1" ref="P654" ca="1">IFERROR(_xlfn.XLOOKUP(tblPedidos[[#This Row],[id_dropi]],tblNotas[[#This Row],[id__dropi]],tblNotas[[#This Row],[Notas Manuales]], “”, 0),"")</f>
        <v/>
      </c>
      <c r="R654" t="s">
        <v>3835</v>
      </c>
      <c r="S654">
        <v>40054.5</v>
      </c>
      <c r="T654">
        <v>-19245.5</v>
      </c>
      <c r="U654" cm="1">
        <f t="array" ref="U654">IFERROR(_xlfn.IFS(tblPedidos[[#This Row],[estado_operativo]]="ENTREGADO",tblPedidos[[#This Row],[ganancia_calc]],tblPedidos[[#This Row],[estado_operativo]]="DEVOLUCION",tblPedidos[[#This Row],[costo_devolucion_estimado]]),0)</f>
        <v>40054.5</v>
      </c>
      <c r="V654">
        <v>240327</v>
      </c>
      <c r="W654">
        <v>89900</v>
      </c>
      <c r="X654">
        <v>19245.5</v>
      </c>
      <c r="Y654">
        <v>30600</v>
      </c>
      <c r="Z654" s="11">
        <v>46036</v>
      </c>
      <c r="AA654">
        <v>8</v>
      </c>
      <c r="AB654" s="12">
        <v>0.83888888888888891</v>
      </c>
      <c r="AC654" t="s">
        <v>720</v>
      </c>
      <c r="AD654" t="s">
        <v>720</v>
      </c>
      <c r="AE654" t="s">
        <v>720</v>
      </c>
    </row>
    <row r="655" spans="1:31">
      <c r="A655" t="s">
        <v>1343</v>
      </c>
      <c r="B655" t="s">
        <v>2946</v>
      </c>
      <c r="C655">
        <v>352</v>
      </c>
      <c r="D655" t="s">
        <v>3836</v>
      </c>
      <c r="E655" s="11">
        <v>46034</v>
      </c>
      <c r="F655" t="s">
        <v>3837</v>
      </c>
      <c r="G655" t="s">
        <v>45</v>
      </c>
      <c r="J655" t="s">
        <v>720</v>
      </c>
      <c r="K655" t="s">
        <v>3838</v>
      </c>
      <c r="L655" t="s">
        <v>328</v>
      </c>
      <c r="M655" t="s">
        <v>329</v>
      </c>
      <c r="N655" t="s">
        <v>3839</v>
      </c>
      <c r="O655" t="s">
        <v>3840</v>
      </c>
      <c r="P655" s="46" t="str" cm="1">
        <f t="array" aca="1" ref="P655" ca="1">IFERROR(_xlfn.XLOOKUP(tblPedidos[[#This Row],[id_dropi]],tblNotas[[#This Row],[id__dropi]],tblNotas[[#This Row],[Notas Manuales]], “”, 0),"")</f>
        <v/>
      </c>
      <c r="Q655" t="s">
        <v>3839</v>
      </c>
      <c r="R655" t="s">
        <v>3027</v>
      </c>
      <c r="S655">
        <v>20654.5</v>
      </c>
      <c r="T655">
        <v>-19245.5</v>
      </c>
      <c r="U655" cm="1">
        <f t="array" ref="U655">IFERROR(_xlfn.IFS(tblPedidos[[#This Row],[estado_operativo]]="ENTREGADO",tblPedidos[[#This Row],[ganancia_calc]],tblPedidos[[#This Row],[estado_operativo]]="DEVOLUCION",tblPedidos[[#This Row],[costo_devolucion_estimado]]),0)</f>
        <v>20654.5</v>
      </c>
      <c r="V655">
        <v>123927</v>
      </c>
      <c r="W655">
        <v>89900</v>
      </c>
      <c r="X655">
        <v>19245.5</v>
      </c>
      <c r="Y655">
        <v>50000</v>
      </c>
      <c r="Z655" s="11">
        <v>46037</v>
      </c>
      <c r="AA655">
        <v>7</v>
      </c>
      <c r="AB655" s="12">
        <v>0.83888888888888891</v>
      </c>
      <c r="AC655" t="s">
        <v>720</v>
      </c>
      <c r="AD655" t="s">
        <v>720</v>
      </c>
      <c r="AE655" t="s">
        <v>720</v>
      </c>
    </row>
    <row r="656" spans="1:31">
      <c r="A656" t="s">
        <v>1343</v>
      </c>
      <c r="B656" t="s">
        <v>2946</v>
      </c>
      <c r="C656">
        <v>353</v>
      </c>
      <c r="D656" t="s">
        <v>3841</v>
      </c>
      <c r="E656" s="11">
        <v>46034</v>
      </c>
      <c r="F656" t="s">
        <v>3842</v>
      </c>
      <c r="G656" t="s">
        <v>45</v>
      </c>
      <c r="J656" t="s">
        <v>720</v>
      </c>
      <c r="K656" t="s">
        <v>3843</v>
      </c>
      <c r="L656" t="s">
        <v>46</v>
      </c>
      <c r="M656" t="s">
        <v>3844</v>
      </c>
      <c r="N656" t="s">
        <v>3845</v>
      </c>
      <c r="O656" t="s">
        <v>3846</v>
      </c>
      <c r="P656" s="46" t="str" cm="1">
        <f t="array" aca="1" ref="P656" ca="1">IFERROR(_xlfn.XLOOKUP(tblPedidos[[#This Row],[id_dropi]],tblNotas[[#This Row],[id__dropi]],tblNotas[[#This Row],[Notas Manuales]], “”, 0),"")</f>
        <v/>
      </c>
      <c r="Q656" t="s">
        <v>50</v>
      </c>
      <c r="R656" t="s">
        <v>3008</v>
      </c>
      <c r="S656">
        <v>31329.5</v>
      </c>
      <c r="T656">
        <v>-13570.5</v>
      </c>
      <c r="U656" cm="1">
        <f t="array" ref="U656">IFERROR(_xlfn.IFS(tblPedidos[[#This Row],[estado_operativo]]="ENTREGADO",tblPedidos[[#This Row],[ganancia_calc]],tblPedidos[[#This Row],[estado_operativo]]="DEVOLUCION",tblPedidos[[#This Row],[costo_devolucion_estimado]]),0)</f>
        <v>31329.5</v>
      </c>
      <c r="V656">
        <v>156647.5</v>
      </c>
      <c r="W656">
        <v>64900</v>
      </c>
      <c r="X656">
        <v>13570.5</v>
      </c>
      <c r="Y656">
        <v>20000</v>
      </c>
      <c r="Z656" s="11">
        <v>46038</v>
      </c>
      <c r="AA656">
        <v>6</v>
      </c>
      <c r="AB656" s="12">
        <v>0.75624999999999998</v>
      </c>
      <c r="AC656" t="s">
        <v>720</v>
      </c>
      <c r="AD656" t="s">
        <v>720</v>
      </c>
      <c r="AE656" t="s">
        <v>720</v>
      </c>
    </row>
    <row r="657" spans="1:31">
      <c r="A657" t="s">
        <v>33</v>
      </c>
      <c r="B657" t="s">
        <v>2946</v>
      </c>
      <c r="C657">
        <v>351</v>
      </c>
      <c r="D657" t="s">
        <v>3847</v>
      </c>
      <c r="E657" s="11">
        <v>46034</v>
      </c>
      <c r="F657" t="s">
        <v>3848</v>
      </c>
      <c r="G657" t="s">
        <v>45</v>
      </c>
      <c r="J657" t="s">
        <v>1371</v>
      </c>
      <c r="K657" t="s">
        <v>3849</v>
      </c>
      <c r="L657" t="s">
        <v>111</v>
      </c>
      <c r="M657" t="s">
        <v>112</v>
      </c>
      <c r="N657" t="s">
        <v>113</v>
      </c>
      <c r="O657" t="s">
        <v>3850</v>
      </c>
      <c r="P657" s="46" t="str" cm="1">
        <f t="array" aca="1" ref="P657" ca="1">IFERROR(_xlfn.XLOOKUP(tblPedidos[[#This Row],[id_dropi]],tblNotas[[#This Row],[id__dropi]],tblNotas[[#This Row],[Notas Manuales]], “”, 0),"")</f>
        <v/>
      </c>
      <c r="Q657" t="s">
        <v>50</v>
      </c>
      <c r="R657" t="s">
        <v>3008</v>
      </c>
      <c r="S657">
        <v>26779.5</v>
      </c>
      <c r="T657">
        <v>-18120.5</v>
      </c>
      <c r="U657" cm="1">
        <f t="array" ref="U657">IFERROR(_xlfn.IFS(tblPedidos[[#This Row],[estado_operativo]]="ENTREGADO",tblPedidos[[#This Row],[ganancia_calc]],tblPedidos[[#This Row],[estado_operativo]]="DEVOLUCION",tblPedidos[[#This Row],[costo_devolucion_estimado]]),0)</f>
        <v>0</v>
      </c>
      <c r="V657">
        <v>0</v>
      </c>
      <c r="W657">
        <v>64900</v>
      </c>
      <c r="X657">
        <v>18120.5</v>
      </c>
      <c r="Y657">
        <v>20000</v>
      </c>
      <c r="Z657" s="11">
        <v>46043</v>
      </c>
      <c r="AA657">
        <v>1</v>
      </c>
      <c r="AB657" s="12">
        <v>0.43333333333333335</v>
      </c>
      <c r="AC657" t="s">
        <v>982</v>
      </c>
      <c r="AD657" t="s">
        <v>982</v>
      </c>
      <c r="AE657" t="s">
        <v>1371</v>
      </c>
    </row>
    <row r="658" spans="1:31">
      <c r="A658" t="s">
        <v>1343</v>
      </c>
      <c r="B658" t="s">
        <v>2946</v>
      </c>
      <c r="C658">
        <v>349</v>
      </c>
      <c r="D658" t="s">
        <v>3851</v>
      </c>
      <c r="E658" s="11">
        <v>46034</v>
      </c>
      <c r="F658" t="s">
        <v>3852</v>
      </c>
      <c r="G658" t="s">
        <v>36</v>
      </c>
      <c r="J658" t="s">
        <v>720</v>
      </c>
      <c r="K658" t="s">
        <v>3853</v>
      </c>
      <c r="L658" t="s">
        <v>81</v>
      </c>
      <c r="M658" t="s">
        <v>495</v>
      </c>
      <c r="N658" t="s">
        <v>3854</v>
      </c>
      <c r="O658" t="s">
        <v>3855</v>
      </c>
      <c r="P658" s="46" t="str" cm="1">
        <f t="array" aca="1" ref="P658" ca="1">IFERROR(_xlfn.XLOOKUP(tblPedidos[[#This Row],[id_dropi]],tblNotas[[#This Row],[id__dropi]],tblNotas[[#This Row],[Notas Manuales]], “”, 0),"")</f>
        <v/>
      </c>
      <c r="R658" t="s">
        <v>2983</v>
      </c>
      <c r="S658">
        <v>32946.5</v>
      </c>
      <c r="T658">
        <v>-10802.800000000001</v>
      </c>
      <c r="U658" cm="1">
        <f t="array" ref="U658">IFERROR(_xlfn.IFS(tblPedidos[[#This Row],[estado_operativo]]="ENTREGADO",tblPedidos[[#This Row],[ganancia_calc]],tblPedidos[[#This Row],[estado_operativo]]="DEVOLUCION",tblPedidos[[#This Row],[costo_devolucion_estimado]]),0)</f>
        <v>32946.5</v>
      </c>
      <c r="V658">
        <v>197679</v>
      </c>
      <c r="W658">
        <v>69900</v>
      </c>
      <c r="X658">
        <v>13503.5</v>
      </c>
      <c r="Y658">
        <v>23450</v>
      </c>
      <c r="Z658" s="11">
        <v>46035</v>
      </c>
      <c r="AA658">
        <v>9</v>
      </c>
      <c r="AB658" s="12">
        <v>0.87291666666666667</v>
      </c>
      <c r="AC658" t="s">
        <v>399</v>
      </c>
      <c r="AD658" t="s">
        <v>720</v>
      </c>
      <c r="AE658" t="s">
        <v>720</v>
      </c>
    </row>
    <row r="659" spans="1:31">
      <c r="A659" t="s">
        <v>1343</v>
      </c>
      <c r="B659" t="s">
        <v>2946</v>
      </c>
      <c r="C659">
        <v>350</v>
      </c>
      <c r="D659" t="s">
        <v>3856</v>
      </c>
      <c r="E659" s="11">
        <v>46034</v>
      </c>
      <c r="F659" t="s">
        <v>3857</v>
      </c>
      <c r="G659" t="s">
        <v>36</v>
      </c>
      <c r="J659" t="s">
        <v>1657</v>
      </c>
      <c r="K659" t="s">
        <v>3858</v>
      </c>
      <c r="L659" t="s">
        <v>81</v>
      </c>
      <c r="M659" t="s">
        <v>118</v>
      </c>
      <c r="N659" t="s">
        <v>3859</v>
      </c>
      <c r="O659" t="s">
        <v>3860</v>
      </c>
      <c r="P659" s="46" t="str" cm="1">
        <f t="array" aca="1" ref="P659" ca="1">IFERROR(_xlfn.XLOOKUP(tblPedidos[[#This Row],[id_dropi]],tblNotas[[#This Row],[id__dropi]],tblNotas[[#This Row],[Notas Manuales]], “”, 0),"")</f>
        <v/>
      </c>
      <c r="Q659" t="s">
        <v>3861</v>
      </c>
      <c r="R659" t="s">
        <v>3149</v>
      </c>
      <c r="S659">
        <v>23142.5</v>
      </c>
      <c r="T659">
        <v>-9406</v>
      </c>
      <c r="U659" cm="1">
        <f t="array" ref="U659">IFERROR(_xlfn.IFS(tblPedidos[[#This Row],[estado_operativo]]="ENTREGADO",tblPedidos[[#This Row],[ganancia_calc]],tblPedidos[[#This Row],[estado_operativo]]="DEVOLUCION",tblPedidos[[#This Row],[costo_devolucion_estimado]]),0)</f>
        <v>-9406</v>
      </c>
      <c r="V659">
        <v>-18124</v>
      </c>
      <c r="W659">
        <v>59900</v>
      </c>
      <c r="X659">
        <v>11757.5</v>
      </c>
      <c r="Y659">
        <v>25000</v>
      </c>
      <c r="Z659" s="11">
        <v>46035</v>
      </c>
      <c r="AA659">
        <v>9</v>
      </c>
      <c r="AB659" s="12">
        <v>0.90069444444444446</v>
      </c>
      <c r="AC659" t="s">
        <v>399</v>
      </c>
      <c r="AD659" t="s">
        <v>1657</v>
      </c>
      <c r="AE659" t="s">
        <v>1657</v>
      </c>
    </row>
    <row r="660" spans="1:31">
      <c r="A660" t="s">
        <v>1343</v>
      </c>
      <c r="C660">
        <v>343</v>
      </c>
      <c r="D660" t="s">
        <v>3862</v>
      </c>
      <c r="E660" s="11">
        <v>46034</v>
      </c>
      <c r="F660" t="s">
        <v>3863</v>
      </c>
      <c r="G660" t="s">
        <v>45</v>
      </c>
      <c r="J660" t="s">
        <v>720</v>
      </c>
      <c r="K660" t="s">
        <v>3864</v>
      </c>
      <c r="L660" t="s">
        <v>152</v>
      </c>
      <c r="M660" t="s">
        <v>153</v>
      </c>
      <c r="N660" t="s">
        <v>2163</v>
      </c>
      <c r="O660" t="s">
        <v>3865</v>
      </c>
      <c r="P660" s="46" t="str" cm="1">
        <f t="array" aca="1" ref="P660" ca="1">IFERROR(_xlfn.XLOOKUP(tblPedidos[[#This Row],[id_dropi]],tblNotas[[#This Row],[id__dropi]],tblNotas[[#This Row],[Notas Manuales]], “”, 0),"")</f>
        <v/>
      </c>
      <c r="Q660" t="s">
        <v>50</v>
      </c>
      <c r="R660" t="s">
        <v>3060</v>
      </c>
      <c r="S660">
        <v>16554.5</v>
      </c>
      <c r="T660">
        <v>-18345.5</v>
      </c>
      <c r="U660" cm="1">
        <f t="array" ref="U660">IFERROR(_xlfn.IFS(tblPedidos[[#This Row],[estado_operativo]]="ENTREGADO",tblPedidos[[#This Row],[ganancia_calc]],tblPedidos[[#This Row],[estado_operativo]]="DEVOLUCION",tblPedidos[[#This Row],[costo_devolucion_estimado]]),0)</f>
        <v>16554.5</v>
      </c>
      <c r="V660">
        <v>49663.5</v>
      </c>
      <c r="W660">
        <v>69900</v>
      </c>
      <c r="X660">
        <v>18345.5</v>
      </c>
      <c r="Y660">
        <v>35000</v>
      </c>
      <c r="Z660" s="11">
        <v>46041</v>
      </c>
      <c r="AA660">
        <v>3</v>
      </c>
      <c r="AB660" s="12">
        <v>0.75902777777777775</v>
      </c>
      <c r="AC660" t="s">
        <v>720</v>
      </c>
      <c r="AD660" t="s">
        <v>720</v>
      </c>
      <c r="AE660" t="s">
        <v>720</v>
      </c>
    </row>
    <row r="661" spans="1:31">
      <c r="A661" t="s">
        <v>33</v>
      </c>
      <c r="C661">
        <v>336</v>
      </c>
      <c r="D661" t="s">
        <v>3866</v>
      </c>
      <c r="E661" s="11">
        <v>46034</v>
      </c>
      <c r="F661" t="s">
        <v>3867</v>
      </c>
      <c r="G661" t="s">
        <v>45</v>
      </c>
      <c r="J661" t="s">
        <v>1371</v>
      </c>
      <c r="K661" t="s">
        <v>3868</v>
      </c>
      <c r="L661" t="s">
        <v>125</v>
      </c>
      <c r="M661" t="s">
        <v>3869</v>
      </c>
      <c r="N661" t="s">
        <v>3870</v>
      </c>
      <c r="O661" t="s">
        <v>3871</v>
      </c>
      <c r="P661" s="46" t="str" cm="1">
        <f t="array" aca="1" ref="P661" ca="1">IFERROR(_xlfn.XLOOKUP(tblPedidos[[#This Row],[id_dropi]],tblNotas[[#This Row],[id__dropi]],tblNotas[[#This Row],[Notas Manuales]], “”, 0),"")</f>
        <v/>
      </c>
      <c r="Q661" t="s">
        <v>50</v>
      </c>
      <c r="R661" t="s">
        <v>3014</v>
      </c>
      <c r="S661">
        <v>22829.5</v>
      </c>
      <c r="T661">
        <v>-17670.5</v>
      </c>
      <c r="U661" cm="1">
        <f t="array" ref="U661">IFERROR(_xlfn.IFS(tblPedidos[[#This Row],[estado_operativo]]="ENTREGADO",tblPedidos[[#This Row],[ganancia_calc]],tblPedidos[[#This Row],[estado_operativo]]="DEVOLUCION",tblPedidos[[#This Row],[costo_devolucion_estimado]]),0)</f>
        <v>0</v>
      </c>
      <c r="V661">
        <v>0</v>
      </c>
      <c r="W661">
        <v>54900</v>
      </c>
      <c r="X661">
        <v>17670.5</v>
      </c>
      <c r="Y661">
        <v>14400</v>
      </c>
      <c r="Z661" s="11">
        <v>46043</v>
      </c>
      <c r="AA661">
        <v>1</v>
      </c>
      <c r="AB661" s="12">
        <v>0.43125000000000002</v>
      </c>
      <c r="AC661" t="s">
        <v>982</v>
      </c>
      <c r="AD661" t="s">
        <v>982</v>
      </c>
      <c r="AE661" t="s">
        <v>1371</v>
      </c>
    </row>
    <row r="662" spans="1:31">
      <c r="A662" t="s">
        <v>1343</v>
      </c>
      <c r="C662">
        <v>337</v>
      </c>
      <c r="D662" t="s">
        <v>3872</v>
      </c>
      <c r="E662" s="11">
        <v>46034</v>
      </c>
      <c r="F662" t="s">
        <v>3873</v>
      </c>
      <c r="G662" t="s">
        <v>45</v>
      </c>
      <c r="J662" t="s">
        <v>720</v>
      </c>
      <c r="K662" t="s">
        <v>3874</v>
      </c>
      <c r="L662" t="s">
        <v>111</v>
      </c>
      <c r="M662" t="s">
        <v>3875</v>
      </c>
      <c r="N662" t="s">
        <v>3876</v>
      </c>
      <c r="O662" t="s">
        <v>3877</v>
      </c>
      <c r="P662" s="46" t="str" cm="1">
        <f t="array" aca="1" ref="P662" ca="1">IFERROR(_xlfn.XLOOKUP(tblPedidos[[#This Row],[id_dropi]],tblNotas[[#This Row],[id__dropi]],tblNotas[[#This Row],[Notas Manuales]], “”, 0),"")</f>
        <v/>
      </c>
      <c r="R662" t="s">
        <v>3033</v>
      </c>
      <c r="S662">
        <v>17004.5</v>
      </c>
      <c r="T662">
        <v>-17895.5</v>
      </c>
      <c r="U662" cm="1">
        <f t="array" ref="U662">IFERROR(_xlfn.IFS(tblPedidos[[#This Row],[estado_operativo]]="ENTREGADO",tblPedidos[[#This Row],[ganancia_calc]],tblPedidos[[#This Row],[estado_operativo]]="DEVOLUCION",tblPedidos[[#This Row],[costo_devolucion_estimado]]),0)</f>
        <v>17004.5</v>
      </c>
      <c r="V662">
        <v>51013.5</v>
      </c>
      <c r="W662">
        <v>59900</v>
      </c>
      <c r="X662">
        <v>17895.5</v>
      </c>
      <c r="Y662">
        <v>25000</v>
      </c>
      <c r="Z662" s="11">
        <v>46041</v>
      </c>
      <c r="AA662">
        <v>3</v>
      </c>
      <c r="AB662" s="12">
        <v>0.77222222222222225</v>
      </c>
      <c r="AC662" t="s">
        <v>720</v>
      </c>
      <c r="AD662" t="s">
        <v>720</v>
      </c>
      <c r="AE662" t="s">
        <v>720</v>
      </c>
    </row>
    <row r="663" spans="1:31">
      <c r="A663" t="s">
        <v>1343</v>
      </c>
      <c r="C663">
        <v>335</v>
      </c>
      <c r="D663" t="s">
        <v>3878</v>
      </c>
      <c r="E663" s="11">
        <v>46034</v>
      </c>
      <c r="F663" t="s">
        <v>3879</v>
      </c>
      <c r="G663" t="s">
        <v>45</v>
      </c>
      <c r="J663" t="s">
        <v>720</v>
      </c>
      <c r="K663" t="s">
        <v>3880</v>
      </c>
      <c r="L663" t="s">
        <v>46</v>
      </c>
      <c r="M663" t="s">
        <v>100</v>
      </c>
      <c r="N663" t="s">
        <v>3881</v>
      </c>
      <c r="O663" t="s">
        <v>3882</v>
      </c>
      <c r="P663" s="46" t="str" cm="1">
        <f t="array" aca="1" ref="P663" ca="1">IFERROR(_xlfn.XLOOKUP(tblPedidos[[#This Row],[id_dropi]],tblNotas[[#This Row],[id__dropi]],tblNotas[[#This Row],[Notas Manuales]], “”, 0),"")</f>
        <v/>
      </c>
      <c r="R663" t="s">
        <v>3033</v>
      </c>
      <c r="S663">
        <v>22954.5</v>
      </c>
      <c r="T663">
        <v>-11945.5</v>
      </c>
      <c r="U663" cm="1">
        <f t="array" ref="U663">IFERROR(_xlfn.IFS(tblPedidos[[#This Row],[estado_operativo]]="ENTREGADO",tblPedidos[[#This Row],[ganancia_calc]],tblPedidos[[#This Row],[estado_operativo]]="DEVOLUCION",tblPedidos[[#This Row],[costo_devolucion_estimado]]),0)</f>
        <v>22954.5</v>
      </c>
      <c r="V663">
        <v>137727</v>
      </c>
      <c r="W663">
        <v>59900</v>
      </c>
      <c r="X663">
        <v>11945.5</v>
      </c>
      <c r="Y663">
        <v>25000</v>
      </c>
      <c r="Z663" s="11">
        <v>46037</v>
      </c>
      <c r="AA663">
        <v>7</v>
      </c>
      <c r="AB663" s="12">
        <v>0.83888888888888891</v>
      </c>
      <c r="AC663" t="s">
        <v>720</v>
      </c>
      <c r="AD663" t="s">
        <v>720</v>
      </c>
      <c r="AE663" t="s">
        <v>720</v>
      </c>
    </row>
    <row r="664" spans="1:31">
      <c r="A664" t="s">
        <v>1343</v>
      </c>
      <c r="B664" t="s">
        <v>2946</v>
      </c>
      <c r="C664">
        <v>333</v>
      </c>
      <c r="D664" t="s">
        <v>3883</v>
      </c>
      <c r="E664" s="11">
        <v>46034</v>
      </c>
      <c r="F664" t="s">
        <v>3884</v>
      </c>
      <c r="G664" t="s">
        <v>45</v>
      </c>
      <c r="J664" t="s">
        <v>720</v>
      </c>
      <c r="K664" t="s">
        <v>3885</v>
      </c>
      <c r="L664" t="s">
        <v>152</v>
      </c>
      <c r="M664" t="s">
        <v>3886</v>
      </c>
      <c r="N664" t="s">
        <v>3887</v>
      </c>
      <c r="O664" t="s">
        <v>3888</v>
      </c>
      <c r="P664" s="46" t="str" cm="1">
        <f t="array" aca="1" ref="P664" ca="1">IFERROR(_xlfn.XLOOKUP(tblPedidos[[#This Row],[id_dropi]],tblNotas[[#This Row],[id__dropi]],tblNotas[[#This Row],[Notas Manuales]], “”, 0),"")</f>
        <v/>
      </c>
      <c r="R664" t="s">
        <v>2983</v>
      </c>
      <c r="S664">
        <v>28104.5</v>
      </c>
      <c r="T664">
        <v>-18345.5</v>
      </c>
      <c r="U664" cm="1">
        <f t="array" ref="U664">IFERROR(_xlfn.IFS(tblPedidos[[#This Row],[estado_operativo]]="ENTREGADO",tblPedidos[[#This Row],[ganancia_calc]],tblPedidos[[#This Row],[estado_operativo]]="DEVOLUCION",tblPedidos[[#This Row],[costo_devolucion_estimado]]),0)</f>
        <v>28104.5</v>
      </c>
      <c r="V664">
        <v>84313.5</v>
      </c>
      <c r="W664">
        <v>69900</v>
      </c>
      <c r="X664">
        <v>18345.5</v>
      </c>
      <c r="Y664">
        <v>23450</v>
      </c>
      <c r="Z664" s="11">
        <v>46041</v>
      </c>
      <c r="AA664">
        <v>3</v>
      </c>
      <c r="AB664" s="12">
        <v>0.68194444444444446</v>
      </c>
      <c r="AC664" t="s">
        <v>720</v>
      </c>
      <c r="AD664" t="s">
        <v>720</v>
      </c>
      <c r="AE664" t="s">
        <v>720</v>
      </c>
    </row>
    <row r="665" spans="1:31">
      <c r="A665" t="s">
        <v>1343</v>
      </c>
      <c r="B665" t="s">
        <v>2946</v>
      </c>
      <c r="C665">
        <v>334</v>
      </c>
      <c r="D665" t="s">
        <v>3889</v>
      </c>
      <c r="E665" s="11">
        <v>46034</v>
      </c>
      <c r="F665" t="s">
        <v>3890</v>
      </c>
      <c r="G665" t="s">
        <v>45</v>
      </c>
      <c r="J665" t="s">
        <v>1657</v>
      </c>
      <c r="K665" t="s">
        <v>3891</v>
      </c>
      <c r="L665" t="s">
        <v>61</v>
      </c>
      <c r="M665" t="s">
        <v>3892</v>
      </c>
      <c r="N665" t="s">
        <v>3893</v>
      </c>
      <c r="O665" t="s">
        <v>3894</v>
      </c>
      <c r="P665" s="46" t="str" cm="1">
        <f t="array" aca="1" ref="P665" ca="1">IFERROR(_xlfn.XLOOKUP(tblPedidos[[#This Row],[id_dropi]],tblNotas[[#This Row],[id__dropi]],tblNotas[[#This Row],[Notas Manuales]], “”, 0),"")</f>
        <v/>
      </c>
      <c r="R665" t="s">
        <v>3033</v>
      </c>
      <c r="S665">
        <v>17004.5</v>
      </c>
      <c r="T665">
        <v>-17895.5</v>
      </c>
      <c r="U665" cm="1">
        <f t="array" ref="U665">IFERROR(_xlfn.IFS(tblPedidos[[#This Row],[estado_operativo]]="ENTREGADO",tblPedidos[[#This Row],[ganancia_calc]],tblPedidos[[#This Row],[estado_operativo]]="DEVOLUCION",tblPedidos[[#This Row],[costo_devolucion_estimado]]),0)</f>
        <v>-17895.5</v>
      </c>
      <c r="V665">
        <v>-53686.5</v>
      </c>
      <c r="W665">
        <v>59900</v>
      </c>
      <c r="X665">
        <v>17895.5</v>
      </c>
      <c r="Y665">
        <v>25000</v>
      </c>
      <c r="Z665" s="11">
        <v>46041</v>
      </c>
      <c r="AA665">
        <v>3</v>
      </c>
      <c r="AB665" s="12">
        <v>0.84722222222222221</v>
      </c>
      <c r="AC665" t="s">
        <v>1657</v>
      </c>
      <c r="AD665" t="s">
        <v>1657</v>
      </c>
      <c r="AE665" t="s">
        <v>1657</v>
      </c>
    </row>
    <row r="666" spans="1:31">
      <c r="A666" t="s">
        <v>1343</v>
      </c>
      <c r="B666" t="s">
        <v>2946</v>
      </c>
      <c r="C666">
        <v>341</v>
      </c>
      <c r="D666" t="s">
        <v>3895</v>
      </c>
      <c r="E666" s="11">
        <v>46034</v>
      </c>
      <c r="F666" t="s">
        <v>3896</v>
      </c>
      <c r="G666" t="s">
        <v>45</v>
      </c>
      <c r="J666" t="s">
        <v>1657</v>
      </c>
      <c r="K666" t="s">
        <v>3897</v>
      </c>
      <c r="L666" t="s">
        <v>125</v>
      </c>
      <c r="M666" t="s">
        <v>306</v>
      </c>
      <c r="N666" t="s">
        <v>3898</v>
      </c>
      <c r="O666" t="s">
        <v>3899</v>
      </c>
      <c r="P666" s="46" t="str" cm="1">
        <f t="array" aca="1" ref="P666" ca="1">IFERROR(_xlfn.XLOOKUP(tblPedidos[[#This Row],[id_dropi]],tblNotas[[#This Row],[id__dropi]],tblNotas[[#This Row],[Notas Manuales]], “”, 0),"")</f>
        <v/>
      </c>
      <c r="Q666" t="s">
        <v>3900</v>
      </c>
      <c r="R666" t="s">
        <v>3014</v>
      </c>
      <c r="S666">
        <v>22829.5</v>
      </c>
      <c r="T666">
        <v>-17670.5</v>
      </c>
      <c r="U666" cm="1">
        <f t="array" ref="U666">IFERROR(_xlfn.IFS(tblPedidos[[#This Row],[estado_operativo]]="ENTREGADO",tblPedidos[[#This Row],[ganancia_calc]],tblPedidos[[#This Row],[estado_operativo]]="DEVOLUCION",tblPedidos[[#This Row],[costo_devolucion_estimado]]),0)</f>
        <v>-17670.5</v>
      </c>
      <c r="V666">
        <v>-106023</v>
      </c>
      <c r="W666">
        <v>54900</v>
      </c>
      <c r="X666">
        <v>17670.5</v>
      </c>
      <c r="Y666">
        <v>14400</v>
      </c>
      <c r="Z666" s="11">
        <v>46038</v>
      </c>
      <c r="AA666">
        <v>6</v>
      </c>
      <c r="AB666" s="12">
        <v>0.67152777777777772</v>
      </c>
      <c r="AC666" t="s">
        <v>1657</v>
      </c>
      <c r="AD666" t="s">
        <v>1657</v>
      </c>
      <c r="AE666" t="s">
        <v>1657</v>
      </c>
    </row>
    <row r="667" spans="1:31">
      <c r="A667" t="s">
        <v>1343</v>
      </c>
      <c r="C667">
        <v>342</v>
      </c>
      <c r="D667" t="s">
        <v>3901</v>
      </c>
      <c r="E667" s="11">
        <v>46034</v>
      </c>
      <c r="F667" t="s">
        <v>3902</v>
      </c>
      <c r="G667" t="s">
        <v>45</v>
      </c>
      <c r="J667" t="s">
        <v>720</v>
      </c>
      <c r="K667" t="s">
        <v>3903</v>
      </c>
      <c r="L667" t="s">
        <v>46</v>
      </c>
      <c r="M667" t="s">
        <v>100</v>
      </c>
      <c r="N667" t="s">
        <v>3904</v>
      </c>
      <c r="O667" t="s">
        <v>3905</v>
      </c>
      <c r="P667" s="46" t="str" cm="1">
        <f t="array" aca="1" ref="P667" ca="1">IFERROR(_xlfn.XLOOKUP(tblPedidos[[#This Row],[id_dropi]],tblNotas[[#This Row],[id__dropi]],tblNotas[[#This Row],[Notas Manuales]], “”, 0),"")</f>
        <v/>
      </c>
      <c r="Q667" t="s">
        <v>3906</v>
      </c>
      <c r="R667" t="s">
        <v>3149</v>
      </c>
      <c r="S667">
        <v>17004.5</v>
      </c>
      <c r="T667">
        <v>-17895.5</v>
      </c>
      <c r="U667" cm="1">
        <f t="array" ref="U667">IFERROR(_xlfn.IFS(tblPedidos[[#This Row],[estado_operativo]]="ENTREGADO",tblPedidos[[#This Row],[ganancia_calc]],tblPedidos[[#This Row],[estado_operativo]]="DEVOLUCION",tblPedidos[[#This Row],[costo_devolucion_estimado]]),0)</f>
        <v>17004.5</v>
      </c>
      <c r="V667">
        <v>102027</v>
      </c>
      <c r="W667">
        <v>59900</v>
      </c>
      <c r="X667">
        <v>17895.5</v>
      </c>
      <c r="Y667">
        <v>25000</v>
      </c>
      <c r="Z667" s="11">
        <v>46037</v>
      </c>
      <c r="AA667">
        <v>7</v>
      </c>
      <c r="AB667" s="12">
        <v>0.75624999999999998</v>
      </c>
      <c r="AC667" t="s">
        <v>720</v>
      </c>
      <c r="AD667" t="s">
        <v>720</v>
      </c>
      <c r="AE667" t="s">
        <v>720</v>
      </c>
    </row>
    <row r="668" spans="1:31">
      <c r="A668" t="s">
        <v>1343</v>
      </c>
      <c r="B668" t="s">
        <v>2946</v>
      </c>
      <c r="C668">
        <v>340</v>
      </c>
      <c r="D668" t="s">
        <v>3907</v>
      </c>
      <c r="E668" s="11">
        <v>46034</v>
      </c>
      <c r="F668" t="s">
        <v>3908</v>
      </c>
      <c r="G668" t="s">
        <v>36</v>
      </c>
      <c r="J668" t="s">
        <v>720</v>
      </c>
      <c r="K668" t="s">
        <v>3909</v>
      </c>
      <c r="L668" t="s">
        <v>54</v>
      </c>
      <c r="M668" t="s">
        <v>373</v>
      </c>
      <c r="N668" t="s">
        <v>3910</v>
      </c>
      <c r="O668" t="s">
        <v>3911</v>
      </c>
      <c r="P668" s="46" t="str" cm="1">
        <f t="array" aca="1" ref="P668" ca="1">IFERROR(_xlfn.XLOOKUP(tblPedidos[[#This Row],[id_dropi]],tblNotas[[#This Row],[id__dropi]],tblNotas[[#This Row],[Notas Manuales]], “”, 0),"")</f>
        <v/>
      </c>
      <c r="R668" t="s">
        <v>3033</v>
      </c>
      <c r="S668">
        <v>19686.5</v>
      </c>
      <c r="T668">
        <v>-12170.800000000001</v>
      </c>
      <c r="U668" cm="1">
        <f t="array" ref="U668">IFERROR(_xlfn.IFS(tblPedidos[[#This Row],[estado_operativo]]="ENTREGADO",tblPedidos[[#This Row],[ganancia_calc]],tblPedidos[[#This Row],[estado_operativo]]="DEVOLUCION",tblPedidos[[#This Row],[costo_devolucion_estimado]]),0)</f>
        <v>19686.5</v>
      </c>
      <c r="V668">
        <v>19686.5</v>
      </c>
      <c r="W668">
        <v>59900</v>
      </c>
      <c r="X668">
        <v>15213.5</v>
      </c>
      <c r="Y668">
        <v>25000</v>
      </c>
      <c r="Z668" s="11">
        <v>46036</v>
      </c>
      <c r="AA668">
        <v>8</v>
      </c>
      <c r="AB668" s="12">
        <v>0.57986111111111116</v>
      </c>
      <c r="AC668" t="s">
        <v>788</v>
      </c>
      <c r="AD668" t="s">
        <v>720</v>
      </c>
      <c r="AE668" t="s">
        <v>720</v>
      </c>
    </row>
    <row r="669" spans="1:31">
      <c r="A669" t="s">
        <v>1343</v>
      </c>
      <c r="B669" t="s">
        <v>2946</v>
      </c>
      <c r="C669">
        <v>338</v>
      </c>
      <c r="D669" t="s">
        <v>3912</v>
      </c>
      <c r="E669" s="11">
        <v>46034</v>
      </c>
      <c r="F669" t="s">
        <v>3913</v>
      </c>
      <c r="G669" t="s">
        <v>45</v>
      </c>
      <c r="J669" t="s">
        <v>720</v>
      </c>
      <c r="K669" t="s">
        <v>3914</v>
      </c>
      <c r="L669" t="s">
        <v>136</v>
      </c>
      <c r="M669" t="s">
        <v>206</v>
      </c>
      <c r="N669" t="s">
        <v>3915</v>
      </c>
      <c r="O669" t="s">
        <v>3916</v>
      </c>
      <c r="P669" s="46" t="str" cm="1">
        <f t="array" aca="1" ref="P669" ca="1">IFERROR(_xlfn.XLOOKUP(tblPedidos[[#This Row],[id_dropi]],tblNotas[[#This Row],[id__dropi]],tblNotas[[#This Row],[Notas Manuales]], “”, 0),"")</f>
        <v/>
      </c>
      <c r="R669" t="s">
        <v>3033</v>
      </c>
      <c r="S669">
        <v>21554.5</v>
      </c>
      <c r="T669">
        <v>-13345.5</v>
      </c>
      <c r="U669" cm="1">
        <f t="array" ref="U669">IFERROR(_xlfn.IFS(tblPedidos[[#This Row],[estado_operativo]]="ENTREGADO",tblPedidos[[#This Row],[ganancia_calc]],tblPedidos[[#This Row],[estado_operativo]]="DEVOLUCION",tblPedidos[[#This Row],[costo_devolucion_estimado]]),0)</f>
        <v>21554.5</v>
      </c>
      <c r="V669">
        <v>129327</v>
      </c>
      <c r="W669">
        <v>59900</v>
      </c>
      <c r="X669">
        <v>13345.5</v>
      </c>
      <c r="Y669">
        <v>25000</v>
      </c>
      <c r="Z669" s="11">
        <v>46036</v>
      </c>
      <c r="AA669">
        <v>8</v>
      </c>
      <c r="AB669" s="12">
        <v>0.67291666666666672</v>
      </c>
      <c r="AC669" t="s">
        <v>720</v>
      </c>
      <c r="AD669" t="s">
        <v>720</v>
      </c>
      <c r="AE669" t="s">
        <v>720</v>
      </c>
    </row>
    <row r="670" spans="1:31">
      <c r="A670" t="s">
        <v>1343</v>
      </c>
      <c r="B670" t="s">
        <v>2946</v>
      </c>
      <c r="C670">
        <v>339</v>
      </c>
      <c r="D670" t="s">
        <v>3917</v>
      </c>
      <c r="E670" s="11">
        <v>46034</v>
      </c>
      <c r="F670" t="s">
        <v>3918</v>
      </c>
      <c r="G670" t="s">
        <v>36</v>
      </c>
      <c r="J670" t="s">
        <v>720</v>
      </c>
      <c r="K670" t="s">
        <v>3919</v>
      </c>
      <c r="L670" t="s">
        <v>662</v>
      </c>
      <c r="M670" t="s">
        <v>663</v>
      </c>
      <c r="N670" t="s">
        <v>3920</v>
      </c>
      <c r="O670" t="s">
        <v>3921</v>
      </c>
      <c r="P670" s="46" t="str" cm="1">
        <f t="array" aca="1" ref="P670" ca="1">IFERROR(_xlfn.XLOOKUP(tblPedidos[[#This Row],[id_dropi]],tblNotas[[#This Row],[id__dropi]],tblNotas[[#This Row],[Notas Manuales]], “”, 0),"")</f>
        <v/>
      </c>
      <c r="R670" t="s">
        <v>2983</v>
      </c>
      <c r="S670">
        <v>30786.5</v>
      </c>
      <c r="T670">
        <v>-12530.800000000001</v>
      </c>
      <c r="U670" cm="1">
        <f t="array" ref="U670">IFERROR(_xlfn.IFS(tblPedidos[[#This Row],[estado_operativo]]="ENTREGADO",tblPedidos[[#This Row],[ganancia_calc]],tblPedidos[[#This Row],[estado_operativo]]="DEVOLUCION",tblPedidos[[#This Row],[costo_devolucion_estimado]]),0)</f>
        <v>30786.5</v>
      </c>
      <c r="V670">
        <v>153932.5</v>
      </c>
      <c r="W670">
        <v>69900</v>
      </c>
      <c r="X670">
        <v>15663.5</v>
      </c>
      <c r="Y670">
        <v>23450</v>
      </c>
      <c r="Z670" s="11">
        <v>46035</v>
      </c>
      <c r="AA670">
        <v>9</v>
      </c>
      <c r="AB670" s="12">
        <v>0.87291666666666667</v>
      </c>
      <c r="AC670" t="s">
        <v>399</v>
      </c>
      <c r="AD670" t="s">
        <v>720</v>
      </c>
      <c r="AE670" t="s">
        <v>720</v>
      </c>
    </row>
    <row r="671" spans="1:31">
      <c r="A671" t="s">
        <v>1343</v>
      </c>
      <c r="C671">
        <v>452</v>
      </c>
      <c r="D671" t="s">
        <v>3922</v>
      </c>
      <c r="E671" s="11">
        <v>46034</v>
      </c>
      <c r="F671" t="s">
        <v>3923</v>
      </c>
      <c r="G671" t="s">
        <v>36</v>
      </c>
      <c r="J671" t="s">
        <v>720</v>
      </c>
      <c r="K671" t="s">
        <v>3924</v>
      </c>
      <c r="L671" t="s">
        <v>38</v>
      </c>
      <c r="M671" t="s">
        <v>39</v>
      </c>
      <c r="N671" t="s">
        <v>3925</v>
      </c>
      <c r="O671" t="s">
        <v>3926</v>
      </c>
      <c r="P671" s="46" t="str" cm="1">
        <f t="array" aca="1" ref="P671" ca="1">IFERROR(_xlfn.XLOOKUP(tblPedidos[[#This Row],[id_dropi]],tblNotas[[#This Row],[id__dropi]],tblNotas[[#This Row],[Notas Manuales]], “”, 0),"")</f>
        <v/>
      </c>
      <c r="R671" t="s">
        <v>3200</v>
      </c>
      <c r="S671">
        <v>30211.5</v>
      </c>
      <c r="T671">
        <v>-12710.800000000001</v>
      </c>
      <c r="U671" cm="1">
        <f t="array" ref="U671">IFERROR(_xlfn.IFS(tblPedidos[[#This Row],[estado_operativo]]="ENTREGADO",tblPedidos[[#This Row],[ganancia_calc]],tblPedidos[[#This Row],[estado_operativo]]="DEVOLUCION",tblPedidos[[#This Row],[costo_devolucion_estimado]]),0)</f>
        <v>30211.5</v>
      </c>
      <c r="V671">
        <v>90634.5</v>
      </c>
      <c r="W671">
        <v>74900</v>
      </c>
      <c r="X671">
        <v>15888.5</v>
      </c>
      <c r="Y671">
        <v>28800</v>
      </c>
      <c r="Z671" s="11">
        <v>46036</v>
      </c>
      <c r="AA671">
        <v>8</v>
      </c>
      <c r="AB671" s="12">
        <v>0.66666666666666663</v>
      </c>
      <c r="AC671" t="s">
        <v>399</v>
      </c>
      <c r="AD671" t="s">
        <v>720</v>
      </c>
      <c r="AE671" t="s">
        <v>720</v>
      </c>
    </row>
    <row r="672" spans="1:31">
      <c r="A672" t="s">
        <v>1343</v>
      </c>
      <c r="C672">
        <v>453</v>
      </c>
      <c r="D672" t="s">
        <v>3927</v>
      </c>
      <c r="E672" s="11">
        <v>46034</v>
      </c>
      <c r="F672" t="s">
        <v>3928</v>
      </c>
      <c r="G672" t="s">
        <v>45</v>
      </c>
      <c r="J672" t="s">
        <v>720</v>
      </c>
      <c r="K672" t="s">
        <v>3929</v>
      </c>
      <c r="L672" t="s">
        <v>74</v>
      </c>
      <c r="M672" t="s">
        <v>1555</v>
      </c>
      <c r="N672" t="s">
        <v>3930</v>
      </c>
      <c r="O672" t="s">
        <v>3931</v>
      </c>
      <c r="P672" s="46" t="str" cm="1">
        <f t="array" aca="1" ref="P672" ca="1">IFERROR(_xlfn.XLOOKUP(tblPedidos[[#This Row],[id_dropi]],tblNotas[[#This Row],[id__dropi]],tblNotas[[#This Row],[Notas Manuales]], “”, 0),"")</f>
        <v/>
      </c>
      <c r="R672" t="s">
        <v>3033</v>
      </c>
      <c r="S672">
        <v>17004.5</v>
      </c>
      <c r="T672">
        <v>-17895.5</v>
      </c>
      <c r="U672" cm="1">
        <f t="array" ref="U672">IFERROR(_xlfn.IFS(tblPedidos[[#This Row],[estado_operativo]]="ENTREGADO",tblPedidos[[#This Row],[ganancia_calc]],tblPedidos[[#This Row],[estado_operativo]]="DEVOLUCION",tblPedidos[[#This Row],[costo_devolucion_estimado]]),0)</f>
        <v>17004.5</v>
      </c>
      <c r="V672">
        <v>51013.5</v>
      </c>
      <c r="W672">
        <v>59900</v>
      </c>
      <c r="X672">
        <v>17895.5</v>
      </c>
      <c r="Y672">
        <v>25000</v>
      </c>
      <c r="Z672" s="11">
        <v>46041</v>
      </c>
      <c r="AA672">
        <v>3</v>
      </c>
      <c r="AB672" s="12">
        <v>0.62291666666666667</v>
      </c>
      <c r="AC672" t="s">
        <v>720</v>
      </c>
      <c r="AD672" t="s">
        <v>720</v>
      </c>
      <c r="AE672" t="s">
        <v>720</v>
      </c>
    </row>
    <row r="673" spans="1:31">
      <c r="A673" t="s">
        <v>1343</v>
      </c>
      <c r="C673">
        <v>451</v>
      </c>
      <c r="D673" t="s">
        <v>3932</v>
      </c>
      <c r="E673" s="11">
        <v>46034</v>
      </c>
      <c r="F673" t="s">
        <v>3933</v>
      </c>
      <c r="G673" t="s">
        <v>45</v>
      </c>
      <c r="J673" t="s">
        <v>720</v>
      </c>
      <c r="K673" t="s">
        <v>3934</v>
      </c>
      <c r="L673" t="s">
        <v>46</v>
      </c>
      <c r="M673" t="s">
        <v>100</v>
      </c>
      <c r="N673" t="s">
        <v>3935</v>
      </c>
      <c r="O673" t="s">
        <v>3936</v>
      </c>
      <c r="P673" s="46" t="str" cm="1">
        <f t="array" aca="1" ref="P673" ca="1">IFERROR(_xlfn.XLOOKUP(tblPedidos[[#This Row],[id_dropi]],tblNotas[[#This Row],[id__dropi]],tblNotas[[#This Row],[Notas Manuales]], “”, 0),"")</f>
        <v/>
      </c>
      <c r="Q673" t="s">
        <v>3937</v>
      </c>
      <c r="R673" t="s">
        <v>3149</v>
      </c>
      <c r="S673">
        <v>12229.5</v>
      </c>
      <c r="T673">
        <v>-17670.5</v>
      </c>
      <c r="U673" cm="1">
        <f t="array" ref="U673">IFERROR(_xlfn.IFS(tblPedidos[[#This Row],[estado_operativo]]="ENTREGADO",tblPedidos[[#This Row],[ganancia_calc]],tblPedidos[[#This Row],[estado_operativo]]="DEVOLUCION",tblPedidos[[#This Row],[costo_devolucion_estimado]]),0)</f>
        <v>12229.5</v>
      </c>
      <c r="V673">
        <v>73377</v>
      </c>
      <c r="W673">
        <v>54900</v>
      </c>
      <c r="X673">
        <v>17670.5</v>
      </c>
      <c r="Y673">
        <v>25000</v>
      </c>
      <c r="Z673" s="11">
        <v>46037</v>
      </c>
      <c r="AA673">
        <v>7</v>
      </c>
      <c r="AB673" s="12">
        <v>0.83888888888888891</v>
      </c>
      <c r="AC673" t="s">
        <v>720</v>
      </c>
      <c r="AD673" t="s">
        <v>720</v>
      </c>
      <c r="AE673" t="s">
        <v>720</v>
      </c>
    </row>
    <row r="674" spans="1:31">
      <c r="A674" t="s">
        <v>1343</v>
      </c>
      <c r="C674">
        <v>449</v>
      </c>
      <c r="D674" t="s">
        <v>3938</v>
      </c>
      <c r="E674" s="11">
        <v>46034</v>
      </c>
      <c r="F674" t="s">
        <v>3939</v>
      </c>
      <c r="G674" t="s">
        <v>45</v>
      </c>
      <c r="J674" t="s">
        <v>720</v>
      </c>
      <c r="K674" t="s">
        <v>3940</v>
      </c>
      <c r="L674" t="s">
        <v>1003</v>
      </c>
      <c r="M674" t="s">
        <v>1823</v>
      </c>
      <c r="N674" t="s">
        <v>3941</v>
      </c>
      <c r="O674" t="s">
        <v>3942</v>
      </c>
      <c r="P674" s="46" t="str" cm="1">
        <f t="array" aca="1" ref="P674" ca="1">IFERROR(_xlfn.XLOOKUP(tblPedidos[[#This Row],[id_dropi]],tblNotas[[#This Row],[id__dropi]],tblNotas[[#This Row],[Notas Manuales]], “”, 0),"")</f>
        <v/>
      </c>
      <c r="R674" t="s">
        <v>3014</v>
      </c>
      <c r="S674">
        <v>22829.5</v>
      </c>
      <c r="T674">
        <v>-17670.5</v>
      </c>
      <c r="U674" cm="1">
        <f t="array" ref="U674">IFERROR(_xlfn.IFS(tblPedidos[[#This Row],[estado_operativo]]="ENTREGADO",tblPedidos[[#This Row],[ganancia_calc]],tblPedidos[[#This Row],[estado_operativo]]="DEVOLUCION",tblPedidos[[#This Row],[costo_devolucion_estimado]]),0)</f>
        <v>22829.5</v>
      </c>
      <c r="V674">
        <v>136977</v>
      </c>
      <c r="W674">
        <v>54900</v>
      </c>
      <c r="X674">
        <v>17670.5</v>
      </c>
      <c r="Y674">
        <v>14400</v>
      </c>
      <c r="Z674" s="11">
        <v>46037</v>
      </c>
      <c r="AA674">
        <v>7</v>
      </c>
      <c r="AB674" s="12">
        <v>0.75555555555555554</v>
      </c>
      <c r="AC674" t="s">
        <v>720</v>
      </c>
      <c r="AD674" t="s">
        <v>720</v>
      </c>
      <c r="AE674" t="s">
        <v>720</v>
      </c>
    </row>
    <row r="675" spans="1:31">
      <c r="A675" t="s">
        <v>33</v>
      </c>
      <c r="C675">
        <v>450</v>
      </c>
      <c r="D675" t="s">
        <v>3943</v>
      </c>
      <c r="E675" s="11">
        <v>46034</v>
      </c>
      <c r="F675" t="s">
        <v>3944</v>
      </c>
      <c r="G675" t="s">
        <v>36</v>
      </c>
      <c r="J675" t="s">
        <v>750</v>
      </c>
      <c r="K675" t="s">
        <v>3945</v>
      </c>
      <c r="L675" t="s">
        <v>38</v>
      </c>
      <c r="M675" t="s">
        <v>39</v>
      </c>
      <c r="N675" t="s">
        <v>3946</v>
      </c>
      <c r="O675" t="s">
        <v>3947</v>
      </c>
      <c r="P675" s="46" t="str" cm="1">
        <f t="array" aca="1" ref="P675" ca="1">IFERROR(_xlfn.XLOOKUP(tblPedidos[[#This Row],[id_dropi]],tblNotas[[#This Row],[id__dropi]],tblNotas[[#This Row],[Notas Manuales]], “”, 0),"")</f>
        <v/>
      </c>
      <c r="R675" t="s">
        <v>3033</v>
      </c>
      <c r="S675">
        <v>19686.5</v>
      </c>
      <c r="T675">
        <v>-12170.800000000001</v>
      </c>
      <c r="U675" cm="1">
        <f t="array" ref="U675">IFERROR(_xlfn.IFS(tblPedidos[[#This Row],[estado_operativo]]="ENTREGADO",tblPedidos[[#This Row],[ganancia_calc]],tblPedidos[[#This Row],[estado_operativo]]="DEVOLUCION",tblPedidos[[#This Row],[costo_devolucion_estimado]]),0)</f>
        <v>0</v>
      </c>
      <c r="V675">
        <v>0</v>
      </c>
      <c r="W675">
        <v>59900</v>
      </c>
      <c r="X675">
        <v>15213.5</v>
      </c>
      <c r="Y675">
        <v>25000</v>
      </c>
      <c r="Z675" s="11">
        <v>46036</v>
      </c>
      <c r="AA675">
        <v>8</v>
      </c>
      <c r="AB675" s="12">
        <v>0.57986111111111116</v>
      </c>
      <c r="AC675" t="s">
        <v>788</v>
      </c>
      <c r="AD675" t="s">
        <v>1027</v>
      </c>
      <c r="AE675" t="s">
        <v>750</v>
      </c>
    </row>
    <row r="676" spans="1:31">
      <c r="A676" t="s">
        <v>1343</v>
      </c>
      <c r="C676">
        <v>457</v>
      </c>
      <c r="D676" t="s">
        <v>3948</v>
      </c>
      <c r="E676" s="11">
        <v>46034</v>
      </c>
      <c r="F676" t="s">
        <v>3949</v>
      </c>
      <c r="G676" t="s">
        <v>45</v>
      </c>
      <c r="J676" t="s">
        <v>720</v>
      </c>
      <c r="K676" t="s">
        <v>3950</v>
      </c>
      <c r="L676" t="s">
        <v>427</v>
      </c>
      <c r="M676" t="s">
        <v>434</v>
      </c>
      <c r="N676" t="s">
        <v>435</v>
      </c>
      <c r="O676" t="s">
        <v>3951</v>
      </c>
      <c r="P676" s="46" t="str" cm="1">
        <f t="array" aca="1" ref="P676" ca="1">IFERROR(_xlfn.XLOOKUP(tblPedidos[[#This Row],[id_dropi]],tblNotas[[#This Row],[id__dropi]],tblNotas[[#This Row],[Notas Manuales]], “”, 0),"")</f>
        <v/>
      </c>
      <c r="Q676" t="s">
        <v>50</v>
      </c>
      <c r="R676" t="s">
        <v>3200</v>
      </c>
      <c r="S676">
        <v>27529.5</v>
      </c>
      <c r="T676">
        <v>-18570.5</v>
      </c>
      <c r="U676" cm="1">
        <f t="array" ref="U676">IFERROR(_xlfn.IFS(tblPedidos[[#This Row],[estado_operativo]]="ENTREGADO",tblPedidos[[#This Row],[ganancia_calc]],tblPedidos[[#This Row],[estado_operativo]]="DEVOLUCION",tblPedidos[[#This Row],[costo_devolucion_estimado]]),0)</f>
        <v>27529.5</v>
      </c>
      <c r="V676">
        <v>137647.5</v>
      </c>
      <c r="W676">
        <v>74900</v>
      </c>
      <c r="X676">
        <v>18570.5</v>
      </c>
      <c r="Y676">
        <v>28800</v>
      </c>
      <c r="Z676" s="11">
        <v>46038</v>
      </c>
      <c r="AA676">
        <v>6</v>
      </c>
      <c r="AB676" s="12">
        <v>0.67847222222222225</v>
      </c>
      <c r="AC676" t="s">
        <v>720</v>
      </c>
      <c r="AD676" t="s">
        <v>720</v>
      </c>
      <c r="AE676" t="s">
        <v>720</v>
      </c>
    </row>
    <row r="677" spans="1:31">
      <c r="A677" t="s">
        <v>1343</v>
      </c>
      <c r="C677">
        <v>458</v>
      </c>
      <c r="D677" t="s">
        <v>3952</v>
      </c>
      <c r="E677" s="11">
        <v>46034</v>
      </c>
      <c r="F677" t="s">
        <v>3953</v>
      </c>
      <c r="G677" t="s">
        <v>45</v>
      </c>
      <c r="J677" t="s">
        <v>720</v>
      </c>
      <c r="K677" t="s">
        <v>3954</v>
      </c>
      <c r="L677" t="s">
        <v>545</v>
      </c>
      <c r="M677" t="s">
        <v>1428</v>
      </c>
      <c r="N677" t="s">
        <v>3955</v>
      </c>
      <c r="O677" t="s">
        <v>3956</v>
      </c>
      <c r="P677" s="46" t="str" cm="1">
        <f t="array" aca="1" ref="P677" ca="1">IFERROR(_xlfn.XLOOKUP(tblPedidos[[#This Row],[id_dropi]],tblNotas[[#This Row],[id__dropi]],tblNotas[[#This Row],[Notas Manuales]], “”, 0),"")</f>
        <v/>
      </c>
      <c r="R677" t="s">
        <v>2983</v>
      </c>
      <c r="S677">
        <v>28104.5</v>
      </c>
      <c r="T677">
        <v>-18345.5</v>
      </c>
      <c r="U677" cm="1">
        <f t="array" ref="U677">IFERROR(_xlfn.IFS(tblPedidos[[#This Row],[estado_operativo]]="ENTREGADO",tblPedidos[[#This Row],[ganancia_calc]],tblPedidos[[#This Row],[estado_operativo]]="DEVOLUCION",tblPedidos[[#This Row],[costo_devolucion_estimado]]),0)</f>
        <v>28104.5</v>
      </c>
      <c r="V677">
        <v>140522.5</v>
      </c>
      <c r="W677">
        <v>69900</v>
      </c>
      <c r="X677">
        <v>18345.5</v>
      </c>
      <c r="Y677">
        <v>23450</v>
      </c>
      <c r="Z677" s="11">
        <v>46038</v>
      </c>
      <c r="AA677">
        <v>6</v>
      </c>
      <c r="AB677" s="12">
        <v>0.84513888888888888</v>
      </c>
      <c r="AC677" t="s">
        <v>720</v>
      </c>
      <c r="AD677" t="s">
        <v>720</v>
      </c>
      <c r="AE677" t="s">
        <v>720</v>
      </c>
    </row>
    <row r="678" spans="1:31">
      <c r="A678" t="s">
        <v>1343</v>
      </c>
      <c r="C678">
        <v>456</v>
      </c>
      <c r="D678" t="s">
        <v>3957</v>
      </c>
      <c r="E678" s="11">
        <v>46034</v>
      </c>
      <c r="F678" t="s">
        <v>3958</v>
      </c>
      <c r="G678" t="s">
        <v>45</v>
      </c>
      <c r="J678" t="s">
        <v>720</v>
      </c>
      <c r="K678" t="s">
        <v>3959</v>
      </c>
      <c r="L678" t="s">
        <v>46</v>
      </c>
      <c r="M678" t="s">
        <v>100</v>
      </c>
      <c r="N678" t="s">
        <v>3960</v>
      </c>
      <c r="O678" t="s">
        <v>3961</v>
      </c>
      <c r="P678" s="46" t="str" cm="1">
        <f t="array" aca="1" ref="P678" ca="1">IFERROR(_xlfn.XLOOKUP(tblPedidos[[#This Row],[id_dropi]],tblNotas[[#This Row],[id__dropi]],tblNotas[[#This Row],[Notas Manuales]], “”, 0),"")</f>
        <v/>
      </c>
      <c r="R678" t="s">
        <v>3033</v>
      </c>
      <c r="S678">
        <v>22954.5</v>
      </c>
      <c r="T678">
        <v>-11945.5</v>
      </c>
      <c r="U678" cm="1">
        <f t="array" ref="U678">IFERROR(_xlfn.IFS(tblPedidos[[#This Row],[estado_operativo]]="ENTREGADO",tblPedidos[[#This Row],[ganancia_calc]],tblPedidos[[#This Row],[estado_operativo]]="DEVOLUCION",tblPedidos[[#This Row],[costo_devolucion_estimado]]),0)</f>
        <v>22954.5</v>
      </c>
      <c r="V678">
        <v>137727</v>
      </c>
      <c r="W678">
        <v>59900</v>
      </c>
      <c r="X678">
        <v>11945.5</v>
      </c>
      <c r="Y678">
        <v>25000</v>
      </c>
      <c r="Z678" s="11">
        <v>46036</v>
      </c>
      <c r="AA678">
        <v>8</v>
      </c>
      <c r="AB678" s="12">
        <v>0.67291666666666672</v>
      </c>
      <c r="AC678" t="s">
        <v>720</v>
      </c>
      <c r="AD678" t="s">
        <v>720</v>
      </c>
      <c r="AE678" t="s">
        <v>720</v>
      </c>
    </row>
    <row r="679" spans="1:31">
      <c r="A679" t="s">
        <v>1343</v>
      </c>
      <c r="C679">
        <v>454</v>
      </c>
      <c r="D679" t="s">
        <v>3962</v>
      </c>
      <c r="E679" s="11">
        <v>46034</v>
      </c>
      <c r="F679" t="s">
        <v>3963</v>
      </c>
      <c r="G679" t="s">
        <v>45</v>
      </c>
      <c r="J679" t="s">
        <v>720</v>
      </c>
      <c r="K679" t="s">
        <v>3964</v>
      </c>
      <c r="L679" t="s">
        <v>166</v>
      </c>
      <c r="M679" t="s">
        <v>468</v>
      </c>
      <c r="N679" t="s">
        <v>3965</v>
      </c>
      <c r="O679" t="s">
        <v>3966</v>
      </c>
      <c r="P679" s="46" t="str" cm="1">
        <f t="array" aca="1" ref="P679" ca="1">IFERROR(_xlfn.XLOOKUP(tblPedidos[[#This Row],[id_dropi]],tblNotas[[#This Row],[id__dropi]],tblNotas[[#This Row],[Notas Manuales]], “”, 0),"")</f>
        <v/>
      </c>
      <c r="Q679" t="s">
        <v>3967</v>
      </c>
      <c r="R679" t="s">
        <v>3027</v>
      </c>
      <c r="S679">
        <v>20654.5</v>
      </c>
      <c r="T679">
        <v>-19245.5</v>
      </c>
      <c r="U679" cm="1">
        <f t="array" ref="U679">IFERROR(_xlfn.IFS(tblPedidos[[#This Row],[estado_operativo]]="ENTREGADO",tblPedidos[[#This Row],[ganancia_calc]],tblPedidos[[#This Row],[estado_operativo]]="DEVOLUCION",tblPedidos[[#This Row],[costo_devolucion_estimado]]),0)</f>
        <v>20654.5</v>
      </c>
      <c r="V679">
        <v>103272.5</v>
      </c>
      <c r="W679">
        <v>89900</v>
      </c>
      <c r="X679">
        <v>19245.5</v>
      </c>
      <c r="Y679">
        <v>50000</v>
      </c>
      <c r="Z679" s="11">
        <v>46038</v>
      </c>
      <c r="AA679">
        <v>6</v>
      </c>
      <c r="AB679" s="12">
        <v>0.75763888888888886</v>
      </c>
      <c r="AC679" t="s">
        <v>720</v>
      </c>
      <c r="AD679" t="s">
        <v>720</v>
      </c>
      <c r="AE679" t="s">
        <v>720</v>
      </c>
    </row>
    <row r="680" spans="1:31">
      <c r="A680" t="s">
        <v>1343</v>
      </c>
      <c r="C680">
        <v>455</v>
      </c>
      <c r="D680" t="s">
        <v>3968</v>
      </c>
      <c r="E680" s="11">
        <v>46034</v>
      </c>
      <c r="F680" t="s">
        <v>3969</v>
      </c>
      <c r="G680" t="s">
        <v>45</v>
      </c>
      <c r="J680" t="s">
        <v>720</v>
      </c>
      <c r="K680" t="s">
        <v>3970</v>
      </c>
      <c r="L680" t="s">
        <v>38</v>
      </c>
      <c r="M680" t="s">
        <v>3971</v>
      </c>
      <c r="N680" t="s">
        <v>3972</v>
      </c>
      <c r="O680" t="s">
        <v>3973</v>
      </c>
      <c r="P680" s="46" t="str" cm="1">
        <f t="array" aca="1" ref="P680" ca="1">IFERROR(_xlfn.XLOOKUP(tblPedidos[[#This Row],[id_dropi]],tblNotas[[#This Row],[id__dropi]],tblNotas[[#This Row],[Notas Manuales]], “”, 0),"")</f>
        <v/>
      </c>
      <c r="Q680" t="s">
        <v>50</v>
      </c>
      <c r="R680" t="s">
        <v>3033</v>
      </c>
      <c r="S680">
        <v>17004.5</v>
      </c>
      <c r="T680">
        <v>-17895.5</v>
      </c>
      <c r="U680" cm="1">
        <f t="array" ref="U680">IFERROR(_xlfn.IFS(tblPedidos[[#This Row],[estado_operativo]]="ENTREGADO",tblPedidos[[#This Row],[ganancia_calc]],tblPedidos[[#This Row],[estado_operativo]]="DEVOLUCION",tblPedidos[[#This Row],[costo_devolucion_estimado]]),0)</f>
        <v>17004.5</v>
      </c>
      <c r="V680">
        <v>17004.5</v>
      </c>
      <c r="W680">
        <v>59900</v>
      </c>
      <c r="X680">
        <v>17895.5</v>
      </c>
      <c r="Y680">
        <v>25000</v>
      </c>
      <c r="Z680" s="11">
        <v>46042</v>
      </c>
      <c r="AA680">
        <v>2</v>
      </c>
      <c r="AB680" s="12">
        <v>5.6250000000000001E-2</v>
      </c>
      <c r="AC680" t="s">
        <v>720</v>
      </c>
      <c r="AD680" t="s">
        <v>720</v>
      </c>
      <c r="AE680" t="s">
        <v>720</v>
      </c>
    </row>
    <row r="681" spans="1:31">
      <c r="A681" t="s">
        <v>1343</v>
      </c>
      <c r="C681">
        <v>448</v>
      </c>
      <c r="D681" t="s">
        <v>3974</v>
      </c>
      <c r="E681" s="11">
        <v>46034</v>
      </c>
      <c r="F681" t="s">
        <v>3975</v>
      </c>
      <c r="G681" t="s">
        <v>45</v>
      </c>
      <c r="J681" t="s">
        <v>720</v>
      </c>
      <c r="K681" t="s">
        <v>3976</v>
      </c>
      <c r="L681" t="s">
        <v>328</v>
      </c>
      <c r="M681" t="s">
        <v>3977</v>
      </c>
      <c r="N681" t="s">
        <v>3978</v>
      </c>
      <c r="O681" t="s">
        <v>3979</v>
      </c>
      <c r="P681" s="46" t="str" cm="1">
        <f t="array" aca="1" ref="P681" ca="1">IFERROR(_xlfn.XLOOKUP(tblPedidos[[#This Row],[id_dropi]],tblNotas[[#This Row],[id__dropi]],tblNotas[[#This Row],[Notas Manuales]], “”, 0),"")</f>
        <v/>
      </c>
      <c r="R681" t="s">
        <v>3033</v>
      </c>
      <c r="S681">
        <v>17004.5</v>
      </c>
      <c r="T681">
        <v>-17895.5</v>
      </c>
      <c r="U681" cm="1">
        <f t="array" ref="U681">IFERROR(_xlfn.IFS(tblPedidos[[#This Row],[estado_operativo]]="ENTREGADO",tblPedidos[[#This Row],[ganancia_calc]],tblPedidos[[#This Row],[estado_operativo]]="DEVOLUCION",tblPedidos[[#This Row],[costo_devolucion_estimado]]),0)</f>
        <v>17004.5</v>
      </c>
      <c r="V681">
        <v>102027</v>
      </c>
      <c r="W681">
        <v>59900</v>
      </c>
      <c r="X681">
        <v>17895.5</v>
      </c>
      <c r="Y681">
        <v>25000</v>
      </c>
      <c r="Z681" s="11">
        <v>46037</v>
      </c>
      <c r="AA681">
        <v>7</v>
      </c>
      <c r="AB681" s="12">
        <v>0.7631944444444444</v>
      </c>
      <c r="AC681" t="s">
        <v>720</v>
      </c>
      <c r="AD681" t="s">
        <v>720</v>
      </c>
      <c r="AE681" t="s">
        <v>720</v>
      </c>
    </row>
    <row r="682" spans="1:31">
      <c r="A682" t="s">
        <v>33</v>
      </c>
      <c r="C682">
        <v>441</v>
      </c>
      <c r="D682" t="s">
        <v>3980</v>
      </c>
      <c r="E682" s="11">
        <v>46034</v>
      </c>
      <c r="F682" t="s">
        <v>3981</v>
      </c>
      <c r="G682" t="s">
        <v>45</v>
      </c>
      <c r="J682" t="s">
        <v>1371</v>
      </c>
      <c r="K682" t="s">
        <v>3982</v>
      </c>
      <c r="L682" t="s">
        <v>125</v>
      </c>
      <c r="M682" t="s">
        <v>3983</v>
      </c>
      <c r="N682" t="s">
        <v>3984</v>
      </c>
      <c r="O682" t="s">
        <v>3985</v>
      </c>
      <c r="P682" s="46" t="str" cm="1">
        <f t="array" aca="1" ref="P682" ca="1">IFERROR(_xlfn.XLOOKUP(tblPedidos[[#This Row],[id_dropi]],tblNotas[[#This Row],[id__dropi]],tblNotas[[#This Row],[Notas Manuales]], “”, 0),"")</f>
        <v/>
      </c>
      <c r="Q682" t="s">
        <v>50</v>
      </c>
      <c r="R682" t="s">
        <v>3014</v>
      </c>
      <c r="S682">
        <v>22829.5</v>
      </c>
      <c r="T682">
        <v>-17670.5</v>
      </c>
      <c r="U682" cm="1">
        <f t="array" ref="U682">IFERROR(_xlfn.IFS(tblPedidos[[#This Row],[estado_operativo]]="ENTREGADO",tblPedidos[[#This Row],[ganancia_calc]],tblPedidos[[#This Row],[estado_operativo]]="DEVOLUCION",tblPedidos[[#This Row],[costo_devolucion_estimado]]),0)</f>
        <v>0</v>
      </c>
      <c r="V682">
        <v>0</v>
      </c>
      <c r="W682">
        <v>54900</v>
      </c>
      <c r="X682">
        <v>17670.5</v>
      </c>
      <c r="Y682">
        <v>14400</v>
      </c>
      <c r="Z682" s="11">
        <v>46043</v>
      </c>
      <c r="AA682">
        <v>1</v>
      </c>
      <c r="AB682" s="12">
        <v>0.43472222222222223</v>
      </c>
      <c r="AC682" t="s">
        <v>982</v>
      </c>
      <c r="AD682" t="s">
        <v>982</v>
      </c>
      <c r="AE682" t="s">
        <v>1371</v>
      </c>
    </row>
    <row r="683" spans="1:31">
      <c r="A683" t="s">
        <v>1343</v>
      </c>
      <c r="C683">
        <v>442</v>
      </c>
      <c r="D683" t="s">
        <v>3986</v>
      </c>
      <c r="E683" s="11">
        <v>46034</v>
      </c>
      <c r="F683" t="s">
        <v>3987</v>
      </c>
      <c r="G683" t="s">
        <v>45</v>
      </c>
      <c r="J683" t="s">
        <v>720</v>
      </c>
      <c r="K683" t="s">
        <v>3988</v>
      </c>
      <c r="L683" t="s">
        <v>54</v>
      </c>
      <c r="M683" t="s">
        <v>3989</v>
      </c>
      <c r="N683" t="s">
        <v>3990</v>
      </c>
      <c r="O683" t="s">
        <v>3991</v>
      </c>
      <c r="P683" s="46" t="str" cm="1">
        <f t="array" aca="1" ref="P683" ca="1">IFERROR(_xlfn.XLOOKUP(tblPedidos[[#This Row],[id_dropi]],tblNotas[[#This Row],[id__dropi]],tblNotas[[#This Row],[Notas Manuales]], “”, 0),"")</f>
        <v/>
      </c>
      <c r="Q683" t="s">
        <v>3992</v>
      </c>
      <c r="R683" t="s">
        <v>3027</v>
      </c>
      <c r="S683">
        <v>20654.5</v>
      </c>
      <c r="T683">
        <v>-19245.5</v>
      </c>
      <c r="U683" cm="1">
        <f t="array" ref="U683">IFERROR(_xlfn.IFS(tblPedidos[[#This Row],[estado_operativo]]="ENTREGADO",tblPedidos[[#This Row],[ganancia_calc]],tblPedidos[[#This Row],[estado_operativo]]="DEVOLUCION",tblPedidos[[#This Row],[costo_devolucion_estimado]]),0)</f>
        <v>20654.5</v>
      </c>
      <c r="V683">
        <v>61963.5</v>
      </c>
      <c r="W683">
        <v>89900</v>
      </c>
      <c r="X683">
        <v>19245.5</v>
      </c>
      <c r="Y683">
        <v>50000</v>
      </c>
      <c r="Z683" s="11">
        <v>46041</v>
      </c>
      <c r="AA683">
        <v>3</v>
      </c>
      <c r="AB683" s="12">
        <v>0.7583333333333333</v>
      </c>
      <c r="AC683" t="s">
        <v>720</v>
      </c>
      <c r="AD683" t="s">
        <v>720</v>
      </c>
      <c r="AE683" t="s">
        <v>720</v>
      </c>
    </row>
    <row r="684" spans="1:31">
      <c r="A684" t="s">
        <v>1343</v>
      </c>
      <c r="C684">
        <v>440</v>
      </c>
      <c r="D684" t="s">
        <v>3993</v>
      </c>
      <c r="E684" s="11">
        <v>46034</v>
      </c>
      <c r="F684" t="s">
        <v>3994</v>
      </c>
      <c r="G684" t="s">
        <v>45</v>
      </c>
      <c r="J684" t="s">
        <v>720</v>
      </c>
      <c r="K684" t="s">
        <v>3995</v>
      </c>
      <c r="L684" t="s">
        <v>46</v>
      </c>
      <c r="M684" t="s">
        <v>3996</v>
      </c>
      <c r="N684" t="s">
        <v>3997</v>
      </c>
      <c r="O684" t="s">
        <v>3998</v>
      </c>
      <c r="P684" s="46" t="str" cm="1">
        <f t="array" aca="1" ref="P684" ca="1">IFERROR(_xlfn.XLOOKUP(tblPedidos[[#This Row],[id_dropi]],tblNotas[[#This Row],[id__dropi]],tblNotas[[#This Row],[Notas Manuales]], “”, 0),"")</f>
        <v/>
      </c>
      <c r="Q684" t="s">
        <v>50</v>
      </c>
      <c r="R684" t="s">
        <v>3033</v>
      </c>
      <c r="S684">
        <v>21554.5</v>
      </c>
      <c r="T684">
        <v>-13345.5</v>
      </c>
      <c r="U684" cm="1">
        <f t="array" ref="U684">IFERROR(_xlfn.IFS(tblPedidos[[#This Row],[estado_operativo]]="ENTREGADO",tblPedidos[[#This Row],[ganancia_calc]],tblPedidos[[#This Row],[estado_operativo]]="DEVOLUCION",tblPedidos[[#This Row],[costo_devolucion_estimado]]),0)</f>
        <v>21554.5</v>
      </c>
      <c r="V684">
        <v>64663.5</v>
      </c>
      <c r="W684">
        <v>59900</v>
      </c>
      <c r="X684">
        <v>13345.5</v>
      </c>
      <c r="Y684">
        <v>25000</v>
      </c>
      <c r="Z684" s="11">
        <v>46041</v>
      </c>
      <c r="AA684">
        <v>3</v>
      </c>
      <c r="AB684" s="12">
        <v>0.43888888888888888</v>
      </c>
      <c r="AC684" t="s">
        <v>720</v>
      </c>
      <c r="AD684" t="s">
        <v>720</v>
      </c>
      <c r="AE684" t="s">
        <v>720</v>
      </c>
    </row>
    <row r="685" spans="1:31">
      <c r="A685" t="s">
        <v>1343</v>
      </c>
      <c r="C685">
        <v>438</v>
      </c>
      <c r="D685" t="s">
        <v>3999</v>
      </c>
      <c r="E685" s="11">
        <v>46034</v>
      </c>
      <c r="F685" t="s">
        <v>4000</v>
      </c>
      <c r="G685" t="s">
        <v>36</v>
      </c>
      <c r="J685" t="s">
        <v>720</v>
      </c>
      <c r="K685" t="s">
        <v>4001</v>
      </c>
      <c r="L685" t="s">
        <v>590</v>
      </c>
      <c r="M685" t="s">
        <v>2769</v>
      </c>
      <c r="N685" t="s">
        <v>4002</v>
      </c>
      <c r="O685" t="s">
        <v>4003</v>
      </c>
      <c r="P685" s="46" t="str" cm="1">
        <f t="array" aca="1" ref="P685" ca="1">IFERROR(_xlfn.XLOOKUP(tblPedidos[[#This Row],[id_dropi]],tblNotas[[#This Row],[id__dropi]],tblNotas[[#This Row],[Notas Manuales]], “”, 0),"")</f>
        <v/>
      </c>
      <c r="R685" t="s">
        <v>3033</v>
      </c>
      <c r="S685">
        <v>19686.5</v>
      </c>
      <c r="T685">
        <v>-12170.800000000001</v>
      </c>
      <c r="U685" cm="1">
        <f t="array" ref="U685">IFERROR(_xlfn.IFS(tblPedidos[[#This Row],[estado_operativo]]="ENTREGADO",tblPedidos[[#This Row],[ganancia_calc]],tblPedidos[[#This Row],[estado_operativo]]="DEVOLUCION",tblPedidos[[#This Row],[costo_devolucion_estimado]]),0)</f>
        <v>19686.5</v>
      </c>
      <c r="V685">
        <v>19686.5</v>
      </c>
      <c r="W685">
        <v>59900</v>
      </c>
      <c r="X685">
        <v>15213.5</v>
      </c>
      <c r="Y685">
        <v>25000</v>
      </c>
      <c r="Z685" s="11">
        <v>46036</v>
      </c>
      <c r="AA685">
        <v>8</v>
      </c>
      <c r="AB685" s="12">
        <v>0.57986111111111116</v>
      </c>
      <c r="AC685" t="s">
        <v>788</v>
      </c>
      <c r="AD685" t="s">
        <v>720</v>
      </c>
      <c r="AE685" t="s">
        <v>720</v>
      </c>
    </row>
    <row r="686" spans="1:31">
      <c r="A686" t="s">
        <v>1343</v>
      </c>
      <c r="C686">
        <v>439</v>
      </c>
      <c r="D686" t="s">
        <v>4004</v>
      </c>
      <c r="E686" s="11">
        <v>46034</v>
      </c>
      <c r="F686" t="s">
        <v>4005</v>
      </c>
      <c r="G686" t="s">
        <v>45</v>
      </c>
      <c r="J686" t="s">
        <v>720</v>
      </c>
      <c r="K686" t="s">
        <v>4006</v>
      </c>
      <c r="L686" t="s">
        <v>178</v>
      </c>
      <c r="M686" t="s">
        <v>768</v>
      </c>
      <c r="N686" t="s">
        <v>1065</v>
      </c>
      <c r="O686" t="s">
        <v>4007</v>
      </c>
      <c r="P686" s="46" t="str" cm="1">
        <f t="array" aca="1" ref="P686" ca="1">IFERROR(_xlfn.XLOOKUP(tblPedidos[[#This Row],[id_dropi]],tblNotas[[#This Row],[id__dropi]],tblNotas[[#This Row],[Notas Manuales]], “”, 0),"")</f>
        <v/>
      </c>
      <c r="Q686" t="s">
        <v>50</v>
      </c>
      <c r="R686" t="s">
        <v>3033</v>
      </c>
      <c r="S686">
        <v>17004.5</v>
      </c>
      <c r="T686">
        <v>-17895.5</v>
      </c>
      <c r="U686" cm="1">
        <f t="array" ref="U686">IFERROR(_xlfn.IFS(tblPedidos[[#This Row],[estado_operativo]]="ENTREGADO",tblPedidos[[#This Row],[ganancia_calc]],tblPedidos[[#This Row],[estado_operativo]]="DEVOLUCION",tblPedidos[[#This Row],[costo_devolucion_estimado]]),0)</f>
        <v>17004.5</v>
      </c>
      <c r="V686">
        <v>85022.5</v>
      </c>
      <c r="W686">
        <v>59900</v>
      </c>
      <c r="X686">
        <v>17895.5</v>
      </c>
      <c r="Y686">
        <v>25000</v>
      </c>
      <c r="Z686" s="11">
        <v>46038</v>
      </c>
      <c r="AA686">
        <v>6</v>
      </c>
      <c r="AB686" s="12">
        <v>0.67638888888888893</v>
      </c>
      <c r="AC686" t="s">
        <v>720</v>
      </c>
      <c r="AD686" t="s">
        <v>720</v>
      </c>
      <c r="AE686" t="s">
        <v>720</v>
      </c>
    </row>
    <row r="687" spans="1:31">
      <c r="A687" t="s">
        <v>1343</v>
      </c>
      <c r="C687">
        <v>446</v>
      </c>
      <c r="D687" t="s">
        <v>4008</v>
      </c>
      <c r="E687" s="11">
        <v>46034</v>
      </c>
      <c r="F687" t="s">
        <v>4009</v>
      </c>
      <c r="G687" t="s">
        <v>36</v>
      </c>
      <c r="J687" t="s">
        <v>720</v>
      </c>
      <c r="K687" t="s">
        <v>4010</v>
      </c>
      <c r="L687" t="s">
        <v>54</v>
      </c>
      <c r="M687" t="s">
        <v>373</v>
      </c>
      <c r="N687" t="s">
        <v>4011</v>
      </c>
      <c r="O687" t="s">
        <v>4012</v>
      </c>
      <c r="P687" s="46" t="str" cm="1">
        <f t="array" aca="1" ref="P687" ca="1">IFERROR(_xlfn.XLOOKUP(tblPedidos[[#This Row],[id_dropi]],tblNotas[[#This Row],[id__dropi]],tblNotas[[#This Row],[Notas Manuales]], “”, 0),"")</f>
        <v/>
      </c>
      <c r="Q687" t="s">
        <v>4013</v>
      </c>
      <c r="R687" t="s">
        <v>2983</v>
      </c>
      <c r="S687">
        <v>32946.5</v>
      </c>
      <c r="T687">
        <v>-10802.800000000001</v>
      </c>
      <c r="U687" cm="1">
        <f t="array" ref="U687">IFERROR(_xlfn.IFS(tblPedidos[[#This Row],[estado_operativo]]="ENTREGADO",tblPedidos[[#This Row],[ganancia_calc]],tblPedidos[[#This Row],[estado_operativo]]="DEVOLUCION",tblPedidos[[#This Row],[costo_devolucion_estimado]]),0)</f>
        <v>32946.5</v>
      </c>
      <c r="V687">
        <v>197679</v>
      </c>
      <c r="W687">
        <v>69900</v>
      </c>
      <c r="X687">
        <v>13503.5</v>
      </c>
      <c r="Y687">
        <v>23450</v>
      </c>
      <c r="Z687" s="11">
        <v>46035</v>
      </c>
      <c r="AA687">
        <v>9</v>
      </c>
      <c r="AB687" s="12">
        <v>0.87291666666666667</v>
      </c>
      <c r="AC687" t="s">
        <v>399</v>
      </c>
      <c r="AD687" t="s">
        <v>720</v>
      </c>
      <c r="AE687" t="s">
        <v>720</v>
      </c>
    </row>
    <row r="688" spans="1:31">
      <c r="A688" t="s">
        <v>1343</v>
      </c>
      <c r="C688">
        <v>447</v>
      </c>
      <c r="D688" t="s">
        <v>4014</v>
      </c>
      <c r="E688" s="11">
        <v>46034</v>
      </c>
      <c r="F688" t="s">
        <v>4015</v>
      </c>
      <c r="G688" t="s">
        <v>45</v>
      </c>
      <c r="J688" t="s">
        <v>720</v>
      </c>
      <c r="K688" t="s">
        <v>4016</v>
      </c>
      <c r="L688" t="s">
        <v>234</v>
      </c>
      <c r="M688" t="s">
        <v>4017</v>
      </c>
      <c r="N688" t="s">
        <v>4018</v>
      </c>
      <c r="O688" t="s">
        <v>4019</v>
      </c>
      <c r="P688" s="46" t="str" cm="1">
        <f t="array" aca="1" ref="P688" ca="1">IFERROR(_xlfn.XLOOKUP(tblPedidos[[#This Row],[id_dropi]],tblNotas[[#This Row],[id__dropi]],tblNotas[[#This Row],[Notas Manuales]], “”, 0),"")</f>
        <v/>
      </c>
      <c r="R688" t="s">
        <v>3033</v>
      </c>
      <c r="S688">
        <v>12229.5</v>
      </c>
      <c r="T688">
        <v>-17670.5</v>
      </c>
      <c r="U688" cm="1">
        <f t="array" ref="U688">IFERROR(_xlfn.IFS(tblPedidos[[#This Row],[estado_operativo]]="ENTREGADO",tblPedidos[[#This Row],[ganancia_calc]],tblPedidos[[#This Row],[estado_operativo]]="DEVOLUCION",tblPedidos[[#This Row],[costo_devolucion_estimado]]),0)</f>
        <v>12229.5</v>
      </c>
      <c r="V688">
        <v>73377</v>
      </c>
      <c r="W688">
        <v>54900</v>
      </c>
      <c r="X688">
        <v>17670.5</v>
      </c>
      <c r="Y688">
        <v>25000</v>
      </c>
      <c r="Z688" s="11">
        <v>46037</v>
      </c>
      <c r="AA688">
        <v>7</v>
      </c>
      <c r="AB688" s="12">
        <v>4.9305555555555554E-2</v>
      </c>
      <c r="AC688" t="s">
        <v>720</v>
      </c>
      <c r="AD688" t="s">
        <v>720</v>
      </c>
      <c r="AE688" t="s">
        <v>720</v>
      </c>
    </row>
    <row r="689" spans="1:31">
      <c r="A689" t="s">
        <v>33</v>
      </c>
      <c r="C689">
        <v>445</v>
      </c>
      <c r="D689" t="s">
        <v>4020</v>
      </c>
      <c r="E689" s="11">
        <v>46034</v>
      </c>
      <c r="F689" t="s">
        <v>4021</v>
      </c>
      <c r="G689" t="s">
        <v>45</v>
      </c>
      <c r="J689" t="s">
        <v>720</v>
      </c>
      <c r="K689" t="s">
        <v>4022</v>
      </c>
      <c r="L689" t="s">
        <v>590</v>
      </c>
      <c r="M689" t="s">
        <v>4023</v>
      </c>
      <c r="N689" t="s">
        <v>4024</v>
      </c>
      <c r="O689" t="s">
        <v>4025</v>
      </c>
      <c r="P689" s="46" t="str" cm="1">
        <f t="array" aca="1" ref="P689" ca="1">IFERROR(_xlfn.XLOOKUP(tblPedidos[[#This Row],[id_dropi]],tblNotas[[#This Row],[id__dropi]],tblNotas[[#This Row],[Notas Manuales]], “”, 0),"")</f>
        <v/>
      </c>
      <c r="Q689" t="s">
        <v>50</v>
      </c>
      <c r="R689" t="s">
        <v>3014</v>
      </c>
      <c r="S689">
        <v>22829.5</v>
      </c>
      <c r="T689">
        <v>-17670.5</v>
      </c>
      <c r="U689" cm="1">
        <f t="array" ref="U689">IFERROR(_xlfn.IFS(tblPedidos[[#This Row],[estado_operativo]]="ENTREGADO",tblPedidos[[#This Row],[ganancia_calc]],tblPedidos[[#This Row],[estado_operativo]]="DEVOLUCION",tblPedidos[[#This Row],[costo_devolucion_estimado]]),0)</f>
        <v>22829.5</v>
      </c>
      <c r="V689">
        <v>0</v>
      </c>
      <c r="W689">
        <v>54900</v>
      </c>
      <c r="X689">
        <v>17670.5</v>
      </c>
      <c r="Y689">
        <v>14400</v>
      </c>
      <c r="Z689" s="11">
        <v>46043</v>
      </c>
      <c r="AA689">
        <v>1</v>
      </c>
      <c r="AB689" s="12">
        <v>0.43472222222222223</v>
      </c>
      <c r="AC689" t="s">
        <v>982</v>
      </c>
      <c r="AD689" t="s">
        <v>720</v>
      </c>
      <c r="AE689" t="s">
        <v>720</v>
      </c>
    </row>
    <row r="690" spans="1:31">
      <c r="A690" t="s">
        <v>33</v>
      </c>
      <c r="C690">
        <v>443</v>
      </c>
      <c r="D690" t="s">
        <v>4026</v>
      </c>
      <c r="E690" s="11">
        <v>46034</v>
      </c>
      <c r="F690" t="s">
        <v>4027</v>
      </c>
      <c r="G690" t="s">
        <v>36</v>
      </c>
      <c r="J690" t="s">
        <v>939</v>
      </c>
      <c r="K690" t="s">
        <v>4028</v>
      </c>
      <c r="L690" t="s">
        <v>54</v>
      </c>
      <c r="M690" t="s">
        <v>224</v>
      </c>
      <c r="N690" t="s">
        <v>4029</v>
      </c>
      <c r="O690" t="s">
        <v>4030</v>
      </c>
      <c r="P690" s="46" t="str" cm="1">
        <f t="array" aca="1" ref="P690" ca="1">IFERROR(_xlfn.XLOOKUP(tblPedidos[[#This Row],[id_dropi]],tblNotas[[#This Row],[id__dropi]],tblNotas[[#This Row],[Notas Manuales]], “”, 0),"")</f>
        <v/>
      </c>
      <c r="R690" t="s">
        <v>3033</v>
      </c>
      <c r="S690">
        <v>19686.5</v>
      </c>
      <c r="T690">
        <v>-12170.800000000001</v>
      </c>
      <c r="U690" cm="1">
        <f t="array" ref="U690">IFERROR(_xlfn.IFS(tblPedidos[[#This Row],[estado_operativo]]="ENTREGADO",tblPedidos[[#This Row],[ganancia_calc]],tblPedidos[[#This Row],[estado_operativo]]="DEVOLUCION",tblPedidos[[#This Row],[costo_devolucion_estimado]]),0)</f>
        <v>0</v>
      </c>
      <c r="V690">
        <v>0</v>
      </c>
      <c r="W690">
        <v>59900</v>
      </c>
      <c r="X690">
        <v>15213.5</v>
      </c>
      <c r="Y690">
        <v>25000</v>
      </c>
      <c r="Z690" s="11">
        <v>46036</v>
      </c>
      <c r="AA690">
        <v>8</v>
      </c>
      <c r="AB690" s="12">
        <v>0.57986111111111116</v>
      </c>
      <c r="AC690" t="s">
        <v>788</v>
      </c>
      <c r="AD690" t="s">
        <v>939</v>
      </c>
      <c r="AE690" t="s">
        <v>939</v>
      </c>
    </row>
    <row r="691" spans="1:31">
      <c r="A691" t="s">
        <v>33</v>
      </c>
      <c r="C691">
        <v>444</v>
      </c>
      <c r="D691" t="s">
        <v>4031</v>
      </c>
      <c r="E691" s="11">
        <v>46034</v>
      </c>
      <c r="F691" t="s">
        <v>4032</v>
      </c>
      <c r="G691" t="s">
        <v>36</v>
      </c>
      <c r="J691" t="s">
        <v>939</v>
      </c>
      <c r="K691" t="s">
        <v>4033</v>
      </c>
      <c r="L691" t="s">
        <v>38</v>
      </c>
      <c r="M691" t="s">
        <v>39</v>
      </c>
      <c r="N691" t="s">
        <v>4034</v>
      </c>
      <c r="O691" t="s">
        <v>4035</v>
      </c>
      <c r="P691" s="46" t="str" cm="1">
        <f t="array" aca="1" ref="P691" ca="1">IFERROR(_xlfn.XLOOKUP(tblPedidos[[#This Row],[id_dropi]],tblNotas[[#This Row],[id__dropi]],tblNotas[[#This Row],[Notas Manuales]], “”, 0),"")</f>
        <v/>
      </c>
      <c r="R691" t="s">
        <v>4036</v>
      </c>
      <c r="S691">
        <v>19316.5</v>
      </c>
      <c r="T691">
        <v>-11666.800000000001</v>
      </c>
      <c r="U691" cm="1">
        <f t="array" ref="U691">IFERROR(_xlfn.IFS(tblPedidos[[#This Row],[estado_operativo]]="ENTREGADO",tblPedidos[[#This Row],[ganancia_calc]],tblPedidos[[#This Row],[estado_operativo]]="DEVOLUCION",tblPedidos[[#This Row],[costo_devolucion_estimado]]),0)</f>
        <v>0</v>
      </c>
      <c r="V691">
        <v>0</v>
      </c>
      <c r="W691">
        <v>45900</v>
      </c>
      <c r="X691">
        <v>14583.5</v>
      </c>
      <c r="Y691">
        <v>12000</v>
      </c>
      <c r="Z691" s="11">
        <v>46036</v>
      </c>
      <c r="AA691">
        <v>8</v>
      </c>
      <c r="AB691" s="12">
        <v>0.57986111111111116</v>
      </c>
      <c r="AC691" t="s">
        <v>788</v>
      </c>
      <c r="AD691" t="s">
        <v>939</v>
      </c>
      <c r="AE691" t="s">
        <v>939</v>
      </c>
    </row>
    <row r="692" spans="1:31">
      <c r="A692" t="s">
        <v>33</v>
      </c>
      <c r="C692">
        <v>473</v>
      </c>
      <c r="D692" t="s">
        <v>4037</v>
      </c>
      <c r="E692" s="11">
        <v>46034</v>
      </c>
      <c r="F692" t="s">
        <v>4038</v>
      </c>
      <c r="G692" t="s">
        <v>45</v>
      </c>
      <c r="J692" t="s">
        <v>1371</v>
      </c>
      <c r="K692" t="s">
        <v>4039</v>
      </c>
      <c r="L692" t="s">
        <v>54</v>
      </c>
      <c r="M692" t="s">
        <v>4040</v>
      </c>
      <c r="N692" t="s">
        <v>4041</v>
      </c>
      <c r="O692" t="s">
        <v>4042</v>
      </c>
      <c r="P692" s="46" t="str" cm="1">
        <f t="array" aca="1" ref="P692" ca="1">IFERROR(_xlfn.XLOOKUP(tblPedidos[[#This Row],[id_dropi]],tblNotas[[#This Row],[id__dropi]],tblNotas[[#This Row],[Notas Manuales]], “”, 0),"")</f>
        <v/>
      </c>
      <c r="Q692" t="s">
        <v>50</v>
      </c>
      <c r="R692" t="s">
        <v>3033</v>
      </c>
      <c r="S692">
        <v>17004.5</v>
      </c>
      <c r="T692">
        <v>-17895.5</v>
      </c>
      <c r="U692" cm="1">
        <f t="array" ref="U692">IFERROR(_xlfn.IFS(tblPedidos[[#This Row],[estado_operativo]]="ENTREGADO",tblPedidos[[#This Row],[ganancia_calc]],tblPedidos[[#This Row],[estado_operativo]]="DEVOLUCION",tblPedidos[[#This Row],[costo_devolucion_estimado]]),0)</f>
        <v>0</v>
      </c>
      <c r="V692">
        <v>0</v>
      </c>
      <c r="W692">
        <v>59900</v>
      </c>
      <c r="X692">
        <v>17895.5</v>
      </c>
      <c r="Y692">
        <v>25000</v>
      </c>
      <c r="Z692" s="11">
        <v>46043</v>
      </c>
      <c r="AA692">
        <v>1</v>
      </c>
      <c r="AB692" s="12">
        <v>0.43541666666666667</v>
      </c>
      <c r="AC692" t="s">
        <v>982</v>
      </c>
      <c r="AD692" t="s">
        <v>982</v>
      </c>
      <c r="AE692" t="s">
        <v>1371</v>
      </c>
    </row>
    <row r="693" spans="1:31">
      <c r="A693" t="s">
        <v>1343</v>
      </c>
      <c r="C693">
        <v>474</v>
      </c>
      <c r="D693" t="s">
        <v>4043</v>
      </c>
      <c r="E693" s="11">
        <v>46034</v>
      </c>
      <c r="F693" t="s">
        <v>4044</v>
      </c>
      <c r="G693" t="s">
        <v>45</v>
      </c>
      <c r="J693" t="s">
        <v>720</v>
      </c>
      <c r="K693" t="s">
        <v>4045</v>
      </c>
      <c r="L693" t="s">
        <v>87</v>
      </c>
      <c r="M693" t="s">
        <v>743</v>
      </c>
      <c r="N693" t="s">
        <v>4046</v>
      </c>
      <c r="O693" t="s">
        <v>4047</v>
      </c>
      <c r="P693" s="46" t="str" cm="1">
        <f t="array" aca="1" ref="P693" ca="1">IFERROR(_xlfn.XLOOKUP(tblPedidos[[#This Row],[id_dropi]],tblNotas[[#This Row],[id__dropi]],tblNotas[[#This Row],[Notas Manuales]], “”, 0),"")</f>
        <v/>
      </c>
      <c r="R693" t="s">
        <v>3014</v>
      </c>
      <c r="S693">
        <v>22829.5</v>
      </c>
      <c r="T693">
        <v>-17670.5</v>
      </c>
      <c r="U693" cm="1">
        <f t="array" ref="U693">IFERROR(_xlfn.IFS(tblPedidos[[#This Row],[estado_operativo]]="ENTREGADO",tblPedidos[[#This Row],[ganancia_calc]],tblPedidos[[#This Row],[estado_operativo]]="DEVOLUCION",tblPedidos[[#This Row],[costo_devolucion_estimado]]),0)</f>
        <v>22829.5</v>
      </c>
      <c r="V693">
        <v>114147.5</v>
      </c>
      <c r="W693">
        <v>54900</v>
      </c>
      <c r="X693">
        <v>17670.5</v>
      </c>
      <c r="Y693">
        <v>14400</v>
      </c>
      <c r="Z693" s="11">
        <v>46038</v>
      </c>
      <c r="AA693">
        <v>6</v>
      </c>
      <c r="AB693" s="12">
        <v>0.67152777777777772</v>
      </c>
      <c r="AC693" t="s">
        <v>720</v>
      </c>
      <c r="AD693" t="s">
        <v>720</v>
      </c>
      <c r="AE693" t="s">
        <v>720</v>
      </c>
    </row>
    <row r="694" spans="1:31">
      <c r="A694" t="s">
        <v>1343</v>
      </c>
      <c r="C694">
        <v>472</v>
      </c>
      <c r="D694" t="s">
        <v>4048</v>
      </c>
      <c r="E694" s="11">
        <v>46034</v>
      </c>
      <c r="F694" t="s">
        <v>4049</v>
      </c>
      <c r="G694" t="s">
        <v>36</v>
      </c>
      <c r="J694" t="s">
        <v>1657</v>
      </c>
      <c r="K694" t="s">
        <v>4050</v>
      </c>
      <c r="L694" t="s">
        <v>81</v>
      </c>
      <c r="M694" t="s">
        <v>118</v>
      </c>
      <c r="N694" t="s">
        <v>4051</v>
      </c>
      <c r="O694" t="s">
        <v>4052</v>
      </c>
      <c r="P694" s="46" t="str" cm="1">
        <f t="array" aca="1" ref="P694" ca="1">IFERROR(_xlfn.XLOOKUP(tblPedidos[[#This Row],[id_dropi]],tblNotas[[#This Row],[id__dropi]],tblNotas[[#This Row],[Notas Manuales]], “”, 0),"")</f>
        <v/>
      </c>
      <c r="Q694" t="s">
        <v>4053</v>
      </c>
      <c r="R694" t="s">
        <v>3027</v>
      </c>
      <c r="S694">
        <v>26792.5</v>
      </c>
      <c r="T694">
        <v>-10486</v>
      </c>
      <c r="U694" cm="1">
        <f t="array" ref="U694">IFERROR(_xlfn.IFS(tblPedidos[[#This Row],[estado_operativo]]="ENTREGADO",tblPedidos[[#This Row],[ganancia_calc]],tblPedidos[[#This Row],[estado_operativo]]="DEVOLUCION",tblPedidos[[#This Row],[costo_devolucion_estimado]]),0)</f>
        <v>-10486</v>
      </c>
      <c r="V694">
        <v>-18124</v>
      </c>
      <c r="W694">
        <v>89900</v>
      </c>
      <c r="X694">
        <v>13107.5</v>
      </c>
      <c r="Y694">
        <v>50000</v>
      </c>
      <c r="Z694" s="11">
        <v>46035</v>
      </c>
      <c r="AA694">
        <v>9</v>
      </c>
      <c r="AB694" s="12">
        <v>0.91666666666666663</v>
      </c>
      <c r="AC694" t="s">
        <v>399</v>
      </c>
      <c r="AD694" t="s">
        <v>1657</v>
      </c>
      <c r="AE694" t="s">
        <v>1657</v>
      </c>
    </row>
    <row r="695" spans="1:31">
      <c r="A695" t="s">
        <v>1343</v>
      </c>
      <c r="C695">
        <v>470</v>
      </c>
      <c r="D695" t="s">
        <v>4054</v>
      </c>
      <c r="E695" s="11">
        <v>46034</v>
      </c>
      <c r="F695" t="s">
        <v>4055</v>
      </c>
      <c r="G695" t="s">
        <v>45</v>
      </c>
      <c r="J695" t="s">
        <v>720</v>
      </c>
      <c r="K695" t="s">
        <v>4056</v>
      </c>
      <c r="L695" t="s">
        <v>61</v>
      </c>
      <c r="M695" t="s">
        <v>4057</v>
      </c>
      <c r="N695" t="s">
        <v>4058</v>
      </c>
      <c r="O695" t="s">
        <v>4059</v>
      </c>
      <c r="P695" s="46" t="str" cm="1">
        <f t="array" aca="1" ref="P695" ca="1">IFERROR(_xlfn.XLOOKUP(tblPedidos[[#This Row],[id_dropi]],tblNotas[[#This Row],[id__dropi]],tblNotas[[#This Row],[Notas Manuales]], “”, 0),"")</f>
        <v/>
      </c>
      <c r="Q695" t="s">
        <v>50</v>
      </c>
      <c r="R695" t="s">
        <v>4060</v>
      </c>
      <c r="S695">
        <v>22779.5</v>
      </c>
      <c r="T695">
        <v>-18120.5</v>
      </c>
      <c r="U695" cm="1">
        <f t="array" ref="U695">IFERROR(_xlfn.IFS(tblPedidos[[#This Row],[estado_operativo]]="ENTREGADO",tblPedidos[[#This Row],[ganancia_calc]],tblPedidos[[#This Row],[estado_operativo]]="DEVOLUCION",tblPedidos[[#This Row],[costo_devolucion_estimado]]),0)</f>
        <v>22779.5</v>
      </c>
      <c r="V695">
        <v>136677</v>
      </c>
      <c r="W695">
        <v>64900</v>
      </c>
      <c r="X695">
        <v>18120.5</v>
      </c>
      <c r="Y695">
        <v>24000</v>
      </c>
      <c r="Z695" s="11">
        <v>46037</v>
      </c>
      <c r="AA695">
        <v>7</v>
      </c>
      <c r="AB695" s="12">
        <v>0.75555555555555554</v>
      </c>
      <c r="AC695" t="s">
        <v>720</v>
      </c>
      <c r="AD695" t="s">
        <v>720</v>
      </c>
      <c r="AE695" t="s">
        <v>720</v>
      </c>
    </row>
    <row r="696" spans="1:31">
      <c r="A696" t="s">
        <v>1343</v>
      </c>
      <c r="C696">
        <v>471</v>
      </c>
      <c r="D696" t="s">
        <v>4061</v>
      </c>
      <c r="E696" s="11">
        <v>46034</v>
      </c>
      <c r="F696" t="s">
        <v>4062</v>
      </c>
      <c r="G696" t="s">
        <v>45</v>
      </c>
      <c r="J696" t="s">
        <v>720</v>
      </c>
      <c r="K696" t="s">
        <v>4063</v>
      </c>
      <c r="L696" t="s">
        <v>38</v>
      </c>
      <c r="M696" t="s">
        <v>4064</v>
      </c>
      <c r="N696" t="s">
        <v>4065</v>
      </c>
      <c r="O696" t="s">
        <v>4066</v>
      </c>
      <c r="P696" s="46" t="str" cm="1">
        <f t="array" aca="1" ref="P696" ca="1">IFERROR(_xlfn.XLOOKUP(tblPedidos[[#This Row],[id_dropi]],tblNotas[[#This Row],[id__dropi]],tblNotas[[#This Row],[Notas Manuales]], “”, 0),"")</f>
        <v/>
      </c>
      <c r="Q696" t="s">
        <v>50</v>
      </c>
      <c r="R696" t="s">
        <v>3033</v>
      </c>
      <c r="S696">
        <v>17004.5</v>
      </c>
      <c r="T696">
        <v>-17895.5</v>
      </c>
      <c r="U696" cm="1">
        <f t="array" ref="U696">IFERROR(_xlfn.IFS(tblPedidos[[#This Row],[estado_operativo]]="ENTREGADO",tblPedidos[[#This Row],[ganancia_calc]],tblPedidos[[#This Row],[estado_operativo]]="DEVOLUCION",tblPedidos[[#This Row],[costo_devolucion_estimado]]),0)</f>
        <v>17004.5</v>
      </c>
      <c r="V696">
        <v>102027</v>
      </c>
      <c r="W696">
        <v>59900</v>
      </c>
      <c r="X696">
        <v>17895.5</v>
      </c>
      <c r="Y696">
        <v>25000</v>
      </c>
      <c r="Z696" s="11">
        <v>46037</v>
      </c>
      <c r="AA696">
        <v>7</v>
      </c>
      <c r="AB696" s="12">
        <v>4.9305555555555554E-2</v>
      </c>
      <c r="AC696" t="s">
        <v>720</v>
      </c>
      <c r="AD696" t="s">
        <v>720</v>
      </c>
      <c r="AE696" t="s">
        <v>720</v>
      </c>
    </row>
    <row r="697" spans="1:31">
      <c r="A697" t="s">
        <v>1343</v>
      </c>
      <c r="C697">
        <v>478</v>
      </c>
      <c r="D697" t="s">
        <v>4067</v>
      </c>
      <c r="E697" s="11">
        <v>46034</v>
      </c>
      <c r="F697" t="s">
        <v>4068</v>
      </c>
      <c r="G697" t="s">
        <v>45</v>
      </c>
      <c r="J697" t="s">
        <v>1657</v>
      </c>
      <c r="K697" t="s">
        <v>4069</v>
      </c>
      <c r="L697" t="s">
        <v>1003</v>
      </c>
      <c r="M697" t="s">
        <v>1823</v>
      </c>
      <c r="N697" t="s">
        <v>4070</v>
      </c>
      <c r="O697" t="s">
        <v>4071</v>
      </c>
      <c r="P697" s="46" t="str" cm="1">
        <f t="array" aca="1" ref="P697" ca="1">IFERROR(_xlfn.XLOOKUP(tblPedidos[[#This Row],[id_dropi]],tblNotas[[#This Row],[id__dropi]],tblNotas[[#This Row],[Notas Manuales]], “”, 0),"")</f>
        <v/>
      </c>
      <c r="R697" t="s">
        <v>2983</v>
      </c>
      <c r="S697">
        <v>32654.5</v>
      </c>
      <c r="T697">
        <v>-13795.5</v>
      </c>
      <c r="U697" cm="1">
        <f t="array" ref="U697">IFERROR(_xlfn.IFS(tblPedidos[[#This Row],[estado_operativo]]="ENTREGADO",tblPedidos[[#This Row],[ganancia_calc]],tblPedidos[[#This Row],[estado_operativo]]="DEVOLUCION",tblPedidos[[#This Row],[costo_devolucion_estimado]]),0)</f>
        <v>-13795.5</v>
      </c>
      <c r="V697">
        <v>-82773</v>
      </c>
      <c r="W697">
        <v>69900</v>
      </c>
      <c r="X697">
        <v>13795.5</v>
      </c>
      <c r="Y697">
        <v>23450</v>
      </c>
      <c r="Z697" s="11">
        <v>46037</v>
      </c>
      <c r="AA697">
        <v>7</v>
      </c>
      <c r="AB697" s="12">
        <v>0.60902777777777772</v>
      </c>
      <c r="AC697" t="s">
        <v>1657</v>
      </c>
      <c r="AD697" t="s">
        <v>1657</v>
      </c>
      <c r="AE697" t="s">
        <v>1657</v>
      </c>
    </row>
    <row r="698" spans="1:31">
      <c r="A698" t="s">
        <v>33</v>
      </c>
      <c r="C698">
        <v>479</v>
      </c>
      <c r="D698" t="s">
        <v>4072</v>
      </c>
      <c r="E698" s="11">
        <v>46034</v>
      </c>
      <c r="F698" t="s">
        <v>4073</v>
      </c>
      <c r="G698" t="s">
        <v>45</v>
      </c>
      <c r="J698" t="s">
        <v>1371</v>
      </c>
      <c r="K698" t="s">
        <v>4074</v>
      </c>
      <c r="L698" t="s">
        <v>81</v>
      </c>
      <c r="M698" t="s">
        <v>2024</v>
      </c>
      <c r="N698" t="s">
        <v>4075</v>
      </c>
      <c r="O698" t="s">
        <v>4076</v>
      </c>
      <c r="P698" s="46" t="str" cm="1">
        <f t="array" aca="1" ref="P698" ca="1">IFERROR(_xlfn.XLOOKUP(tblPedidos[[#This Row],[id_dropi]],tblNotas[[#This Row],[id__dropi]],tblNotas[[#This Row],[Notas Manuales]], “”, 0),"")</f>
        <v/>
      </c>
      <c r="Q698" t="s">
        <v>50</v>
      </c>
      <c r="R698" t="s">
        <v>3033</v>
      </c>
      <c r="S698">
        <v>17004.5</v>
      </c>
      <c r="T698">
        <v>-17895.5</v>
      </c>
      <c r="U698" cm="1">
        <f t="array" ref="U698">IFERROR(_xlfn.IFS(tblPedidos[[#This Row],[estado_operativo]]="ENTREGADO",tblPedidos[[#This Row],[ganancia_calc]],tblPedidos[[#This Row],[estado_operativo]]="DEVOLUCION",tblPedidos[[#This Row],[costo_devolucion_estimado]]),0)</f>
        <v>0</v>
      </c>
      <c r="V698">
        <v>0</v>
      </c>
      <c r="W698">
        <v>59900</v>
      </c>
      <c r="X698">
        <v>17895.5</v>
      </c>
      <c r="Y698">
        <v>25000</v>
      </c>
      <c r="Z698" s="11">
        <v>46043</v>
      </c>
      <c r="AA698">
        <v>1</v>
      </c>
      <c r="AB698" s="12">
        <v>0.43611111111111112</v>
      </c>
      <c r="AC698" t="s">
        <v>982</v>
      </c>
      <c r="AD698" t="s">
        <v>982</v>
      </c>
      <c r="AE698" t="s">
        <v>1371</v>
      </c>
    </row>
    <row r="699" spans="1:31">
      <c r="A699" t="s">
        <v>33</v>
      </c>
      <c r="C699">
        <v>477</v>
      </c>
      <c r="D699" t="s">
        <v>4077</v>
      </c>
      <c r="E699" s="11">
        <v>46034</v>
      </c>
      <c r="F699" t="s">
        <v>4078</v>
      </c>
      <c r="G699" t="s">
        <v>45</v>
      </c>
      <c r="J699" t="s">
        <v>1371</v>
      </c>
      <c r="K699" t="s">
        <v>4079</v>
      </c>
      <c r="L699" t="s">
        <v>545</v>
      </c>
      <c r="M699" t="s">
        <v>4080</v>
      </c>
      <c r="N699" t="s">
        <v>4081</v>
      </c>
      <c r="O699" t="s">
        <v>4082</v>
      </c>
      <c r="P699" s="46" t="str" cm="1">
        <f t="array" aca="1" ref="P699" ca="1">IFERROR(_xlfn.XLOOKUP(tblPedidos[[#This Row],[id_dropi]],tblNotas[[#This Row],[id__dropi]],tblNotas[[#This Row],[Notas Manuales]], “”, 0),"")</f>
        <v/>
      </c>
      <c r="Q699" t="s">
        <v>50</v>
      </c>
      <c r="R699" t="s">
        <v>3033</v>
      </c>
      <c r="S699">
        <v>17004.5</v>
      </c>
      <c r="T699">
        <v>-17895.5</v>
      </c>
      <c r="U699" cm="1">
        <f t="array" ref="U699">IFERROR(_xlfn.IFS(tblPedidos[[#This Row],[estado_operativo]]="ENTREGADO",tblPedidos[[#This Row],[ganancia_calc]],tblPedidos[[#This Row],[estado_operativo]]="DEVOLUCION",tblPedidos[[#This Row],[costo_devolucion_estimado]]),0)</f>
        <v>0</v>
      </c>
      <c r="V699">
        <v>0</v>
      </c>
      <c r="W699">
        <v>59900</v>
      </c>
      <c r="X699">
        <v>17895.5</v>
      </c>
      <c r="Y699">
        <v>25000</v>
      </c>
      <c r="Z699" s="11">
        <v>46043</v>
      </c>
      <c r="AA699">
        <v>1</v>
      </c>
      <c r="AB699" s="12">
        <v>0.43333333333333335</v>
      </c>
      <c r="AC699" t="s">
        <v>982</v>
      </c>
      <c r="AD699" t="s">
        <v>982</v>
      </c>
      <c r="AE699" t="s">
        <v>1371</v>
      </c>
    </row>
    <row r="700" spans="1:31">
      <c r="A700" t="s">
        <v>1343</v>
      </c>
      <c r="C700">
        <v>475</v>
      </c>
      <c r="D700" t="s">
        <v>4083</v>
      </c>
      <c r="E700" s="11">
        <v>46034</v>
      </c>
      <c r="F700" t="s">
        <v>4084</v>
      </c>
      <c r="G700" t="s">
        <v>36</v>
      </c>
      <c r="J700" t="s">
        <v>720</v>
      </c>
      <c r="K700" t="s">
        <v>4085</v>
      </c>
      <c r="L700" t="s">
        <v>81</v>
      </c>
      <c r="M700" t="s">
        <v>118</v>
      </c>
      <c r="N700" t="s">
        <v>4086</v>
      </c>
      <c r="O700" t="s">
        <v>4087</v>
      </c>
      <c r="P700" s="46" t="str" cm="1">
        <f t="array" aca="1" ref="P700" ca="1">IFERROR(_xlfn.XLOOKUP(tblPedidos[[#This Row],[id_dropi]],tblNotas[[#This Row],[id__dropi]],tblNotas[[#This Row],[Notas Manuales]], “”, 0),"")</f>
        <v/>
      </c>
      <c r="R700" t="s">
        <v>3033</v>
      </c>
      <c r="S700">
        <v>19686.5</v>
      </c>
      <c r="T700">
        <v>-12170.800000000001</v>
      </c>
      <c r="U700" cm="1">
        <f t="array" ref="U700">IFERROR(_xlfn.IFS(tblPedidos[[#This Row],[estado_operativo]]="ENTREGADO",tblPedidos[[#This Row],[ganancia_calc]],tblPedidos[[#This Row],[estado_operativo]]="DEVOLUCION",tblPedidos[[#This Row],[costo_devolucion_estimado]]),0)</f>
        <v>19686.5</v>
      </c>
      <c r="V700">
        <v>19686.5</v>
      </c>
      <c r="W700">
        <v>59900</v>
      </c>
      <c r="X700">
        <v>15213.5</v>
      </c>
      <c r="Y700">
        <v>25000</v>
      </c>
      <c r="Z700" s="11">
        <v>46036</v>
      </c>
      <c r="AA700">
        <v>8</v>
      </c>
      <c r="AB700" s="12">
        <v>0.57986111111111116</v>
      </c>
      <c r="AC700" t="s">
        <v>788</v>
      </c>
      <c r="AD700" t="s">
        <v>720</v>
      </c>
      <c r="AE700" t="s">
        <v>720</v>
      </c>
    </row>
    <row r="701" spans="1:31">
      <c r="A701" t="s">
        <v>1343</v>
      </c>
      <c r="C701">
        <v>476</v>
      </c>
      <c r="D701" t="s">
        <v>4088</v>
      </c>
      <c r="E701" s="11">
        <v>46034</v>
      </c>
      <c r="F701" t="s">
        <v>4089</v>
      </c>
      <c r="G701" t="s">
        <v>45</v>
      </c>
      <c r="J701" t="s">
        <v>720</v>
      </c>
      <c r="K701" t="s">
        <v>4090</v>
      </c>
      <c r="L701" t="s">
        <v>328</v>
      </c>
      <c r="M701" t="s">
        <v>1908</v>
      </c>
      <c r="N701" t="s">
        <v>4091</v>
      </c>
      <c r="O701" t="s">
        <v>4092</v>
      </c>
      <c r="P701" s="46" t="str" cm="1">
        <f t="array" aca="1" ref="P701" ca="1">IFERROR(_xlfn.XLOOKUP(tblPedidos[[#This Row],[id_dropi]],tblNotas[[#This Row],[id__dropi]],tblNotas[[#This Row],[Notas Manuales]], “”, 0),"")</f>
        <v/>
      </c>
      <c r="Q701" t="s">
        <v>4091</v>
      </c>
      <c r="R701" t="s">
        <v>2983</v>
      </c>
      <c r="S701">
        <v>28104.5</v>
      </c>
      <c r="T701">
        <v>-18345.5</v>
      </c>
      <c r="U701" cm="1">
        <f t="array" ref="U701">IFERROR(_xlfn.IFS(tblPedidos[[#This Row],[estado_operativo]]="ENTREGADO",tblPedidos[[#This Row],[ganancia_calc]],tblPedidos[[#This Row],[estado_operativo]]="DEVOLUCION",tblPedidos[[#This Row],[costo_devolucion_estimado]]),0)</f>
        <v>28104.5</v>
      </c>
      <c r="V701">
        <v>84313.5</v>
      </c>
      <c r="W701">
        <v>69900</v>
      </c>
      <c r="X701">
        <v>18345.5</v>
      </c>
      <c r="Y701">
        <v>23450</v>
      </c>
      <c r="Z701" s="11">
        <v>46041</v>
      </c>
      <c r="AA701">
        <v>3</v>
      </c>
      <c r="AB701" s="12">
        <v>0.43819444444444444</v>
      </c>
      <c r="AC701" t="s">
        <v>720</v>
      </c>
      <c r="AD701" t="s">
        <v>720</v>
      </c>
      <c r="AE701" t="s">
        <v>720</v>
      </c>
    </row>
    <row r="702" spans="1:31">
      <c r="A702" t="s">
        <v>1343</v>
      </c>
      <c r="C702">
        <v>469</v>
      </c>
      <c r="D702" t="s">
        <v>4093</v>
      </c>
      <c r="E702" s="11">
        <v>46034</v>
      </c>
      <c r="F702" t="s">
        <v>4094</v>
      </c>
      <c r="G702" t="s">
        <v>45</v>
      </c>
      <c r="J702" t="s">
        <v>720</v>
      </c>
      <c r="K702" t="s">
        <v>4095</v>
      </c>
      <c r="L702" t="s">
        <v>46</v>
      </c>
      <c r="M702" t="s">
        <v>1441</v>
      </c>
      <c r="N702" t="s">
        <v>4096</v>
      </c>
      <c r="O702" t="s">
        <v>4097</v>
      </c>
      <c r="P702" s="46" t="str" cm="1">
        <f t="array" aca="1" ref="P702" ca="1">IFERROR(_xlfn.XLOOKUP(tblPedidos[[#This Row],[id_dropi]],tblNotas[[#This Row],[id__dropi]],tblNotas[[#This Row],[Notas Manuales]], “”, 0),"")</f>
        <v/>
      </c>
      <c r="R702" t="s">
        <v>3014</v>
      </c>
      <c r="S702">
        <v>28779.5</v>
      </c>
      <c r="T702">
        <v>-11720.5</v>
      </c>
      <c r="U702" cm="1">
        <f t="array" ref="U702">IFERROR(_xlfn.IFS(tblPedidos[[#This Row],[estado_operativo]]="ENTREGADO",tblPedidos[[#This Row],[ganancia_calc]],tblPedidos[[#This Row],[estado_operativo]]="DEVOLUCION",tblPedidos[[#This Row],[costo_devolucion_estimado]]),0)</f>
        <v>28779.5</v>
      </c>
      <c r="V702">
        <v>143897.5</v>
      </c>
      <c r="W702">
        <v>54900</v>
      </c>
      <c r="X702">
        <v>11720.5</v>
      </c>
      <c r="Y702">
        <v>14400</v>
      </c>
      <c r="Z702" s="11">
        <v>46038</v>
      </c>
      <c r="AA702">
        <v>6</v>
      </c>
      <c r="AB702" s="12">
        <v>0.75624999999999998</v>
      </c>
      <c r="AC702" t="s">
        <v>720</v>
      </c>
      <c r="AD702" t="s">
        <v>720</v>
      </c>
      <c r="AE702" t="s">
        <v>720</v>
      </c>
    </row>
    <row r="703" spans="1:31">
      <c r="A703" t="s">
        <v>33</v>
      </c>
      <c r="C703">
        <v>462</v>
      </c>
      <c r="D703" t="s">
        <v>4098</v>
      </c>
      <c r="E703" s="11">
        <v>46034</v>
      </c>
      <c r="F703" t="s">
        <v>4099</v>
      </c>
      <c r="G703" t="s">
        <v>45</v>
      </c>
      <c r="J703" t="s">
        <v>522</v>
      </c>
      <c r="K703" t="s">
        <v>4100</v>
      </c>
      <c r="L703" t="s">
        <v>38</v>
      </c>
      <c r="M703" t="s">
        <v>4101</v>
      </c>
      <c r="N703" t="s">
        <v>4102</v>
      </c>
      <c r="O703" t="s">
        <v>4103</v>
      </c>
      <c r="P703" s="46" t="str" cm="1">
        <f t="array" aca="1" ref="P703" ca="1">IFERROR(_xlfn.XLOOKUP(tblPedidos[[#This Row],[id_dropi]],tblNotas[[#This Row],[id__dropi]],tblNotas[[#This Row],[Notas Manuales]], “”, 0),"")</f>
        <v/>
      </c>
      <c r="Q703" t="s">
        <v>4104</v>
      </c>
      <c r="R703" t="s">
        <v>3137</v>
      </c>
      <c r="S703">
        <v>22054.5</v>
      </c>
      <c r="T703">
        <v>-17895.5</v>
      </c>
      <c r="U703" cm="1">
        <f t="array" ref="U703">IFERROR(_xlfn.IFS(tblPedidos[[#This Row],[estado_operativo]]="ENTREGADO",tblPedidos[[#This Row],[ganancia_calc]],tblPedidos[[#This Row],[estado_operativo]]="DEVOLUCION",tblPedidos[[#This Row],[costo_devolucion_estimado]]),0)</f>
        <v>0</v>
      </c>
      <c r="V703">
        <v>0</v>
      </c>
      <c r="W703">
        <v>59900</v>
      </c>
      <c r="X703">
        <v>17895.5</v>
      </c>
      <c r="Y703">
        <v>19950</v>
      </c>
      <c r="Z703" s="11">
        <v>46043</v>
      </c>
      <c r="AA703">
        <v>1</v>
      </c>
      <c r="AB703" s="12">
        <v>0.43194444444444446</v>
      </c>
      <c r="AC703" t="s">
        <v>716</v>
      </c>
      <c r="AD703" t="s">
        <v>717</v>
      </c>
      <c r="AE703" t="s">
        <v>522</v>
      </c>
    </row>
    <row r="704" spans="1:31">
      <c r="A704" t="s">
        <v>33</v>
      </c>
      <c r="C704">
        <v>463</v>
      </c>
      <c r="D704" t="s">
        <v>4105</v>
      </c>
      <c r="E704" s="11">
        <v>46034</v>
      </c>
      <c r="F704" t="s">
        <v>4106</v>
      </c>
      <c r="G704" t="s">
        <v>45</v>
      </c>
      <c r="J704" t="s">
        <v>1371</v>
      </c>
      <c r="K704" t="s">
        <v>4107</v>
      </c>
      <c r="L704" t="s">
        <v>111</v>
      </c>
      <c r="M704" t="s">
        <v>193</v>
      </c>
      <c r="N704" t="s">
        <v>4108</v>
      </c>
      <c r="O704" t="s">
        <v>4109</v>
      </c>
      <c r="P704" s="46" t="str" cm="1">
        <f t="array" aca="1" ref="P704" ca="1">IFERROR(_xlfn.XLOOKUP(tblPedidos[[#This Row],[id_dropi]],tblNotas[[#This Row],[id__dropi]],tblNotas[[#This Row],[Notas Manuales]], “”, 0),"")</f>
        <v/>
      </c>
      <c r="Q704" t="s">
        <v>50</v>
      </c>
      <c r="R704" t="s">
        <v>3033</v>
      </c>
      <c r="S704">
        <v>17004.5</v>
      </c>
      <c r="T704">
        <v>-17895.5</v>
      </c>
      <c r="U704" cm="1">
        <f t="array" ref="U704">IFERROR(_xlfn.IFS(tblPedidos[[#This Row],[estado_operativo]]="ENTREGADO",tblPedidos[[#This Row],[ganancia_calc]],tblPedidos[[#This Row],[estado_operativo]]="DEVOLUCION",tblPedidos[[#This Row],[costo_devolucion_estimado]]),0)</f>
        <v>0</v>
      </c>
      <c r="V704">
        <v>0</v>
      </c>
      <c r="W704">
        <v>59900</v>
      </c>
      <c r="X704">
        <v>17895.5</v>
      </c>
      <c r="Y704">
        <v>25000</v>
      </c>
      <c r="Z704" s="11">
        <v>46043</v>
      </c>
      <c r="AA704">
        <v>1</v>
      </c>
      <c r="AB704" s="12">
        <v>0.43333333333333335</v>
      </c>
      <c r="AC704" t="s">
        <v>982</v>
      </c>
      <c r="AD704" t="s">
        <v>982</v>
      </c>
      <c r="AE704" t="s">
        <v>1371</v>
      </c>
    </row>
    <row r="705" spans="1:31">
      <c r="A705" t="s">
        <v>1343</v>
      </c>
      <c r="C705">
        <v>461</v>
      </c>
      <c r="D705" t="s">
        <v>4110</v>
      </c>
      <c r="E705" s="11">
        <v>46034</v>
      </c>
      <c r="F705" t="s">
        <v>4111</v>
      </c>
      <c r="G705" t="s">
        <v>36</v>
      </c>
      <c r="J705" t="s">
        <v>720</v>
      </c>
      <c r="K705" t="s">
        <v>4112</v>
      </c>
      <c r="L705" t="s">
        <v>81</v>
      </c>
      <c r="M705" t="s">
        <v>914</v>
      </c>
      <c r="N705" t="s">
        <v>4113</v>
      </c>
      <c r="O705" t="s">
        <v>4114</v>
      </c>
      <c r="P705" s="46" t="str" cm="1">
        <f t="array" aca="1" ref="P705" ca="1">IFERROR(_xlfn.XLOOKUP(tblPedidos[[#This Row],[id_dropi]],tblNotas[[#This Row],[id__dropi]],tblNotas[[#This Row],[Notas Manuales]], “”, 0),"")</f>
        <v/>
      </c>
      <c r="R705" t="s">
        <v>3033</v>
      </c>
      <c r="S705">
        <v>19686.5</v>
      </c>
      <c r="T705">
        <v>-12170.800000000001</v>
      </c>
      <c r="U705" cm="1">
        <f t="array" ref="U705">IFERROR(_xlfn.IFS(tblPedidos[[#This Row],[estado_operativo]]="ENTREGADO",tblPedidos[[#This Row],[ganancia_calc]],tblPedidos[[#This Row],[estado_operativo]]="DEVOLUCION",tblPedidos[[#This Row],[costo_devolucion_estimado]]),0)</f>
        <v>19686.5</v>
      </c>
      <c r="V705">
        <v>98432.5</v>
      </c>
      <c r="W705">
        <v>59900</v>
      </c>
      <c r="X705">
        <v>15213.5</v>
      </c>
      <c r="Y705">
        <v>25000</v>
      </c>
      <c r="Z705" s="11">
        <v>46036</v>
      </c>
      <c r="AA705">
        <v>8</v>
      </c>
      <c r="AB705" s="12">
        <v>0.57986111111111116</v>
      </c>
      <c r="AC705" t="s">
        <v>788</v>
      </c>
      <c r="AD705" t="s">
        <v>720</v>
      </c>
      <c r="AE705" t="s">
        <v>720</v>
      </c>
    </row>
    <row r="706" spans="1:31">
      <c r="A706" t="s">
        <v>1343</v>
      </c>
      <c r="C706">
        <v>459</v>
      </c>
      <c r="D706" t="s">
        <v>4115</v>
      </c>
      <c r="E706" s="11">
        <v>46034</v>
      </c>
      <c r="F706" t="s">
        <v>4116</v>
      </c>
      <c r="G706" t="s">
        <v>45</v>
      </c>
      <c r="J706" t="s">
        <v>720</v>
      </c>
      <c r="K706" t="s">
        <v>4117</v>
      </c>
      <c r="L706" t="s">
        <v>46</v>
      </c>
      <c r="M706" t="s">
        <v>3243</v>
      </c>
      <c r="N706" t="s">
        <v>4118</v>
      </c>
      <c r="O706" t="s">
        <v>4119</v>
      </c>
      <c r="P706" s="46" t="str" cm="1">
        <f t="array" aca="1" ref="P706" ca="1">IFERROR(_xlfn.XLOOKUP(tblPedidos[[#This Row],[id_dropi]],tblNotas[[#This Row],[id__dropi]],tblNotas[[#This Row],[Notas Manuales]], “”, 0),"")</f>
        <v/>
      </c>
      <c r="Q706" t="s">
        <v>4118</v>
      </c>
      <c r="R706" t="s">
        <v>3027</v>
      </c>
      <c r="S706">
        <v>15879.5</v>
      </c>
      <c r="T706">
        <v>-19020.5</v>
      </c>
      <c r="U706" cm="1">
        <f t="array" ref="U706">IFERROR(_xlfn.IFS(tblPedidos[[#This Row],[estado_operativo]]="ENTREGADO",tblPedidos[[#This Row],[ganancia_calc]],tblPedidos[[#This Row],[estado_operativo]]="DEVOLUCION",tblPedidos[[#This Row],[costo_devolucion_estimado]]),0)</f>
        <v>15879.5</v>
      </c>
      <c r="V706">
        <v>79397.5</v>
      </c>
      <c r="W706">
        <v>84900</v>
      </c>
      <c r="X706">
        <v>19020.5</v>
      </c>
      <c r="Y706">
        <v>50000</v>
      </c>
      <c r="Z706" s="11">
        <v>46038</v>
      </c>
      <c r="AA706">
        <v>6</v>
      </c>
      <c r="AB706" s="12">
        <v>0.83819444444444446</v>
      </c>
      <c r="AC706" t="s">
        <v>720</v>
      </c>
      <c r="AD706" t="s">
        <v>720</v>
      </c>
      <c r="AE706" t="s">
        <v>720</v>
      </c>
    </row>
    <row r="707" spans="1:31">
      <c r="A707" t="s">
        <v>33</v>
      </c>
      <c r="C707">
        <v>460</v>
      </c>
      <c r="D707" t="s">
        <v>4120</v>
      </c>
      <c r="E707" s="11">
        <v>46034</v>
      </c>
      <c r="F707" t="s">
        <v>4121</v>
      </c>
      <c r="G707" t="s">
        <v>36</v>
      </c>
      <c r="J707" t="s">
        <v>750</v>
      </c>
      <c r="K707" t="s">
        <v>4122</v>
      </c>
      <c r="L707" t="s">
        <v>54</v>
      </c>
      <c r="M707" t="s">
        <v>373</v>
      </c>
      <c r="N707" t="s">
        <v>4123</v>
      </c>
      <c r="O707" t="s">
        <v>4124</v>
      </c>
      <c r="P707" s="46" t="str" cm="1">
        <f t="array" aca="1" ref="P707" ca="1">IFERROR(_xlfn.XLOOKUP(tblPedidos[[#This Row],[id_dropi]],tblNotas[[#This Row],[id__dropi]],tblNotas[[#This Row],[Notas Manuales]], “”, 0),"")</f>
        <v/>
      </c>
      <c r="R707" t="s">
        <v>3033</v>
      </c>
      <c r="S707">
        <v>19686.5</v>
      </c>
      <c r="T707">
        <v>-12170.800000000001</v>
      </c>
      <c r="U707" cm="1">
        <f t="array" ref="U707">IFERROR(_xlfn.IFS(tblPedidos[[#This Row],[estado_operativo]]="ENTREGADO",tblPedidos[[#This Row],[ganancia_calc]],tblPedidos[[#This Row],[estado_operativo]]="DEVOLUCION",tblPedidos[[#This Row],[costo_devolucion_estimado]]),0)</f>
        <v>0</v>
      </c>
      <c r="V707">
        <v>0</v>
      </c>
      <c r="W707">
        <v>59900</v>
      </c>
      <c r="X707">
        <v>15213.5</v>
      </c>
      <c r="Y707">
        <v>25000</v>
      </c>
      <c r="Z707" s="11">
        <v>46036</v>
      </c>
      <c r="AA707">
        <v>8</v>
      </c>
      <c r="AB707" s="12">
        <v>0.57986111111111116</v>
      </c>
      <c r="AC707" t="s">
        <v>788</v>
      </c>
      <c r="AD707" t="s">
        <v>1027</v>
      </c>
      <c r="AE707" t="s">
        <v>750</v>
      </c>
    </row>
    <row r="708" spans="1:31">
      <c r="A708" t="s">
        <v>33</v>
      </c>
      <c r="C708">
        <v>467</v>
      </c>
      <c r="D708" t="s">
        <v>4125</v>
      </c>
      <c r="E708" s="11">
        <v>46034</v>
      </c>
      <c r="F708" t="s">
        <v>4126</v>
      </c>
      <c r="G708" t="s">
        <v>45</v>
      </c>
      <c r="J708" t="s">
        <v>522</v>
      </c>
      <c r="K708" t="s">
        <v>4127</v>
      </c>
      <c r="L708" t="s">
        <v>322</v>
      </c>
      <c r="M708" t="s">
        <v>4128</v>
      </c>
      <c r="N708" t="s">
        <v>4129</v>
      </c>
      <c r="O708" t="s">
        <v>4130</v>
      </c>
      <c r="P708" s="46" t="str" cm="1">
        <f t="array" aca="1" ref="P708" ca="1">IFERROR(_xlfn.XLOOKUP(tblPedidos[[#This Row],[id_dropi]],tblNotas[[#This Row],[id__dropi]],tblNotas[[#This Row],[Notas Manuales]], “”, 0),"")</f>
        <v/>
      </c>
      <c r="Q708" t="s">
        <v>4131</v>
      </c>
      <c r="R708" t="s">
        <v>3014</v>
      </c>
      <c r="S708">
        <v>22829.5</v>
      </c>
      <c r="T708">
        <v>-17670.5</v>
      </c>
      <c r="U708" cm="1">
        <f t="array" ref="U708">IFERROR(_xlfn.IFS(tblPedidos[[#This Row],[estado_operativo]]="ENTREGADO",tblPedidos[[#This Row],[ganancia_calc]],tblPedidos[[#This Row],[estado_operativo]]="DEVOLUCION",tblPedidos[[#This Row],[costo_devolucion_estimado]]),0)</f>
        <v>0</v>
      </c>
      <c r="V708">
        <v>0</v>
      </c>
      <c r="W708">
        <v>54900</v>
      </c>
      <c r="X708">
        <v>17670.5</v>
      </c>
      <c r="Y708">
        <v>14400</v>
      </c>
      <c r="Z708" s="11">
        <v>46043</v>
      </c>
      <c r="AA708">
        <v>1</v>
      </c>
      <c r="AB708" s="12">
        <v>0.43194444444444446</v>
      </c>
      <c r="AC708" t="s">
        <v>756</v>
      </c>
      <c r="AD708" t="s">
        <v>717</v>
      </c>
      <c r="AE708" t="s">
        <v>522</v>
      </c>
    </row>
    <row r="709" spans="1:31">
      <c r="A709" t="s">
        <v>1343</v>
      </c>
      <c r="C709">
        <v>468</v>
      </c>
      <c r="D709" t="s">
        <v>4132</v>
      </c>
      <c r="E709" s="11">
        <v>46034</v>
      </c>
      <c r="F709" t="s">
        <v>4133</v>
      </c>
      <c r="G709" t="s">
        <v>45</v>
      </c>
      <c r="J709" t="s">
        <v>720</v>
      </c>
      <c r="K709" t="s">
        <v>4134</v>
      </c>
      <c r="L709" t="s">
        <v>46</v>
      </c>
      <c r="M709" t="s">
        <v>100</v>
      </c>
      <c r="N709" t="s">
        <v>4135</v>
      </c>
      <c r="O709" t="s">
        <v>4136</v>
      </c>
      <c r="P709" s="46" t="str" cm="1">
        <f t="array" aca="1" ref="P709" ca="1">IFERROR(_xlfn.XLOOKUP(tblPedidos[[#This Row],[id_dropi]],tblNotas[[#This Row],[id__dropi]],tblNotas[[#This Row],[Notas Manuales]], “”, 0),"")</f>
        <v/>
      </c>
      <c r="Q709" t="s">
        <v>4135</v>
      </c>
      <c r="R709" t="s">
        <v>3027</v>
      </c>
      <c r="S709">
        <v>20654.5</v>
      </c>
      <c r="T709">
        <v>-19245.5</v>
      </c>
      <c r="U709" cm="1">
        <f t="array" ref="U709">IFERROR(_xlfn.IFS(tblPedidos[[#This Row],[estado_operativo]]="ENTREGADO",tblPedidos[[#This Row],[ganancia_calc]],tblPedidos[[#This Row],[estado_operativo]]="DEVOLUCION",tblPedidos[[#This Row],[costo_devolucion_estimado]]),0)</f>
        <v>20654.5</v>
      </c>
      <c r="V709">
        <v>61963.5</v>
      </c>
      <c r="W709">
        <v>89900</v>
      </c>
      <c r="X709">
        <v>19245.5</v>
      </c>
      <c r="Y709">
        <v>50000</v>
      </c>
      <c r="Z709" s="11">
        <v>46041</v>
      </c>
      <c r="AA709">
        <v>3</v>
      </c>
      <c r="AB709" s="12">
        <v>0.83958333333333335</v>
      </c>
      <c r="AC709" t="s">
        <v>720</v>
      </c>
      <c r="AD709" t="s">
        <v>720</v>
      </c>
      <c r="AE709" t="s">
        <v>720</v>
      </c>
    </row>
    <row r="710" spans="1:31">
      <c r="A710" t="s">
        <v>33</v>
      </c>
      <c r="C710">
        <v>466</v>
      </c>
      <c r="D710" t="s">
        <v>4137</v>
      </c>
      <c r="E710" s="11">
        <v>46034</v>
      </c>
      <c r="F710" t="s">
        <v>4138</v>
      </c>
      <c r="G710" t="s">
        <v>45</v>
      </c>
      <c r="J710" t="s">
        <v>522</v>
      </c>
      <c r="K710" t="s">
        <v>4139</v>
      </c>
      <c r="L710" t="s">
        <v>111</v>
      </c>
      <c r="M710" t="s">
        <v>798</v>
      </c>
      <c r="N710" t="s">
        <v>4140</v>
      </c>
      <c r="O710" t="s">
        <v>4141</v>
      </c>
      <c r="P710" s="46" t="str" cm="1">
        <f t="array" aca="1" ref="P710" ca="1">IFERROR(_xlfn.XLOOKUP(tblPedidos[[#This Row],[id_dropi]],tblNotas[[#This Row],[id__dropi]],tblNotas[[#This Row],[Notas Manuales]], “”, 0),"")</f>
        <v/>
      </c>
      <c r="Q710" t="s">
        <v>4142</v>
      </c>
      <c r="R710" t="s">
        <v>3200</v>
      </c>
      <c r="S710">
        <v>27529.5</v>
      </c>
      <c r="T710">
        <v>-18570.5</v>
      </c>
      <c r="U710" cm="1">
        <f t="array" ref="U710">IFERROR(_xlfn.IFS(tblPedidos[[#This Row],[estado_operativo]]="ENTREGADO",tblPedidos[[#This Row],[ganancia_calc]],tblPedidos[[#This Row],[estado_operativo]]="DEVOLUCION",tblPedidos[[#This Row],[costo_devolucion_estimado]]),0)</f>
        <v>0</v>
      </c>
      <c r="V710">
        <v>0</v>
      </c>
      <c r="W710">
        <v>74900</v>
      </c>
      <c r="X710">
        <v>18570.5</v>
      </c>
      <c r="Y710">
        <v>28800</v>
      </c>
      <c r="Z710" s="11">
        <v>46043</v>
      </c>
      <c r="AA710">
        <v>1</v>
      </c>
      <c r="AB710" s="12">
        <v>0.43333333333333335</v>
      </c>
      <c r="AC710" t="s">
        <v>716</v>
      </c>
      <c r="AD710" t="s">
        <v>717</v>
      </c>
      <c r="AE710" t="s">
        <v>522</v>
      </c>
    </row>
    <row r="711" spans="1:31">
      <c r="A711" t="s">
        <v>33</v>
      </c>
      <c r="C711">
        <v>464</v>
      </c>
      <c r="D711" t="s">
        <v>4143</v>
      </c>
      <c r="E711" s="11">
        <v>46034</v>
      </c>
      <c r="F711" t="s">
        <v>4144</v>
      </c>
      <c r="G711" t="s">
        <v>45</v>
      </c>
      <c r="J711" t="s">
        <v>1371</v>
      </c>
      <c r="K711" t="s">
        <v>4145</v>
      </c>
      <c r="L711" t="s">
        <v>74</v>
      </c>
      <c r="M711" t="s">
        <v>1723</v>
      </c>
      <c r="N711" t="s">
        <v>4146</v>
      </c>
      <c r="O711" t="s">
        <v>4147</v>
      </c>
      <c r="P711" s="46" t="str" cm="1">
        <f t="array" aca="1" ref="P711" ca="1">IFERROR(_xlfn.XLOOKUP(tblPedidos[[#This Row],[id_dropi]],tblNotas[[#This Row],[id__dropi]],tblNotas[[#This Row],[Notas Manuales]], “”, 0),"")</f>
        <v/>
      </c>
      <c r="Q711" t="s">
        <v>50</v>
      </c>
      <c r="R711" t="s">
        <v>3033</v>
      </c>
      <c r="S711">
        <v>17004.5</v>
      </c>
      <c r="T711">
        <v>-17895.5</v>
      </c>
      <c r="U711" cm="1">
        <f t="array" ref="U711">IFERROR(_xlfn.IFS(tblPedidos[[#This Row],[estado_operativo]]="ENTREGADO",tblPedidos[[#This Row],[ganancia_calc]],tblPedidos[[#This Row],[estado_operativo]]="DEVOLUCION",tblPedidos[[#This Row],[costo_devolucion_estimado]]),0)</f>
        <v>0</v>
      </c>
      <c r="V711">
        <v>0</v>
      </c>
      <c r="W711">
        <v>59900</v>
      </c>
      <c r="X711">
        <v>17895.5</v>
      </c>
      <c r="Y711">
        <v>25000</v>
      </c>
      <c r="Z711" s="11">
        <v>46043</v>
      </c>
      <c r="AA711">
        <v>1</v>
      </c>
      <c r="AB711" s="12">
        <v>0.43333333333333335</v>
      </c>
      <c r="AC711" t="s">
        <v>982</v>
      </c>
      <c r="AD711" t="s">
        <v>982</v>
      </c>
      <c r="AE711" t="s">
        <v>1371</v>
      </c>
    </row>
    <row r="712" spans="1:31">
      <c r="A712" t="s">
        <v>33</v>
      </c>
      <c r="C712">
        <v>465</v>
      </c>
      <c r="D712" t="s">
        <v>4148</v>
      </c>
      <c r="E712" s="11">
        <v>46034</v>
      </c>
      <c r="F712" t="s">
        <v>4149</v>
      </c>
      <c r="G712" t="s">
        <v>45</v>
      </c>
      <c r="J712" t="s">
        <v>1090</v>
      </c>
      <c r="L712" t="s">
        <v>46</v>
      </c>
      <c r="M712" t="s">
        <v>100</v>
      </c>
      <c r="N712" t="s">
        <v>2608</v>
      </c>
      <c r="O712" t="s">
        <v>2609</v>
      </c>
      <c r="P712" s="46" t="str" cm="1">
        <f t="array" aca="1" ref="P712" ca="1">IFERROR(_xlfn.XLOOKUP(tblPedidos[[#This Row],[id_dropi]],tblNotas[[#This Row],[id__dropi]],tblNotas[[#This Row],[Notas Manuales]], “”, 0),"")</f>
        <v/>
      </c>
      <c r="R712" t="s">
        <v>3033</v>
      </c>
      <c r="S712">
        <v>22954.5</v>
      </c>
      <c r="T712">
        <v>-11945.5</v>
      </c>
      <c r="U712" cm="1">
        <f t="array" ref="U712">IFERROR(_xlfn.IFS(tblPedidos[[#This Row],[estado_operativo]]="ENTREGADO",tblPedidos[[#This Row],[ganancia_calc]],tblPedidos[[#This Row],[estado_operativo]]="DEVOLUCION",tblPedidos[[#This Row],[costo_devolucion_estimado]]),0)</f>
        <v>0</v>
      </c>
      <c r="V712">
        <v>0</v>
      </c>
      <c r="W712">
        <v>59900</v>
      </c>
      <c r="X712">
        <v>11945.5</v>
      </c>
      <c r="Y712">
        <v>25000</v>
      </c>
      <c r="Z712" s="11">
        <v>46037</v>
      </c>
      <c r="AA712">
        <v>7</v>
      </c>
      <c r="AB712" s="12">
        <v>0.56458333333333333</v>
      </c>
      <c r="AC712" t="s">
        <v>2146</v>
      </c>
      <c r="AD712" t="s">
        <v>2146</v>
      </c>
      <c r="AE712" t="s">
        <v>1090</v>
      </c>
    </row>
    <row r="713" spans="1:31">
      <c r="A713" t="s">
        <v>1343</v>
      </c>
      <c r="C713">
        <v>410</v>
      </c>
      <c r="D713" t="s">
        <v>4150</v>
      </c>
      <c r="E713" s="11">
        <v>46034</v>
      </c>
      <c r="F713" t="s">
        <v>4151</v>
      </c>
      <c r="G713" t="s">
        <v>45</v>
      </c>
      <c r="J713" t="s">
        <v>720</v>
      </c>
      <c r="K713" t="s">
        <v>4152</v>
      </c>
      <c r="L713" t="s">
        <v>136</v>
      </c>
      <c r="M713" t="s">
        <v>3415</v>
      </c>
      <c r="N713" t="s">
        <v>4153</v>
      </c>
      <c r="O713" t="s">
        <v>4154</v>
      </c>
      <c r="P713" s="46" t="str" cm="1">
        <f t="array" aca="1" ref="P713" ca="1">IFERROR(_xlfn.XLOOKUP(tblPedidos[[#This Row],[id_dropi]],tblNotas[[#This Row],[id__dropi]],tblNotas[[#This Row],[Notas Manuales]], “”, 0),"")</f>
        <v/>
      </c>
      <c r="Q713" t="s">
        <v>50</v>
      </c>
      <c r="R713" t="s">
        <v>3033</v>
      </c>
      <c r="S713">
        <v>21554.5</v>
      </c>
      <c r="T713">
        <v>-13345.5</v>
      </c>
      <c r="U713" cm="1">
        <f t="array" ref="U713">IFERROR(_xlfn.IFS(tblPedidos[[#This Row],[estado_operativo]]="ENTREGADO",tblPedidos[[#This Row],[ganancia_calc]],tblPedidos[[#This Row],[estado_operativo]]="DEVOLUCION",tblPedidos[[#This Row],[costo_devolucion_estimado]]),0)</f>
        <v>21554.5</v>
      </c>
      <c r="V713">
        <v>107772.5</v>
      </c>
      <c r="W713">
        <v>59900</v>
      </c>
      <c r="X713">
        <v>13345.5</v>
      </c>
      <c r="Y713">
        <v>25000</v>
      </c>
      <c r="Z713" s="11">
        <v>46039</v>
      </c>
      <c r="AA713">
        <v>5</v>
      </c>
      <c r="AB713" s="12">
        <v>5.347222222222222E-2</v>
      </c>
      <c r="AC713" t="s">
        <v>720</v>
      </c>
      <c r="AD713" t="s">
        <v>720</v>
      </c>
      <c r="AE713" t="s">
        <v>720</v>
      </c>
    </row>
    <row r="714" spans="1:31">
      <c r="A714" t="s">
        <v>1343</v>
      </c>
      <c r="C714">
        <v>411</v>
      </c>
      <c r="D714" t="s">
        <v>4155</v>
      </c>
      <c r="E714" s="11">
        <v>46034</v>
      </c>
      <c r="F714" t="s">
        <v>4156</v>
      </c>
      <c r="G714" t="s">
        <v>45</v>
      </c>
      <c r="J714" t="s">
        <v>720</v>
      </c>
      <c r="K714" t="s">
        <v>4157</v>
      </c>
      <c r="L714" t="s">
        <v>46</v>
      </c>
      <c r="M714" t="s">
        <v>94</v>
      </c>
      <c r="N714" t="s">
        <v>4158</v>
      </c>
      <c r="O714" t="s">
        <v>4159</v>
      </c>
      <c r="P714" s="46" t="str" cm="1">
        <f t="array" aca="1" ref="P714" ca="1">IFERROR(_xlfn.XLOOKUP(tblPedidos[[#This Row],[id_dropi]],tblNotas[[#This Row],[id__dropi]],tblNotas[[#This Row],[Notas Manuales]], “”, 0),"")</f>
        <v/>
      </c>
      <c r="R714" t="s">
        <v>3014</v>
      </c>
      <c r="S714">
        <v>28779.5</v>
      </c>
      <c r="T714">
        <v>-11720.5</v>
      </c>
      <c r="U714" cm="1">
        <f t="array" ref="U714">IFERROR(_xlfn.IFS(tblPedidos[[#This Row],[estado_operativo]]="ENTREGADO",tblPedidos[[#This Row],[ganancia_calc]],tblPedidos[[#This Row],[estado_operativo]]="DEVOLUCION",tblPedidos[[#This Row],[costo_devolucion_estimado]]),0)</f>
        <v>28779.5</v>
      </c>
      <c r="V714">
        <v>143897.5</v>
      </c>
      <c r="W714">
        <v>54900</v>
      </c>
      <c r="X714">
        <v>11720.5</v>
      </c>
      <c r="Y714">
        <v>14400</v>
      </c>
      <c r="Z714" s="11">
        <v>46039</v>
      </c>
      <c r="AA714">
        <v>5</v>
      </c>
      <c r="AB714" s="12">
        <v>0.75763888888888886</v>
      </c>
      <c r="AC714" t="s">
        <v>720</v>
      </c>
      <c r="AD714" t="s">
        <v>720</v>
      </c>
      <c r="AE714" t="s">
        <v>720</v>
      </c>
    </row>
    <row r="715" spans="1:31">
      <c r="A715" t="s">
        <v>1343</v>
      </c>
      <c r="C715">
        <v>409</v>
      </c>
      <c r="D715" t="s">
        <v>4160</v>
      </c>
      <c r="E715" s="11">
        <v>46034</v>
      </c>
      <c r="F715" t="s">
        <v>4161</v>
      </c>
      <c r="G715" t="s">
        <v>36</v>
      </c>
      <c r="J715" t="s">
        <v>720</v>
      </c>
      <c r="K715" t="s">
        <v>4162</v>
      </c>
      <c r="L715" t="s">
        <v>81</v>
      </c>
      <c r="M715" t="s">
        <v>1159</v>
      </c>
      <c r="N715" t="s">
        <v>4163</v>
      </c>
      <c r="O715" t="s">
        <v>4164</v>
      </c>
      <c r="P715" s="46" t="str" cm="1">
        <f t="array" aca="1" ref="P715" ca="1">IFERROR(_xlfn.XLOOKUP(tblPedidos[[#This Row],[id_dropi]],tblNotas[[#This Row],[id__dropi]],tblNotas[[#This Row],[Notas Manuales]], “”, 0),"")</f>
        <v/>
      </c>
      <c r="R715" t="s">
        <v>3033</v>
      </c>
      <c r="S715">
        <v>19686.5</v>
      </c>
      <c r="T715">
        <v>-12170.800000000001</v>
      </c>
      <c r="U715" cm="1">
        <f t="array" ref="U715">IFERROR(_xlfn.IFS(tblPedidos[[#This Row],[estado_operativo]]="ENTREGADO",tblPedidos[[#This Row],[ganancia_calc]],tblPedidos[[#This Row],[estado_operativo]]="DEVOLUCION",tblPedidos[[#This Row],[costo_devolucion_estimado]]),0)</f>
        <v>19686.5</v>
      </c>
      <c r="V715">
        <v>98432.5</v>
      </c>
      <c r="W715">
        <v>59900</v>
      </c>
      <c r="X715">
        <v>15213.5</v>
      </c>
      <c r="Y715">
        <v>25000</v>
      </c>
      <c r="Z715" s="11">
        <v>46036</v>
      </c>
      <c r="AA715">
        <v>8</v>
      </c>
      <c r="AB715" s="12">
        <v>0.57986111111111116</v>
      </c>
      <c r="AC715" t="s">
        <v>788</v>
      </c>
      <c r="AD715" t="s">
        <v>720</v>
      </c>
      <c r="AE715" t="s">
        <v>720</v>
      </c>
    </row>
    <row r="716" spans="1:31">
      <c r="A716" t="s">
        <v>1343</v>
      </c>
      <c r="C716">
        <v>407</v>
      </c>
      <c r="D716" t="s">
        <v>4165</v>
      </c>
      <c r="E716" s="11">
        <v>46034</v>
      </c>
      <c r="F716" t="s">
        <v>4166</v>
      </c>
      <c r="G716" t="s">
        <v>45</v>
      </c>
      <c r="J716" t="s">
        <v>720</v>
      </c>
      <c r="K716" t="s">
        <v>4167</v>
      </c>
      <c r="L716" t="s">
        <v>152</v>
      </c>
      <c r="M716" t="s">
        <v>4168</v>
      </c>
      <c r="N716" t="s">
        <v>4169</v>
      </c>
      <c r="O716" t="s">
        <v>4170</v>
      </c>
      <c r="P716" s="46" t="str" cm="1">
        <f t="array" aca="1" ref="P716" ca="1">IFERROR(_xlfn.XLOOKUP(tblPedidos[[#This Row],[id_dropi]],tblNotas[[#This Row],[id__dropi]],tblNotas[[#This Row],[Notas Manuales]], “”, 0),"")</f>
        <v/>
      </c>
      <c r="Q716" t="s">
        <v>4171</v>
      </c>
      <c r="R716" t="s">
        <v>3149</v>
      </c>
      <c r="S716">
        <v>17004.5</v>
      </c>
      <c r="T716">
        <v>-17895.5</v>
      </c>
      <c r="U716" cm="1">
        <f t="array" ref="U716">IFERROR(_xlfn.IFS(tblPedidos[[#This Row],[estado_operativo]]="ENTREGADO",tblPedidos[[#This Row],[ganancia_calc]],tblPedidos[[#This Row],[estado_operativo]]="DEVOLUCION",tblPedidos[[#This Row],[costo_devolucion_estimado]]),0)</f>
        <v>17004.5</v>
      </c>
      <c r="V716">
        <v>85022.5</v>
      </c>
      <c r="W716">
        <v>59900</v>
      </c>
      <c r="X716">
        <v>17895.5</v>
      </c>
      <c r="Y716">
        <v>25000</v>
      </c>
      <c r="Z716" s="11">
        <v>46038</v>
      </c>
      <c r="AA716">
        <v>6</v>
      </c>
      <c r="AB716" s="12">
        <v>0.67361111111111116</v>
      </c>
      <c r="AC716" t="s">
        <v>720</v>
      </c>
      <c r="AD716" t="s">
        <v>720</v>
      </c>
      <c r="AE716" t="s">
        <v>720</v>
      </c>
    </row>
    <row r="717" spans="1:31">
      <c r="A717" t="s">
        <v>33</v>
      </c>
      <c r="C717">
        <v>408</v>
      </c>
      <c r="D717" t="s">
        <v>4172</v>
      </c>
      <c r="E717" s="11">
        <v>46034</v>
      </c>
      <c r="F717" t="s">
        <v>4173</v>
      </c>
      <c r="G717" t="s">
        <v>36</v>
      </c>
      <c r="J717" t="s">
        <v>522</v>
      </c>
      <c r="K717" t="s">
        <v>4174</v>
      </c>
      <c r="L717" t="s">
        <v>54</v>
      </c>
      <c r="M717" t="s">
        <v>844</v>
      </c>
      <c r="N717" t="s">
        <v>4175</v>
      </c>
      <c r="O717" t="s">
        <v>4176</v>
      </c>
      <c r="P717" s="46" t="str" cm="1">
        <f t="array" aca="1" ref="P717" ca="1">IFERROR(_xlfn.XLOOKUP(tblPedidos[[#This Row],[id_dropi]],tblNotas[[#This Row],[id__dropi]],tblNotas[[#This Row],[Notas Manuales]], “”, 0),"")</f>
        <v/>
      </c>
      <c r="R717" t="s">
        <v>3033</v>
      </c>
      <c r="S717">
        <v>19686.5</v>
      </c>
      <c r="T717">
        <v>-12170.800000000001</v>
      </c>
      <c r="U717" cm="1">
        <f t="array" ref="U717">IFERROR(_xlfn.IFS(tblPedidos[[#This Row],[estado_operativo]]="ENTREGADO",tblPedidos[[#This Row],[ganancia_calc]],tblPedidos[[#This Row],[estado_operativo]]="DEVOLUCION",tblPedidos[[#This Row],[costo_devolucion_estimado]]),0)</f>
        <v>0</v>
      </c>
      <c r="V717">
        <v>0</v>
      </c>
      <c r="W717">
        <v>59900</v>
      </c>
      <c r="X717">
        <v>15213.5</v>
      </c>
      <c r="Y717">
        <v>25000</v>
      </c>
      <c r="Z717" s="11">
        <v>46036</v>
      </c>
      <c r="AA717">
        <v>8</v>
      </c>
      <c r="AB717" s="12">
        <v>0.57986111111111116</v>
      </c>
      <c r="AC717" t="s">
        <v>788</v>
      </c>
      <c r="AD717" t="s">
        <v>527</v>
      </c>
      <c r="AE717" t="s">
        <v>522</v>
      </c>
    </row>
    <row r="718" spans="1:31">
      <c r="A718" t="s">
        <v>1343</v>
      </c>
      <c r="C718">
        <v>415</v>
      </c>
      <c r="D718" t="s">
        <v>4177</v>
      </c>
      <c r="E718" s="11">
        <v>46034</v>
      </c>
      <c r="F718" t="s">
        <v>4178</v>
      </c>
      <c r="G718" t="s">
        <v>45</v>
      </c>
      <c r="J718" t="s">
        <v>720</v>
      </c>
      <c r="K718" t="s">
        <v>4179</v>
      </c>
      <c r="L718" t="s">
        <v>590</v>
      </c>
      <c r="M718" t="s">
        <v>1619</v>
      </c>
      <c r="N718" t="s">
        <v>4180</v>
      </c>
      <c r="O718" t="s">
        <v>4181</v>
      </c>
      <c r="P718" s="46" t="str" cm="1">
        <f t="array" aca="1" ref="P718" ca="1">IFERROR(_xlfn.XLOOKUP(tblPedidos[[#This Row],[id_dropi]],tblNotas[[#This Row],[id__dropi]],tblNotas[[#This Row],[Notas Manuales]], “”, 0),"")</f>
        <v/>
      </c>
      <c r="Q718" t="s">
        <v>50</v>
      </c>
      <c r="R718" t="s">
        <v>4182</v>
      </c>
      <c r="S718">
        <v>17004.5</v>
      </c>
      <c r="T718">
        <v>-17895.5</v>
      </c>
      <c r="U718" cm="1">
        <f t="array" ref="U718">IFERROR(_xlfn.IFS(tblPedidos[[#This Row],[estado_operativo]]="ENTREGADO",tblPedidos[[#This Row],[ganancia_calc]],tblPedidos[[#This Row],[estado_operativo]]="DEVOLUCION",tblPedidos[[#This Row],[costo_devolucion_estimado]]),0)</f>
        <v>17004.5</v>
      </c>
      <c r="V718">
        <v>51013.5</v>
      </c>
      <c r="W718">
        <v>59900</v>
      </c>
      <c r="X718">
        <v>17895.5</v>
      </c>
      <c r="Y718">
        <v>25000</v>
      </c>
      <c r="Z718" s="11">
        <v>46041</v>
      </c>
      <c r="AA718">
        <v>3</v>
      </c>
      <c r="AB718" s="12">
        <v>0.49027777777777776</v>
      </c>
      <c r="AC718" t="s">
        <v>720</v>
      </c>
      <c r="AD718" t="s">
        <v>720</v>
      </c>
      <c r="AE718" t="s">
        <v>720</v>
      </c>
    </row>
    <row r="719" spans="1:31">
      <c r="A719" t="s">
        <v>33</v>
      </c>
      <c r="C719">
        <v>416</v>
      </c>
      <c r="D719" t="s">
        <v>4183</v>
      </c>
      <c r="E719" s="11">
        <v>46034</v>
      </c>
      <c r="F719" t="s">
        <v>4184</v>
      </c>
      <c r="G719" t="s">
        <v>45</v>
      </c>
      <c r="J719" t="s">
        <v>1371</v>
      </c>
      <c r="K719" t="s">
        <v>4185</v>
      </c>
      <c r="L719" t="s">
        <v>322</v>
      </c>
      <c r="M719" t="s">
        <v>4186</v>
      </c>
      <c r="N719" t="s">
        <v>4187</v>
      </c>
      <c r="O719" t="s">
        <v>4188</v>
      </c>
      <c r="P719" s="46" t="str" cm="1">
        <f t="array" aca="1" ref="P719" ca="1">IFERROR(_xlfn.XLOOKUP(tblPedidos[[#This Row],[id_dropi]],tblNotas[[#This Row],[id__dropi]],tblNotas[[#This Row],[Notas Manuales]], “”, 0),"")</f>
        <v/>
      </c>
      <c r="Q719" t="s">
        <v>50</v>
      </c>
      <c r="R719" t="s">
        <v>3033</v>
      </c>
      <c r="S719">
        <v>17004.5</v>
      </c>
      <c r="T719">
        <v>-17895.5</v>
      </c>
      <c r="U719" cm="1">
        <f t="array" ref="U719">IFERROR(_xlfn.IFS(tblPedidos[[#This Row],[estado_operativo]]="ENTREGADO",tblPedidos[[#This Row],[ganancia_calc]],tblPedidos[[#This Row],[estado_operativo]]="DEVOLUCION",tblPedidos[[#This Row],[costo_devolucion_estimado]]),0)</f>
        <v>0</v>
      </c>
      <c r="V719">
        <v>0</v>
      </c>
      <c r="W719">
        <v>59900</v>
      </c>
      <c r="X719">
        <v>17895.5</v>
      </c>
      <c r="Y719">
        <v>25000</v>
      </c>
      <c r="Z719" s="11">
        <v>46043</v>
      </c>
      <c r="AA719">
        <v>1</v>
      </c>
      <c r="AB719" s="12">
        <v>0.43541666666666667</v>
      </c>
      <c r="AC719" t="s">
        <v>982</v>
      </c>
      <c r="AD719" t="s">
        <v>982</v>
      </c>
      <c r="AE719" t="s">
        <v>1371</v>
      </c>
    </row>
    <row r="720" spans="1:31">
      <c r="A720" t="s">
        <v>1343</v>
      </c>
      <c r="C720">
        <v>414</v>
      </c>
      <c r="D720" t="s">
        <v>4189</v>
      </c>
      <c r="E720" s="11">
        <v>46034</v>
      </c>
      <c r="F720" t="s">
        <v>4190</v>
      </c>
      <c r="G720" t="s">
        <v>36</v>
      </c>
      <c r="J720" t="s">
        <v>720</v>
      </c>
      <c r="K720" t="s">
        <v>4191</v>
      </c>
      <c r="L720" t="s">
        <v>590</v>
      </c>
      <c r="M720" t="s">
        <v>783</v>
      </c>
      <c r="N720" t="s">
        <v>4192</v>
      </c>
      <c r="O720" t="s">
        <v>4193</v>
      </c>
      <c r="P720" s="46" t="str" cm="1">
        <f t="array" aca="1" ref="P720" ca="1">IFERROR(_xlfn.XLOOKUP(tblPedidos[[#This Row],[id_dropi]],tblNotas[[#This Row],[id__dropi]],tblNotas[[#This Row],[Notas Manuales]], “”, 0),"")</f>
        <v/>
      </c>
      <c r="R720" t="s">
        <v>4194</v>
      </c>
      <c r="S720">
        <v>17687.449999999997</v>
      </c>
      <c r="T720">
        <v>-12170.84</v>
      </c>
      <c r="U720" cm="1">
        <f t="array" ref="U720">IFERROR(_xlfn.IFS(tblPedidos[[#This Row],[estado_operativo]]="ENTREGADO",tblPedidos[[#This Row],[ganancia_calc]],tblPedidos[[#This Row],[estado_operativo]]="DEVOLUCION",tblPedidos[[#This Row],[costo_devolucion_estimado]]),0)</f>
        <v>17687.449999999997</v>
      </c>
      <c r="V720">
        <v>88437.25</v>
      </c>
      <c r="W720">
        <v>59901</v>
      </c>
      <c r="X720">
        <v>15213.55</v>
      </c>
      <c r="Y720">
        <v>27000</v>
      </c>
      <c r="Z720" s="11">
        <v>46036</v>
      </c>
      <c r="AA720">
        <v>8</v>
      </c>
      <c r="AB720" s="12">
        <v>0.70486111111111116</v>
      </c>
      <c r="AC720" t="s">
        <v>399</v>
      </c>
      <c r="AD720" t="s">
        <v>720</v>
      </c>
      <c r="AE720" t="s">
        <v>720</v>
      </c>
    </row>
    <row r="721" spans="1:31">
      <c r="A721" t="s">
        <v>1343</v>
      </c>
      <c r="C721">
        <v>412</v>
      </c>
      <c r="D721" t="s">
        <v>4195</v>
      </c>
      <c r="E721" s="11">
        <v>46034</v>
      </c>
      <c r="F721" t="s">
        <v>4196</v>
      </c>
      <c r="G721" t="s">
        <v>45</v>
      </c>
      <c r="J721" t="s">
        <v>720</v>
      </c>
      <c r="K721" t="s">
        <v>4197</v>
      </c>
      <c r="L721" t="s">
        <v>111</v>
      </c>
      <c r="M721" t="s">
        <v>798</v>
      </c>
      <c r="N721" t="s">
        <v>4198</v>
      </c>
      <c r="O721" t="s">
        <v>4199</v>
      </c>
      <c r="P721" s="46" t="str" cm="1">
        <f t="array" aca="1" ref="P721" ca="1">IFERROR(_xlfn.XLOOKUP(tblPedidos[[#This Row],[id_dropi]],tblNotas[[#This Row],[id__dropi]],tblNotas[[#This Row],[Notas Manuales]], “”, 0),"")</f>
        <v/>
      </c>
      <c r="Q721" t="s">
        <v>50</v>
      </c>
      <c r="R721" t="s">
        <v>3033</v>
      </c>
      <c r="S721">
        <v>17004.5</v>
      </c>
      <c r="T721">
        <v>-17895.5</v>
      </c>
      <c r="U721" cm="1">
        <f t="array" ref="U721">IFERROR(_xlfn.IFS(tblPedidos[[#This Row],[estado_operativo]]="ENTREGADO",tblPedidos[[#This Row],[ganancia_calc]],tblPedidos[[#This Row],[estado_operativo]]="DEVOLUCION",tblPedidos[[#This Row],[costo_devolucion_estimado]]),0)</f>
        <v>17004.5</v>
      </c>
      <c r="V721">
        <v>85022.5</v>
      </c>
      <c r="W721">
        <v>59900</v>
      </c>
      <c r="X721">
        <v>17895.5</v>
      </c>
      <c r="Y721">
        <v>25000</v>
      </c>
      <c r="Z721" s="11">
        <v>46039</v>
      </c>
      <c r="AA721">
        <v>5</v>
      </c>
      <c r="AB721" s="12">
        <v>0.51180555555555551</v>
      </c>
      <c r="AC721" t="s">
        <v>720</v>
      </c>
      <c r="AD721" t="s">
        <v>720</v>
      </c>
      <c r="AE721" t="s">
        <v>720</v>
      </c>
    </row>
    <row r="722" spans="1:31">
      <c r="A722" t="s">
        <v>1343</v>
      </c>
      <c r="C722">
        <v>413</v>
      </c>
      <c r="D722" t="s">
        <v>4200</v>
      </c>
      <c r="E722" s="11">
        <v>46034</v>
      </c>
      <c r="F722" t="s">
        <v>4201</v>
      </c>
      <c r="G722" t="s">
        <v>36</v>
      </c>
      <c r="J722" t="s">
        <v>720</v>
      </c>
      <c r="K722" t="s">
        <v>4202</v>
      </c>
      <c r="L722" t="s">
        <v>81</v>
      </c>
      <c r="M722" t="s">
        <v>118</v>
      </c>
      <c r="N722" t="s">
        <v>4203</v>
      </c>
      <c r="O722" t="s">
        <v>4204</v>
      </c>
      <c r="P722" s="46" t="str" cm="1">
        <f t="array" aca="1" ref="P722" ca="1">IFERROR(_xlfn.XLOOKUP(tblPedidos[[#This Row],[id_dropi]],tblNotas[[#This Row],[id__dropi]],tblNotas[[#This Row],[Notas Manuales]], “”, 0),"")</f>
        <v/>
      </c>
      <c r="Q722" t="s">
        <v>4205</v>
      </c>
      <c r="R722" t="s">
        <v>3027</v>
      </c>
      <c r="S722">
        <v>26792.5</v>
      </c>
      <c r="T722">
        <v>-10486</v>
      </c>
      <c r="U722" cm="1">
        <f t="array" ref="U722">IFERROR(_xlfn.IFS(tblPedidos[[#This Row],[estado_operativo]]="ENTREGADO",tblPedidos[[#This Row],[ganancia_calc]],tblPedidos[[#This Row],[estado_operativo]]="DEVOLUCION",tblPedidos[[#This Row],[costo_devolucion_estimado]]),0)</f>
        <v>26792.5</v>
      </c>
      <c r="V722">
        <v>160755</v>
      </c>
      <c r="W722">
        <v>89900</v>
      </c>
      <c r="X722">
        <v>13107.5</v>
      </c>
      <c r="Y722">
        <v>50000</v>
      </c>
      <c r="Z722" s="11">
        <v>46035</v>
      </c>
      <c r="AA722">
        <v>9</v>
      </c>
      <c r="AB722" s="12">
        <v>0.90833333333333333</v>
      </c>
      <c r="AC722" t="s">
        <v>399</v>
      </c>
      <c r="AD722" t="s">
        <v>720</v>
      </c>
      <c r="AE722" t="s">
        <v>720</v>
      </c>
    </row>
    <row r="723" spans="1:31">
      <c r="A723" t="s">
        <v>1343</v>
      </c>
      <c r="C723">
        <v>406</v>
      </c>
      <c r="D723" t="s">
        <v>4206</v>
      </c>
      <c r="E723" s="11">
        <v>46034</v>
      </c>
      <c r="F723" t="s">
        <v>4207</v>
      </c>
      <c r="G723" t="s">
        <v>45</v>
      </c>
      <c r="J723" t="s">
        <v>720</v>
      </c>
      <c r="K723" t="s">
        <v>4208</v>
      </c>
      <c r="L723" t="s">
        <v>125</v>
      </c>
      <c r="M723" t="s">
        <v>306</v>
      </c>
      <c r="N723" t="s">
        <v>4209</v>
      </c>
      <c r="O723" t="s">
        <v>4210</v>
      </c>
      <c r="P723" s="46" t="str" cm="1">
        <f t="array" aca="1" ref="P723" ca="1">IFERROR(_xlfn.XLOOKUP(tblPedidos[[#This Row],[id_dropi]],tblNotas[[#This Row],[id__dropi]],tblNotas[[#This Row],[Notas Manuales]], “”, 0),"")</f>
        <v/>
      </c>
      <c r="R723" t="s">
        <v>2983</v>
      </c>
      <c r="S723">
        <v>28104.5</v>
      </c>
      <c r="T723">
        <v>-18345.5</v>
      </c>
      <c r="U723" cm="1">
        <f t="array" ref="U723">IFERROR(_xlfn.IFS(tblPedidos[[#This Row],[estado_operativo]]="ENTREGADO",tblPedidos[[#This Row],[ganancia_calc]],tblPedidos[[#This Row],[estado_operativo]]="DEVOLUCION",tblPedidos[[#This Row],[costo_devolucion_estimado]]),0)</f>
        <v>28104.5</v>
      </c>
      <c r="V723">
        <v>140522.5</v>
      </c>
      <c r="W723">
        <v>69900</v>
      </c>
      <c r="X723">
        <v>18345.5</v>
      </c>
      <c r="Y723">
        <v>23450</v>
      </c>
      <c r="Z723" s="11">
        <v>46039</v>
      </c>
      <c r="AA723">
        <v>5</v>
      </c>
      <c r="AB723" s="12">
        <v>0.6743055555555556</v>
      </c>
      <c r="AC723" t="s">
        <v>720</v>
      </c>
      <c r="AD723" t="s">
        <v>720</v>
      </c>
      <c r="AE723" t="s">
        <v>720</v>
      </c>
    </row>
    <row r="724" spans="1:31">
      <c r="A724" t="s">
        <v>1343</v>
      </c>
      <c r="C724">
        <v>399</v>
      </c>
      <c r="D724" t="s">
        <v>4211</v>
      </c>
      <c r="E724" s="11">
        <v>46034</v>
      </c>
      <c r="F724" t="s">
        <v>4212</v>
      </c>
      <c r="G724" t="s">
        <v>45</v>
      </c>
      <c r="J724" t="s">
        <v>720</v>
      </c>
      <c r="K724" t="s">
        <v>4213</v>
      </c>
      <c r="L724" t="s">
        <v>152</v>
      </c>
      <c r="M724" t="s">
        <v>2156</v>
      </c>
      <c r="N724" t="s">
        <v>4214</v>
      </c>
      <c r="O724" t="s">
        <v>4215</v>
      </c>
      <c r="P724" s="46" t="str" cm="1">
        <f t="array" aca="1" ref="P724" ca="1">IFERROR(_xlfn.XLOOKUP(tblPedidos[[#This Row],[id_dropi]],tblNotas[[#This Row],[id__dropi]],tblNotas[[#This Row],[Notas Manuales]], “”, 0),"")</f>
        <v/>
      </c>
      <c r="R724" t="s">
        <v>3014</v>
      </c>
      <c r="S724">
        <v>16801</v>
      </c>
      <c r="T724">
        <v>-18699</v>
      </c>
      <c r="U724" cm="1">
        <f t="array" ref="U724">IFERROR(_xlfn.IFS(tblPedidos[[#This Row],[estado_operativo]]="ENTREGADO",tblPedidos[[#This Row],[ganancia_calc]],tblPedidos[[#This Row],[estado_operativo]]="DEVOLUCION",tblPedidos[[#This Row],[costo_devolucion_estimado]]),0)</f>
        <v>16801</v>
      </c>
      <c r="V724">
        <v>84005</v>
      </c>
      <c r="W724">
        <v>49900</v>
      </c>
      <c r="X724">
        <v>18699</v>
      </c>
      <c r="Y724">
        <v>14400</v>
      </c>
      <c r="Z724" s="11">
        <v>46039</v>
      </c>
      <c r="AA724">
        <v>5</v>
      </c>
      <c r="AB724" s="12">
        <v>0.75902777777777775</v>
      </c>
      <c r="AC724" t="s">
        <v>720</v>
      </c>
      <c r="AD724" t="s">
        <v>720</v>
      </c>
      <c r="AE724" t="s">
        <v>720</v>
      </c>
    </row>
    <row r="725" spans="1:31">
      <c r="A725" t="s">
        <v>33</v>
      </c>
      <c r="C725">
        <v>400</v>
      </c>
      <c r="D725" t="s">
        <v>4216</v>
      </c>
      <c r="E725" s="11">
        <v>46034</v>
      </c>
      <c r="F725" t="s">
        <v>2890</v>
      </c>
      <c r="G725" t="s">
        <v>36</v>
      </c>
      <c r="J725" t="s">
        <v>1090</v>
      </c>
      <c r="K725" t="s">
        <v>4217</v>
      </c>
      <c r="L725" t="s">
        <v>81</v>
      </c>
      <c r="M725" t="s">
        <v>2892</v>
      </c>
      <c r="N725" t="s">
        <v>4218</v>
      </c>
      <c r="O725" t="s">
        <v>2894</v>
      </c>
      <c r="P725" s="46" t="str" cm="1">
        <f t="array" aca="1" ref="P725" ca="1">IFERROR(_xlfn.XLOOKUP(tblPedidos[[#This Row],[id_dropi]],tblNotas[[#This Row],[id__dropi]],tblNotas[[#This Row],[Notas Manuales]], “”, 0),"")</f>
        <v/>
      </c>
      <c r="R725" t="s">
        <v>3200</v>
      </c>
      <c r="S725">
        <v>30211.5</v>
      </c>
      <c r="T725">
        <v>-12710.800000000001</v>
      </c>
      <c r="U725" cm="1">
        <f t="array" ref="U725">IFERROR(_xlfn.IFS(tblPedidos[[#This Row],[estado_operativo]]="ENTREGADO",tblPedidos[[#This Row],[ganancia_calc]],tblPedidos[[#This Row],[estado_operativo]]="DEVOLUCION",tblPedidos[[#This Row],[costo_devolucion_estimado]]),0)</f>
        <v>0</v>
      </c>
      <c r="V725">
        <v>0</v>
      </c>
      <c r="W725">
        <v>74900</v>
      </c>
      <c r="X725">
        <v>15888.5</v>
      </c>
      <c r="Y725">
        <v>28800</v>
      </c>
      <c r="Z725" s="11">
        <v>46036</v>
      </c>
      <c r="AA725">
        <v>8</v>
      </c>
      <c r="AB725" s="12">
        <v>0.73124999999999996</v>
      </c>
      <c r="AC725" t="s">
        <v>788</v>
      </c>
      <c r="AD725" t="s">
        <v>2146</v>
      </c>
      <c r="AE725" t="s">
        <v>1090</v>
      </c>
    </row>
    <row r="726" spans="1:31">
      <c r="A726" t="s">
        <v>1343</v>
      </c>
      <c r="C726">
        <v>398</v>
      </c>
      <c r="D726" t="s">
        <v>4219</v>
      </c>
      <c r="E726" s="11">
        <v>46034</v>
      </c>
      <c r="F726" t="s">
        <v>4220</v>
      </c>
      <c r="G726" t="s">
        <v>36</v>
      </c>
      <c r="J726" t="s">
        <v>1657</v>
      </c>
      <c r="K726" t="s">
        <v>4221</v>
      </c>
      <c r="L726" t="s">
        <v>81</v>
      </c>
      <c r="M726" t="s">
        <v>3134</v>
      </c>
      <c r="N726" t="s">
        <v>4222</v>
      </c>
      <c r="O726" t="s">
        <v>4223</v>
      </c>
      <c r="P726" s="46" t="str" cm="1">
        <f t="array" aca="1" ref="P726" ca="1">IFERROR(_xlfn.XLOOKUP(tblPedidos[[#This Row],[id_dropi]],tblNotas[[#This Row],[id__dropi]],tblNotas[[#This Row],[Notas Manuales]], “”, 0),"")</f>
        <v/>
      </c>
      <c r="Q726" t="s">
        <v>4222</v>
      </c>
      <c r="R726" t="s">
        <v>2983</v>
      </c>
      <c r="S726">
        <v>32946.5</v>
      </c>
      <c r="T726">
        <v>-10802.800000000001</v>
      </c>
      <c r="U726" cm="1">
        <f t="array" ref="U726">IFERROR(_xlfn.IFS(tblPedidos[[#This Row],[estado_operativo]]="ENTREGADO",tblPedidos[[#This Row],[ganancia_calc]],tblPedidos[[#This Row],[estado_operativo]]="DEVOLUCION",tblPedidos[[#This Row],[costo_devolucion_estimado]]),0)</f>
        <v>-10802.800000000001</v>
      </c>
      <c r="V726">
        <v>-31074</v>
      </c>
      <c r="W726">
        <v>69900</v>
      </c>
      <c r="X726">
        <v>13503.5</v>
      </c>
      <c r="Y726">
        <v>23450</v>
      </c>
      <c r="Z726" s="11">
        <v>46035</v>
      </c>
      <c r="AA726">
        <v>9</v>
      </c>
      <c r="AB726" s="12">
        <v>0.87291666666666667</v>
      </c>
      <c r="AC726" t="s">
        <v>399</v>
      </c>
      <c r="AD726" t="s">
        <v>1657</v>
      </c>
      <c r="AE726" t="s">
        <v>1657</v>
      </c>
    </row>
    <row r="727" spans="1:31">
      <c r="A727" t="s">
        <v>1343</v>
      </c>
      <c r="C727">
        <v>396</v>
      </c>
      <c r="D727" t="s">
        <v>4224</v>
      </c>
      <c r="E727" s="11">
        <v>46034</v>
      </c>
      <c r="F727" t="s">
        <v>4225</v>
      </c>
      <c r="G727" t="s">
        <v>45</v>
      </c>
      <c r="J727" t="s">
        <v>720</v>
      </c>
      <c r="K727" t="s">
        <v>4226</v>
      </c>
      <c r="L727" t="s">
        <v>427</v>
      </c>
      <c r="M727" t="s">
        <v>628</v>
      </c>
      <c r="N727" t="s">
        <v>4227</v>
      </c>
      <c r="O727" t="s">
        <v>4228</v>
      </c>
      <c r="P727" s="46" t="str" cm="1">
        <f t="array" aca="1" ref="P727" ca="1">IFERROR(_xlfn.XLOOKUP(tblPedidos[[#This Row],[id_dropi]],tblNotas[[#This Row],[id__dropi]],tblNotas[[#This Row],[Notas Manuales]], “”, 0),"")</f>
        <v/>
      </c>
      <c r="Q727" t="s">
        <v>4229</v>
      </c>
      <c r="R727" t="s">
        <v>3027</v>
      </c>
      <c r="S727">
        <v>20654.5</v>
      </c>
      <c r="T727">
        <v>-19245.5</v>
      </c>
      <c r="U727" cm="1">
        <f t="array" ref="U727">IFERROR(_xlfn.IFS(tblPedidos[[#This Row],[estado_operativo]]="ENTREGADO",tblPedidos[[#This Row],[ganancia_calc]],tblPedidos[[#This Row],[estado_operativo]]="DEVOLUCION",tblPedidos[[#This Row],[costo_devolucion_estimado]]),0)</f>
        <v>20654.5</v>
      </c>
      <c r="V727">
        <v>103272.5</v>
      </c>
      <c r="W727">
        <v>89900</v>
      </c>
      <c r="X727">
        <v>19245.5</v>
      </c>
      <c r="Y727">
        <v>50000</v>
      </c>
      <c r="Z727" s="11">
        <v>46038</v>
      </c>
      <c r="AA727">
        <v>6</v>
      </c>
      <c r="AB727" s="12">
        <v>0.67152777777777772</v>
      </c>
      <c r="AC727" t="s">
        <v>720</v>
      </c>
      <c r="AD727" t="s">
        <v>720</v>
      </c>
      <c r="AE727" t="s">
        <v>720</v>
      </c>
    </row>
    <row r="728" spans="1:31">
      <c r="A728" t="s">
        <v>1343</v>
      </c>
      <c r="C728">
        <v>397</v>
      </c>
      <c r="D728" t="s">
        <v>4230</v>
      </c>
      <c r="E728" s="11">
        <v>46034</v>
      </c>
      <c r="F728" t="s">
        <v>4231</v>
      </c>
      <c r="G728" t="s">
        <v>36</v>
      </c>
      <c r="J728" t="s">
        <v>720</v>
      </c>
      <c r="K728" t="s">
        <v>4232</v>
      </c>
      <c r="L728" t="s">
        <v>81</v>
      </c>
      <c r="M728" t="s">
        <v>118</v>
      </c>
      <c r="N728" t="s">
        <v>4233</v>
      </c>
      <c r="O728" t="s">
        <v>4234</v>
      </c>
      <c r="P728" s="46" t="str" cm="1">
        <f t="array" aca="1" ref="P728" ca="1">IFERROR(_xlfn.XLOOKUP(tblPedidos[[#This Row],[id_dropi]],tblNotas[[#This Row],[id__dropi]],tblNotas[[#This Row],[Notas Manuales]], “”, 0),"")</f>
        <v/>
      </c>
      <c r="R728" t="s">
        <v>3027</v>
      </c>
      <c r="S728">
        <v>22017.5</v>
      </c>
      <c r="T728">
        <v>-10306</v>
      </c>
      <c r="U728" cm="1">
        <f t="array" ref="U728">IFERROR(_xlfn.IFS(tblPedidos[[#This Row],[estado_operativo]]="ENTREGADO",tblPedidos[[#This Row],[ganancia_calc]],tblPedidos[[#This Row],[estado_operativo]]="DEVOLUCION",tblPedidos[[#This Row],[costo_devolucion_estimado]]),0)</f>
        <v>22017.5</v>
      </c>
      <c r="V728">
        <v>110087.5</v>
      </c>
      <c r="W728">
        <v>84900</v>
      </c>
      <c r="X728">
        <v>12882.5</v>
      </c>
      <c r="Y728">
        <v>50000</v>
      </c>
      <c r="Z728" s="11">
        <v>46035</v>
      </c>
      <c r="AA728">
        <v>9</v>
      </c>
      <c r="AB728" s="12">
        <v>0.90486111111111112</v>
      </c>
      <c r="AC728" t="s">
        <v>399</v>
      </c>
      <c r="AD728" t="s">
        <v>720</v>
      </c>
      <c r="AE728" t="s">
        <v>720</v>
      </c>
    </row>
    <row r="729" spans="1:31">
      <c r="A729" t="s">
        <v>1343</v>
      </c>
      <c r="C729">
        <v>404</v>
      </c>
      <c r="D729" t="s">
        <v>4235</v>
      </c>
      <c r="E729" s="11">
        <v>46034</v>
      </c>
      <c r="F729" t="s">
        <v>4236</v>
      </c>
      <c r="G729" t="s">
        <v>45</v>
      </c>
      <c r="J729" t="s">
        <v>720</v>
      </c>
      <c r="K729" t="s">
        <v>4237</v>
      </c>
      <c r="L729" t="s">
        <v>61</v>
      </c>
      <c r="M729" t="s">
        <v>62</v>
      </c>
      <c r="N729" t="s">
        <v>4238</v>
      </c>
      <c r="O729" t="s">
        <v>4239</v>
      </c>
      <c r="P729" s="46" t="str" cm="1">
        <f t="array" aca="1" ref="P729" ca="1">IFERROR(_xlfn.XLOOKUP(tblPedidos[[#This Row],[id_dropi]],tblNotas[[#This Row],[id__dropi]],tblNotas[[#This Row],[Notas Manuales]], “”, 0),"")</f>
        <v/>
      </c>
      <c r="R729" t="s">
        <v>2983</v>
      </c>
      <c r="S729">
        <v>28104.5</v>
      </c>
      <c r="T729">
        <v>-18345.5</v>
      </c>
      <c r="U729" cm="1">
        <f t="array" ref="U729">IFERROR(_xlfn.IFS(tblPedidos[[#This Row],[estado_operativo]]="ENTREGADO",tblPedidos[[#This Row],[ganancia_calc]],tblPedidos[[#This Row],[estado_operativo]]="DEVOLUCION",tblPedidos[[#This Row],[costo_devolucion_estimado]]),0)</f>
        <v>28104.5</v>
      </c>
      <c r="V729">
        <v>140522.5</v>
      </c>
      <c r="W729">
        <v>69900</v>
      </c>
      <c r="X729">
        <v>18345.5</v>
      </c>
      <c r="Y729">
        <v>23450</v>
      </c>
      <c r="Z729" s="11">
        <v>46038</v>
      </c>
      <c r="AA729">
        <v>6</v>
      </c>
      <c r="AB729" s="12">
        <v>5.2777777777777778E-2</v>
      </c>
      <c r="AC729" t="s">
        <v>720</v>
      </c>
      <c r="AD729" t="s">
        <v>720</v>
      </c>
      <c r="AE729" t="s">
        <v>720</v>
      </c>
    </row>
    <row r="730" spans="1:31">
      <c r="A730" t="s">
        <v>1343</v>
      </c>
      <c r="C730">
        <v>405</v>
      </c>
      <c r="D730" t="s">
        <v>4240</v>
      </c>
      <c r="E730" s="11">
        <v>46034</v>
      </c>
      <c r="F730" t="s">
        <v>4241</v>
      </c>
      <c r="G730" t="s">
        <v>45</v>
      </c>
      <c r="J730" t="s">
        <v>720</v>
      </c>
      <c r="K730" t="s">
        <v>4242</v>
      </c>
      <c r="L730" t="s">
        <v>136</v>
      </c>
      <c r="M730" t="s">
        <v>4243</v>
      </c>
      <c r="N730" t="s">
        <v>4244</v>
      </c>
      <c r="O730" t="s">
        <v>4245</v>
      </c>
      <c r="P730" s="46" t="str" cm="1">
        <f t="array" aca="1" ref="P730" ca="1">IFERROR(_xlfn.XLOOKUP(tblPedidos[[#This Row],[id_dropi]],tblNotas[[#This Row],[id__dropi]],tblNotas[[#This Row],[Notas Manuales]], “”, 0),"")</f>
        <v/>
      </c>
      <c r="Q730" t="s">
        <v>50</v>
      </c>
      <c r="R730" t="s">
        <v>3200</v>
      </c>
      <c r="S730">
        <v>27529.5</v>
      </c>
      <c r="T730">
        <v>-18570.5</v>
      </c>
      <c r="U730" cm="1">
        <f t="array" ref="U730">IFERROR(_xlfn.IFS(tblPedidos[[#This Row],[estado_operativo]]="ENTREGADO",tblPedidos[[#This Row],[ganancia_calc]],tblPedidos[[#This Row],[estado_operativo]]="DEVOLUCION",tblPedidos[[#This Row],[costo_devolucion_estimado]]),0)</f>
        <v>27529.5</v>
      </c>
      <c r="V730">
        <v>27529.5</v>
      </c>
      <c r="W730">
        <v>74900</v>
      </c>
      <c r="X730">
        <v>18570.5</v>
      </c>
      <c r="Y730">
        <v>28800</v>
      </c>
      <c r="Z730" s="11">
        <v>46042</v>
      </c>
      <c r="AA730">
        <v>2</v>
      </c>
      <c r="AB730" s="12">
        <v>0.68402777777777779</v>
      </c>
      <c r="AC730" t="s">
        <v>720</v>
      </c>
      <c r="AD730" t="s">
        <v>720</v>
      </c>
      <c r="AE730" t="s">
        <v>720</v>
      </c>
    </row>
    <row r="731" spans="1:31">
      <c r="A731" t="s">
        <v>1343</v>
      </c>
      <c r="C731">
        <v>403</v>
      </c>
      <c r="D731" t="s">
        <v>4246</v>
      </c>
      <c r="E731" s="11">
        <v>46034</v>
      </c>
      <c r="F731" t="s">
        <v>4247</v>
      </c>
      <c r="G731" t="s">
        <v>36</v>
      </c>
      <c r="J731" t="s">
        <v>720</v>
      </c>
      <c r="K731" t="s">
        <v>4248</v>
      </c>
      <c r="L731" t="s">
        <v>81</v>
      </c>
      <c r="M731" t="s">
        <v>118</v>
      </c>
      <c r="N731" t="s">
        <v>4249</v>
      </c>
      <c r="O731" t="s">
        <v>4250</v>
      </c>
      <c r="P731" s="46" t="str" cm="1">
        <f t="array" aca="1" ref="P731" ca="1">IFERROR(_xlfn.XLOOKUP(tblPedidos[[#This Row],[id_dropi]],tblNotas[[#This Row],[id__dropi]],tblNotas[[#This Row],[Notas Manuales]], “”, 0),"")</f>
        <v/>
      </c>
      <c r="Q731" t="s">
        <v>4251</v>
      </c>
      <c r="R731" t="s">
        <v>3027</v>
      </c>
      <c r="S731">
        <v>22017.5</v>
      </c>
      <c r="T731">
        <v>-10306</v>
      </c>
      <c r="U731" cm="1">
        <f t="array" ref="U731">IFERROR(_xlfn.IFS(tblPedidos[[#This Row],[estado_operativo]]="ENTREGADO",tblPedidos[[#This Row],[ganancia_calc]],tblPedidos[[#This Row],[estado_operativo]]="DEVOLUCION",tblPedidos[[#This Row],[costo_devolucion_estimado]]),0)</f>
        <v>22017.5</v>
      </c>
      <c r="V731">
        <v>132105</v>
      </c>
      <c r="W731">
        <v>84900</v>
      </c>
      <c r="X731">
        <v>12882.5</v>
      </c>
      <c r="Y731">
        <v>50000</v>
      </c>
      <c r="Z731" s="11">
        <v>46035</v>
      </c>
      <c r="AA731">
        <v>9</v>
      </c>
      <c r="AB731" s="12">
        <v>0.90833333333333333</v>
      </c>
      <c r="AC731" t="s">
        <v>399</v>
      </c>
      <c r="AD731" t="s">
        <v>720</v>
      </c>
      <c r="AE731" t="s">
        <v>720</v>
      </c>
    </row>
    <row r="732" spans="1:31">
      <c r="A732" t="s">
        <v>1343</v>
      </c>
      <c r="C732">
        <v>401</v>
      </c>
      <c r="D732" t="s">
        <v>4252</v>
      </c>
      <c r="E732" s="11">
        <v>46034</v>
      </c>
      <c r="F732" t="s">
        <v>4253</v>
      </c>
      <c r="G732" t="s">
        <v>45</v>
      </c>
      <c r="J732" t="s">
        <v>720</v>
      </c>
      <c r="K732" t="s">
        <v>4254</v>
      </c>
      <c r="L732" t="s">
        <v>545</v>
      </c>
      <c r="M732" t="s">
        <v>883</v>
      </c>
      <c r="N732" t="s">
        <v>4255</v>
      </c>
      <c r="O732" t="s">
        <v>4256</v>
      </c>
      <c r="P732" s="46" t="str" cm="1">
        <f t="array" aca="1" ref="P732" ca="1">IFERROR(_xlfn.XLOOKUP(tblPedidos[[#This Row],[id_dropi]],tblNotas[[#This Row],[id__dropi]],tblNotas[[#This Row],[Notas Manuales]], “”, 0),"")</f>
        <v/>
      </c>
      <c r="Q732" t="s">
        <v>50</v>
      </c>
      <c r="R732" t="s">
        <v>3014</v>
      </c>
      <c r="S732">
        <v>22829.5</v>
      </c>
      <c r="T732">
        <v>-17670.5</v>
      </c>
      <c r="U732" cm="1">
        <f t="array" ref="U732">IFERROR(_xlfn.IFS(tblPedidos[[#This Row],[estado_operativo]]="ENTREGADO",tblPedidos[[#This Row],[ganancia_calc]],tblPedidos[[#This Row],[estado_operativo]]="DEVOLUCION",tblPedidos[[#This Row],[costo_devolucion_estimado]]),0)</f>
        <v>22829.5</v>
      </c>
      <c r="V732">
        <v>68488.5</v>
      </c>
      <c r="W732">
        <v>54900</v>
      </c>
      <c r="X732">
        <v>17670.5</v>
      </c>
      <c r="Y732">
        <v>14400</v>
      </c>
      <c r="Z732" s="11">
        <v>46041</v>
      </c>
      <c r="AA732">
        <v>3</v>
      </c>
      <c r="AB732" s="12">
        <v>0.625</v>
      </c>
      <c r="AC732" t="s">
        <v>720</v>
      </c>
      <c r="AD732" t="s">
        <v>720</v>
      </c>
      <c r="AE732" t="s">
        <v>720</v>
      </c>
    </row>
    <row r="733" spans="1:31">
      <c r="A733" t="s">
        <v>1343</v>
      </c>
      <c r="C733">
        <v>402</v>
      </c>
      <c r="D733" t="s">
        <v>4257</v>
      </c>
      <c r="E733" s="11">
        <v>46034</v>
      </c>
      <c r="F733" t="s">
        <v>4258</v>
      </c>
      <c r="G733" t="s">
        <v>45</v>
      </c>
      <c r="J733" t="s">
        <v>720</v>
      </c>
      <c r="K733" t="s">
        <v>4259</v>
      </c>
      <c r="L733" t="s">
        <v>545</v>
      </c>
      <c r="M733" t="s">
        <v>4260</v>
      </c>
      <c r="N733" t="s">
        <v>4261</v>
      </c>
      <c r="O733" t="s">
        <v>4262</v>
      </c>
      <c r="P733" s="46" t="str" cm="1">
        <f t="array" aca="1" ref="P733" ca="1">IFERROR(_xlfn.XLOOKUP(tblPedidos[[#This Row],[id_dropi]],tblNotas[[#This Row],[id__dropi]],tblNotas[[#This Row],[Notas Manuales]], “”, 0),"")</f>
        <v/>
      </c>
      <c r="Q733" t="s">
        <v>4263</v>
      </c>
      <c r="R733" t="s">
        <v>3027</v>
      </c>
      <c r="S733">
        <v>20654.5</v>
      </c>
      <c r="T733">
        <v>-19245.5</v>
      </c>
      <c r="U733" cm="1">
        <f t="array" ref="U733">IFERROR(_xlfn.IFS(tblPedidos[[#This Row],[estado_operativo]]="ENTREGADO",tblPedidos[[#This Row],[ganancia_calc]],tblPedidos[[#This Row],[estado_operativo]]="DEVOLUCION",tblPedidos[[#This Row],[costo_devolucion_estimado]]),0)</f>
        <v>20654.5</v>
      </c>
      <c r="V733">
        <v>103272.5</v>
      </c>
      <c r="W733">
        <v>89900</v>
      </c>
      <c r="X733">
        <v>19245.5</v>
      </c>
      <c r="Y733">
        <v>50000</v>
      </c>
      <c r="Z733" s="11">
        <v>46038</v>
      </c>
      <c r="AA733">
        <v>6</v>
      </c>
      <c r="AB733" s="12">
        <v>0.75694444444444442</v>
      </c>
      <c r="AC733" t="s">
        <v>720</v>
      </c>
      <c r="AD733" t="s">
        <v>720</v>
      </c>
      <c r="AE733" t="s">
        <v>720</v>
      </c>
    </row>
    <row r="734" spans="1:31">
      <c r="A734" t="s">
        <v>1343</v>
      </c>
      <c r="C734">
        <v>431</v>
      </c>
      <c r="D734" t="s">
        <v>4264</v>
      </c>
      <c r="E734" s="11">
        <v>46034</v>
      </c>
      <c r="F734" t="s">
        <v>4265</v>
      </c>
      <c r="G734" t="s">
        <v>45</v>
      </c>
      <c r="J734" t="s">
        <v>720</v>
      </c>
      <c r="K734" t="s">
        <v>4266</v>
      </c>
      <c r="L734" t="s">
        <v>38</v>
      </c>
      <c r="M734" t="s">
        <v>278</v>
      </c>
      <c r="N734" t="s">
        <v>4267</v>
      </c>
      <c r="O734" t="s">
        <v>4268</v>
      </c>
      <c r="P734" s="46" t="str" cm="1">
        <f t="array" aca="1" ref="P734" ca="1">IFERROR(_xlfn.XLOOKUP(tblPedidos[[#This Row],[id_dropi]],tblNotas[[#This Row],[id__dropi]],tblNotas[[#This Row],[Notas Manuales]], “”, 0),"")</f>
        <v/>
      </c>
      <c r="Q734" t="s">
        <v>4269</v>
      </c>
      <c r="R734" t="s">
        <v>3014</v>
      </c>
      <c r="S734">
        <v>16801</v>
      </c>
      <c r="T734">
        <v>-18699</v>
      </c>
      <c r="U734" cm="1">
        <f t="array" ref="U734">IFERROR(_xlfn.IFS(tblPedidos[[#This Row],[estado_operativo]]="ENTREGADO",tblPedidos[[#This Row],[ganancia_calc]],tblPedidos[[#This Row],[estado_operativo]]="DEVOLUCION",tblPedidos[[#This Row],[costo_devolucion_estimado]]),0)</f>
        <v>16801</v>
      </c>
      <c r="V734">
        <v>67204</v>
      </c>
      <c r="W734">
        <v>49900</v>
      </c>
      <c r="X734">
        <v>18699</v>
      </c>
      <c r="Y734">
        <v>14400</v>
      </c>
      <c r="Z734" s="11">
        <v>46040</v>
      </c>
      <c r="AA734">
        <v>4</v>
      </c>
      <c r="AB734" s="12">
        <v>0.61875000000000002</v>
      </c>
      <c r="AC734" t="s">
        <v>720</v>
      </c>
      <c r="AD734" t="s">
        <v>720</v>
      </c>
      <c r="AE734" t="s">
        <v>720</v>
      </c>
    </row>
    <row r="735" spans="1:31">
      <c r="A735" t="s">
        <v>33</v>
      </c>
      <c r="C735">
        <v>432</v>
      </c>
      <c r="D735" t="s">
        <v>4270</v>
      </c>
      <c r="E735" s="11">
        <v>46034</v>
      </c>
      <c r="F735" t="s">
        <v>4271</v>
      </c>
      <c r="G735" t="s">
        <v>45</v>
      </c>
      <c r="J735" t="s">
        <v>1371</v>
      </c>
      <c r="K735" t="s">
        <v>4272</v>
      </c>
      <c r="L735" t="s">
        <v>152</v>
      </c>
      <c r="M735" t="s">
        <v>4273</v>
      </c>
      <c r="N735" t="s">
        <v>4274</v>
      </c>
      <c r="O735" t="s">
        <v>4275</v>
      </c>
      <c r="P735" s="46" t="str" cm="1">
        <f t="array" aca="1" ref="P735" ca="1">IFERROR(_xlfn.XLOOKUP(tblPedidos[[#This Row],[id_dropi]],tblNotas[[#This Row],[id__dropi]],tblNotas[[#This Row],[Notas Manuales]], “”, 0),"")</f>
        <v/>
      </c>
      <c r="Q735" t="s">
        <v>4274</v>
      </c>
      <c r="R735" t="s">
        <v>3137</v>
      </c>
      <c r="S735">
        <v>22054.5</v>
      </c>
      <c r="T735">
        <v>-17895.5</v>
      </c>
      <c r="U735" cm="1">
        <f t="array" ref="U735">IFERROR(_xlfn.IFS(tblPedidos[[#This Row],[estado_operativo]]="ENTREGADO",tblPedidos[[#This Row],[ganancia_calc]],tblPedidos[[#This Row],[estado_operativo]]="DEVOLUCION",tblPedidos[[#This Row],[costo_devolucion_estimado]]),0)</f>
        <v>0</v>
      </c>
      <c r="V735">
        <v>0</v>
      </c>
      <c r="W735">
        <v>59900</v>
      </c>
      <c r="X735">
        <v>17895.5</v>
      </c>
      <c r="Y735">
        <v>19950</v>
      </c>
      <c r="Z735" s="11">
        <v>46043</v>
      </c>
      <c r="AA735">
        <v>1</v>
      </c>
      <c r="AB735" s="12">
        <v>0.43472222222222223</v>
      </c>
      <c r="AC735" t="s">
        <v>982</v>
      </c>
      <c r="AD735" t="s">
        <v>982</v>
      </c>
      <c r="AE735" t="s">
        <v>1371</v>
      </c>
    </row>
    <row r="736" spans="1:31">
      <c r="A736" t="s">
        <v>1343</v>
      </c>
      <c r="C736">
        <v>430</v>
      </c>
      <c r="D736" t="s">
        <v>4276</v>
      </c>
      <c r="E736" s="11">
        <v>46034</v>
      </c>
      <c r="F736" t="s">
        <v>4277</v>
      </c>
      <c r="G736" t="s">
        <v>45</v>
      </c>
      <c r="J736" t="s">
        <v>720</v>
      </c>
      <c r="K736" t="s">
        <v>4278</v>
      </c>
      <c r="L736" t="s">
        <v>328</v>
      </c>
      <c r="M736" t="s">
        <v>329</v>
      </c>
      <c r="N736" t="s">
        <v>4279</v>
      </c>
      <c r="O736" t="s">
        <v>4280</v>
      </c>
      <c r="P736" s="46" t="str" cm="1">
        <f t="array" aca="1" ref="P736" ca="1">IFERROR(_xlfn.XLOOKUP(tblPedidos[[#This Row],[id_dropi]],tblNotas[[#This Row],[id__dropi]],tblNotas[[#This Row],[Notas Manuales]], “”, 0),"")</f>
        <v/>
      </c>
      <c r="R736" t="s">
        <v>3014</v>
      </c>
      <c r="S736">
        <v>27379.5</v>
      </c>
      <c r="T736">
        <v>-13120.5</v>
      </c>
      <c r="U736" cm="1">
        <f t="array" ref="U736">IFERROR(_xlfn.IFS(tblPedidos[[#This Row],[estado_operativo]]="ENTREGADO",tblPedidos[[#This Row],[ganancia_calc]],tblPedidos[[#This Row],[estado_operativo]]="DEVOLUCION",tblPedidos[[#This Row],[costo_devolucion_estimado]]),0)</f>
        <v>27379.5</v>
      </c>
      <c r="V736">
        <v>136897.5</v>
      </c>
      <c r="W736">
        <v>54900</v>
      </c>
      <c r="X736">
        <v>13120.5</v>
      </c>
      <c r="Y736">
        <v>14400</v>
      </c>
      <c r="Z736" s="11">
        <v>46038</v>
      </c>
      <c r="AA736">
        <v>6</v>
      </c>
      <c r="AB736" s="12">
        <v>0.67291666666666672</v>
      </c>
      <c r="AC736" t="s">
        <v>720</v>
      </c>
      <c r="AD736" t="s">
        <v>720</v>
      </c>
      <c r="AE736" t="s">
        <v>720</v>
      </c>
    </row>
    <row r="737" spans="1:31">
      <c r="A737" t="s">
        <v>33</v>
      </c>
      <c r="C737">
        <v>428</v>
      </c>
      <c r="D737" t="s">
        <v>4281</v>
      </c>
      <c r="E737" s="11">
        <v>46034</v>
      </c>
      <c r="F737" t="s">
        <v>4282</v>
      </c>
      <c r="G737" t="s">
        <v>45</v>
      </c>
      <c r="J737" t="s">
        <v>1371</v>
      </c>
      <c r="K737" t="s">
        <v>4283</v>
      </c>
      <c r="L737" t="s">
        <v>46</v>
      </c>
      <c r="M737" t="s">
        <v>100</v>
      </c>
      <c r="N737" t="s">
        <v>4284</v>
      </c>
      <c r="O737" t="s">
        <v>4285</v>
      </c>
      <c r="P737" s="46" t="str" cm="1">
        <f t="array" aca="1" ref="P737" ca="1">IFERROR(_xlfn.XLOOKUP(tblPedidos[[#This Row],[id_dropi]],tblNotas[[#This Row],[id__dropi]],tblNotas[[#This Row],[Notas Manuales]], “”, 0),"")</f>
        <v/>
      </c>
      <c r="Q737" t="s">
        <v>4286</v>
      </c>
      <c r="R737" t="s">
        <v>3149</v>
      </c>
      <c r="S737">
        <v>17004.5</v>
      </c>
      <c r="T737">
        <v>-17895.5</v>
      </c>
      <c r="U737" cm="1">
        <f t="array" ref="U737">IFERROR(_xlfn.IFS(tblPedidos[[#This Row],[estado_operativo]]="ENTREGADO",tblPedidos[[#This Row],[ganancia_calc]],tblPedidos[[#This Row],[estado_operativo]]="DEVOLUCION",tblPedidos[[#This Row],[costo_devolucion_estimado]]),0)</f>
        <v>0</v>
      </c>
      <c r="V737">
        <v>0</v>
      </c>
      <c r="W737">
        <v>59900</v>
      </c>
      <c r="X737">
        <v>17895.5</v>
      </c>
      <c r="Y737">
        <v>25000</v>
      </c>
      <c r="Z737" s="11">
        <v>46043</v>
      </c>
      <c r="AA737">
        <v>1</v>
      </c>
      <c r="AB737" s="12">
        <v>0.43541666666666667</v>
      </c>
      <c r="AC737" t="s">
        <v>982</v>
      </c>
      <c r="AD737" t="s">
        <v>982</v>
      </c>
      <c r="AE737" t="s">
        <v>1371</v>
      </c>
    </row>
    <row r="738" spans="1:31">
      <c r="A738" t="s">
        <v>33</v>
      </c>
      <c r="C738">
        <v>429</v>
      </c>
      <c r="D738" t="s">
        <v>4287</v>
      </c>
      <c r="E738" s="11">
        <v>46034</v>
      </c>
      <c r="F738" t="s">
        <v>4288</v>
      </c>
      <c r="G738" t="s">
        <v>45</v>
      </c>
      <c r="J738" t="s">
        <v>720</v>
      </c>
      <c r="K738" t="s">
        <v>4289</v>
      </c>
      <c r="L738" t="s">
        <v>54</v>
      </c>
      <c r="M738" t="s">
        <v>4290</v>
      </c>
      <c r="N738" t="s">
        <v>4291</v>
      </c>
      <c r="O738" t="s">
        <v>4292</v>
      </c>
      <c r="P738" s="46" t="str" cm="1">
        <f t="array" aca="1" ref="P738" ca="1">IFERROR(_xlfn.XLOOKUP(tblPedidos[[#This Row],[id_dropi]],tblNotas[[#This Row],[id__dropi]],tblNotas[[#This Row],[Notas Manuales]], “”, 0),"")</f>
        <v/>
      </c>
      <c r="Q738" t="s">
        <v>50</v>
      </c>
      <c r="R738" t="s">
        <v>3200</v>
      </c>
      <c r="S738">
        <v>22754.5</v>
      </c>
      <c r="T738">
        <v>-18345.5</v>
      </c>
      <c r="U738" cm="1">
        <f t="array" ref="U738">IFERROR(_xlfn.IFS(tblPedidos[[#This Row],[estado_operativo]]="ENTREGADO",tblPedidos[[#This Row],[ganancia_calc]],tblPedidos[[#This Row],[estado_operativo]]="DEVOLUCION",tblPedidos[[#This Row],[costo_devolucion_estimado]]),0)</f>
        <v>22754.5</v>
      </c>
      <c r="V738">
        <v>0</v>
      </c>
      <c r="W738">
        <v>69900</v>
      </c>
      <c r="X738">
        <v>18345.5</v>
      </c>
      <c r="Y738">
        <v>28800</v>
      </c>
      <c r="Z738" s="11">
        <v>46043</v>
      </c>
      <c r="AA738">
        <v>1</v>
      </c>
      <c r="AB738" s="12">
        <v>0.43333333333333335</v>
      </c>
      <c r="AC738" t="s">
        <v>982</v>
      </c>
      <c r="AD738" t="s">
        <v>720</v>
      </c>
      <c r="AE738" t="s">
        <v>720</v>
      </c>
    </row>
    <row r="739" spans="1:31">
      <c r="A739" t="s">
        <v>1343</v>
      </c>
      <c r="C739">
        <v>436</v>
      </c>
      <c r="D739" t="s">
        <v>4293</v>
      </c>
      <c r="E739" s="11">
        <v>46034</v>
      </c>
      <c r="F739" t="s">
        <v>4294</v>
      </c>
      <c r="G739" t="s">
        <v>36</v>
      </c>
      <c r="J739" t="s">
        <v>720</v>
      </c>
      <c r="K739" t="s">
        <v>4295</v>
      </c>
      <c r="L739" t="s">
        <v>662</v>
      </c>
      <c r="M739" t="s">
        <v>4296</v>
      </c>
      <c r="N739" t="s">
        <v>4297</v>
      </c>
      <c r="O739" t="s">
        <v>4298</v>
      </c>
      <c r="P739" s="46" t="str" cm="1">
        <f t="array" aca="1" ref="P739" ca="1">IFERROR(_xlfn.XLOOKUP(tblPedidos[[#This Row],[id_dropi]],tblNotas[[#This Row],[id__dropi]],tblNotas[[#This Row],[Notas Manuales]], “”, 0),"")</f>
        <v/>
      </c>
      <c r="Q739" t="s">
        <v>4299</v>
      </c>
      <c r="R739" t="s">
        <v>3014</v>
      </c>
      <c r="S739">
        <v>25511.5</v>
      </c>
      <c r="T739">
        <v>-11990.800000000001</v>
      </c>
      <c r="U739" cm="1">
        <f t="array" ref="U739">IFERROR(_xlfn.IFS(tblPedidos[[#This Row],[estado_operativo]]="ENTREGADO",tblPedidos[[#This Row],[ganancia_calc]],tblPedidos[[#This Row],[estado_operativo]]="DEVOLUCION",tblPedidos[[#This Row],[costo_devolucion_estimado]]),0)</f>
        <v>25511.5</v>
      </c>
      <c r="V739">
        <v>25511.5</v>
      </c>
      <c r="W739">
        <v>54900</v>
      </c>
      <c r="X739">
        <v>14988.5</v>
      </c>
      <c r="Y739">
        <v>14400</v>
      </c>
      <c r="Z739" s="11">
        <v>46037</v>
      </c>
      <c r="AA739">
        <v>7</v>
      </c>
      <c r="AB739" s="12">
        <v>0.68333333333333335</v>
      </c>
      <c r="AC739" t="s">
        <v>399</v>
      </c>
      <c r="AD739" t="s">
        <v>720</v>
      </c>
      <c r="AE739" t="s">
        <v>720</v>
      </c>
    </row>
    <row r="740" spans="1:31">
      <c r="A740" t="s">
        <v>1343</v>
      </c>
      <c r="C740">
        <v>437</v>
      </c>
      <c r="D740" t="s">
        <v>4300</v>
      </c>
      <c r="E740" s="11">
        <v>46034</v>
      </c>
      <c r="F740" t="s">
        <v>4301</v>
      </c>
      <c r="G740" t="s">
        <v>36</v>
      </c>
      <c r="J740" t="s">
        <v>720</v>
      </c>
      <c r="K740" t="s">
        <v>4302</v>
      </c>
      <c r="L740" t="s">
        <v>81</v>
      </c>
      <c r="M740" t="s">
        <v>118</v>
      </c>
      <c r="N740" t="s">
        <v>4303</v>
      </c>
      <c r="O740" t="s">
        <v>4304</v>
      </c>
      <c r="P740" s="46" t="str" cm="1">
        <f t="array" aca="1" ref="P740" ca="1">IFERROR(_xlfn.XLOOKUP(tblPedidos[[#This Row],[id_dropi]],tblNotas[[#This Row],[id__dropi]],tblNotas[[#This Row],[Notas Manuales]], “”, 0),"")</f>
        <v/>
      </c>
      <c r="Q740" t="s">
        <v>4305</v>
      </c>
      <c r="R740" t="s">
        <v>3137</v>
      </c>
      <c r="S740">
        <v>26896.5</v>
      </c>
      <c r="T740">
        <v>-10442.800000000001</v>
      </c>
      <c r="U740" cm="1">
        <f t="array" ref="U740">IFERROR(_xlfn.IFS(tblPedidos[[#This Row],[estado_operativo]]="ENTREGADO",tblPedidos[[#This Row],[ganancia_calc]],tblPedidos[[#This Row],[estado_operativo]]="DEVOLUCION",tblPedidos[[#This Row],[costo_devolucion_estimado]]),0)</f>
        <v>26896.5</v>
      </c>
      <c r="V740">
        <v>161379</v>
      </c>
      <c r="W740">
        <v>59900</v>
      </c>
      <c r="X740">
        <v>13053.5</v>
      </c>
      <c r="Y740">
        <v>19950</v>
      </c>
      <c r="Z740" s="11">
        <v>46035</v>
      </c>
      <c r="AA740">
        <v>9</v>
      </c>
      <c r="AB740" s="12">
        <v>0.87291666666666667</v>
      </c>
      <c r="AC740" t="s">
        <v>399</v>
      </c>
      <c r="AD740" t="s">
        <v>720</v>
      </c>
      <c r="AE740" t="s">
        <v>720</v>
      </c>
    </row>
    <row r="741" spans="1:31">
      <c r="A741" t="s">
        <v>1343</v>
      </c>
      <c r="C741">
        <v>435</v>
      </c>
      <c r="D741" t="s">
        <v>4306</v>
      </c>
      <c r="E741" s="11">
        <v>46034</v>
      </c>
      <c r="F741" t="s">
        <v>4307</v>
      </c>
      <c r="G741" t="s">
        <v>45</v>
      </c>
      <c r="J741" t="s">
        <v>720</v>
      </c>
      <c r="K741" t="s">
        <v>4308</v>
      </c>
      <c r="L741" t="s">
        <v>152</v>
      </c>
      <c r="M741" t="s">
        <v>4309</v>
      </c>
      <c r="N741" t="s">
        <v>4310</v>
      </c>
      <c r="O741" t="s">
        <v>4311</v>
      </c>
      <c r="P741" s="46" t="str" cm="1">
        <f t="array" aca="1" ref="P741" ca="1">IFERROR(_xlfn.XLOOKUP(tblPedidos[[#This Row],[id_dropi]],tblNotas[[#This Row],[id__dropi]],tblNotas[[#This Row],[Notas Manuales]], “”, 0),"")</f>
        <v/>
      </c>
      <c r="Q741" t="s">
        <v>4310</v>
      </c>
      <c r="R741" t="s">
        <v>3027</v>
      </c>
      <c r="S741">
        <v>20654.5</v>
      </c>
      <c r="T741">
        <v>-19245.5</v>
      </c>
      <c r="U741" cm="1">
        <f t="array" ref="U741">IFERROR(_xlfn.IFS(tblPedidos[[#This Row],[estado_operativo]]="ENTREGADO",tblPedidos[[#This Row],[ganancia_calc]],tblPedidos[[#This Row],[estado_operativo]]="DEVOLUCION",tblPedidos[[#This Row],[costo_devolucion_estimado]]),0)</f>
        <v>20654.5</v>
      </c>
      <c r="V741">
        <v>103272.5</v>
      </c>
      <c r="W741">
        <v>89900</v>
      </c>
      <c r="X741">
        <v>19245.5</v>
      </c>
      <c r="Y741">
        <v>50000</v>
      </c>
      <c r="Z741" s="11">
        <v>46038</v>
      </c>
      <c r="AA741">
        <v>6</v>
      </c>
      <c r="AB741" s="12">
        <v>0.75694444444444442</v>
      </c>
      <c r="AC741" t="s">
        <v>720</v>
      </c>
      <c r="AD741" t="s">
        <v>720</v>
      </c>
      <c r="AE741" t="s">
        <v>720</v>
      </c>
    </row>
    <row r="742" spans="1:31">
      <c r="A742" t="s">
        <v>33</v>
      </c>
      <c r="C742">
        <v>433</v>
      </c>
      <c r="D742" t="s">
        <v>4312</v>
      </c>
      <c r="E742" s="11">
        <v>46034</v>
      </c>
      <c r="F742" t="s">
        <v>4313</v>
      </c>
      <c r="G742" t="s">
        <v>45</v>
      </c>
      <c r="J742" t="s">
        <v>720</v>
      </c>
      <c r="K742" t="s">
        <v>4314</v>
      </c>
      <c r="L742" t="s">
        <v>74</v>
      </c>
      <c r="M742" t="s">
        <v>1555</v>
      </c>
      <c r="N742" t="s">
        <v>4315</v>
      </c>
      <c r="O742" t="s">
        <v>4316</v>
      </c>
      <c r="P742" s="46" t="str" cm="1">
        <f t="array" aca="1" ref="P742" ca="1">IFERROR(_xlfn.XLOOKUP(tblPedidos[[#This Row],[id_dropi]],tblNotas[[#This Row],[id__dropi]],tblNotas[[#This Row],[Notas Manuales]], “”, 0),"")</f>
        <v/>
      </c>
      <c r="R742" t="s">
        <v>3200</v>
      </c>
      <c r="S742">
        <v>27529.5</v>
      </c>
      <c r="T742">
        <v>-18570.5</v>
      </c>
      <c r="U742" cm="1">
        <f t="array" ref="U742">IFERROR(_xlfn.IFS(tblPedidos[[#This Row],[estado_operativo]]="ENTREGADO",tblPedidos[[#This Row],[ganancia_calc]],tblPedidos[[#This Row],[estado_operativo]]="DEVOLUCION",tblPedidos[[#This Row],[costo_devolucion_estimado]]),0)</f>
        <v>27529.5</v>
      </c>
      <c r="V742">
        <v>0</v>
      </c>
      <c r="W742">
        <v>74900</v>
      </c>
      <c r="X742">
        <v>18570.5</v>
      </c>
      <c r="Y742">
        <v>28800</v>
      </c>
      <c r="Z742" s="11">
        <v>46043</v>
      </c>
      <c r="AA742">
        <v>1</v>
      </c>
      <c r="AB742" s="12">
        <v>0.75555555555555554</v>
      </c>
      <c r="AC742" t="s">
        <v>725</v>
      </c>
      <c r="AD742" t="s">
        <v>720</v>
      </c>
      <c r="AE742" t="s">
        <v>720</v>
      </c>
    </row>
    <row r="743" spans="1:31">
      <c r="A743" t="s">
        <v>1343</v>
      </c>
      <c r="C743">
        <v>434</v>
      </c>
      <c r="D743" t="s">
        <v>4317</v>
      </c>
      <c r="E743" s="11">
        <v>46034</v>
      </c>
      <c r="F743" t="s">
        <v>4318</v>
      </c>
      <c r="G743" t="s">
        <v>36</v>
      </c>
      <c r="J743" t="s">
        <v>720</v>
      </c>
      <c r="K743" t="s">
        <v>4319</v>
      </c>
      <c r="L743" t="s">
        <v>38</v>
      </c>
      <c r="M743" t="s">
        <v>39</v>
      </c>
      <c r="N743" t="s">
        <v>4320</v>
      </c>
      <c r="O743" t="s">
        <v>4321</v>
      </c>
      <c r="P743" s="46" t="str" cm="1">
        <f t="array" aca="1" ref="P743" ca="1">IFERROR(_xlfn.XLOOKUP(tblPedidos[[#This Row],[id_dropi]],tblNotas[[#This Row],[id__dropi]],tblNotas[[#This Row],[Notas Manuales]], “”, 0),"")</f>
        <v/>
      </c>
      <c r="R743" t="s">
        <v>3014</v>
      </c>
      <c r="S743">
        <v>25511.5</v>
      </c>
      <c r="T743">
        <v>-11990.800000000001</v>
      </c>
      <c r="U743" cm="1">
        <f t="array" ref="U743">IFERROR(_xlfn.IFS(tblPedidos[[#This Row],[estado_operativo]]="ENTREGADO",tblPedidos[[#This Row],[ganancia_calc]],tblPedidos[[#This Row],[estado_operativo]]="DEVOLUCION",tblPedidos[[#This Row],[costo_devolucion_estimado]]),0)</f>
        <v>25511.5</v>
      </c>
      <c r="V743">
        <v>25511.5</v>
      </c>
      <c r="W743">
        <v>54900</v>
      </c>
      <c r="X743">
        <v>14988.5</v>
      </c>
      <c r="Y743">
        <v>14400</v>
      </c>
      <c r="Z743" s="11">
        <v>46037</v>
      </c>
      <c r="AA743">
        <v>7</v>
      </c>
      <c r="AB743" s="12">
        <v>0.68819444444444444</v>
      </c>
      <c r="AC743" t="s">
        <v>399</v>
      </c>
      <c r="AD743" t="s">
        <v>720</v>
      </c>
      <c r="AE743" t="s">
        <v>720</v>
      </c>
    </row>
    <row r="744" spans="1:31">
      <c r="A744" t="s">
        <v>33</v>
      </c>
      <c r="C744">
        <v>427</v>
      </c>
      <c r="D744" t="s">
        <v>4322</v>
      </c>
      <c r="E744" s="11">
        <v>46034</v>
      </c>
      <c r="F744" t="s">
        <v>4323</v>
      </c>
      <c r="G744" t="s">
        <v>36</v>
      </c>
      <c r="J744" t="s">
        <v>522</v>
      </c>
      <c r="K744" t="s">
        <v>4324</v>
      </c>
      <c r="L744" t="s">
        <v>38</v>
      </c>
      <c r="M744" t="s">
        <v>39</v>
      </c>
      <c r="N744" t="s">
        <v>4325</v>
      </c>
      <c r="O744" t="s">
        <v>4326</v>
      </c>
      <c r="P744" s="46" t="str" cm="1">
        <f t="array" aca="1" ref="P744" ca="1">IFERROR(_xlfn.XLOOKUP(tblPedidos[[#This Row],[id_dropi]],tblNotas[[#This Row],[id__dropi]],tblNotas[[#This Row],[Notas Manuales]], “”, 0),"")</f>
        <v/>
      </c>
      <c r="Q744" t="s">
        <v>4327</v>
      </c>
      <c r="R744" t="s">
        <v>4328</v>
      </c>
      <c r="S744">
        <v>26984.589999999997</v>
      </c>
      <c r="T744">
        <v>-14330.728000000001</v>
      </c>
      <c r="U744" cm="1">
        <f t="array" ref="U744">IFERROR(_xlfn.IFS(tblPedidos[[#This Row],[estado_operativo]]="ENTREGADO",tblPedidos[[#This Row],[ganancia_calc]],tblPedidos[[#This Row],[estado_operativo]]="DEVOLUCION",tblPedidos[[#This Row],[costo_devolucion_estimado]]),0)</f>
        <v>0</v>
      </c>
      <c r="V744">
        <v>0</v>
      </c>
      <c r="W744">
        <v>119898</v>
      </c>
      <c r="X744">
        <v>17913.41</v>
      </c>
      <c r="Y744">
        <v>75000</v>
      </c>
      <c r="Z744" s="11">
        <v>46035</v>
      </c>
      <c r="AA744">
        <v>9</v>
      </c>
      <c r="AB744" s="12">
        <v>0.90555555555555556</v>
      </c>
      <c r="AC744" t="s">
        <v>399</v>
      </c>
      <c r="AD744" t="s">
        <v>527</v>
      </c>
      <c r="AE744" t="s">
        <v>522</v>
      </c>
    </row>
    <row r="745" spans="1:31">
      <c r="A745" t="s">
        <v>1343</v>
      </c>
      <c r="C745">
        <v>420</v>
      </c>
      <c r="D745" t="s">
        <v>4329</v>
      </c>
      <c r="E745" s="11">
        <v>46034</v>
      </c>
      <c r="F745" t="s">
        <v>4330</v>
      </c>
      <c r="G745" t="s">
        <v>45</v>
      </c>
      <c r="J745" t="s">
        <v>720</v>
      </c>
      <c r="K745" t="s">
        <v>4331</v>
      </c>
      <c r="L745" t="s">
        <v>46</v>
      </c>
      <c r="M745" t="s">
        <v>3844</v>
      </c>
      <c r="N745" t="s">
        <v>4332</v>
      </c>
      <c r="O745" t="s">
        <v>4333</v>
      </c>
      <c r="P745" s="46" t="str" cm="1">
        <f t="array" aca="1" ref="P745" ca="1">IFERROR(_xlfn.XLOOKUP(tblPedidos[[#This Row],[id_dropi]],tblNotas[[#This Row],[id__dropi]],tblNotas[[#This Row],[Notas Manuales]], “”, 0),"")</f>
        <v/>
      </c>
      <c r="Q745" t="s">
        <v>4334</v>
      </c>
      <c r="R745" t="s">
        <v>3149</v>
      </c>
      <c r="S745">
        <v>17004.5</v>
      </c>
      <c r="T745">
        <v>-17895.5</v>
      </c>
      <c r="U745" cm="1">
        <f t="array" ref="U745">IFERROR(_xlfn.IFS(tblPedidos[[#This Row],[estado_operativo]]="ENTREGADO",tblPedidos[[#This Row],[ganancia_calc]],tblPedidos[[#This Row],[estado_operativo]]="DEVOLUCION",tblPedidos[[#This Row],[costo_devolucion_estimado]]),0)</f>
        <v>17004.5</v>
      </c>
      <c r="V745">
        <v>85022.5</v>
      </c>
      <c r="W745">
        <v>59900</v>
      </c>
      <c r="X745">
        <v>17895.5</v>
      </c>
      <c r="Y745">
        <v>25000</v>
      </c>
      <c r="Z745" s="11">
        <v>46038</v>
      </c>
      <c r="AA745">
        <v>6</v>
      </c>
      <c r="AB745" s="12">
        <v>0.6791666666666667</v>
      </c>
      <c r="AC745" t="s">
        <v>720</v>
      </c>
      <c r="AD745" t="s">
        <v>720</v>
      </c>
      <c r="AE745" t="s">
        <v>720</v>
      </c>
    </row>
    <row r="746" spans="1:31">
      <c r="A746" t="s">
        <v>33</v>
      </c>
      <c r="C746">
        <v>421</v>
      </c>
      <c r="D746" t="s">
        <v>4335</v>
      </c>
      <c r="E746" s="11">
        <v>46034</v>
      </c>
      <c r="F746" t="s">
        <v>4336</v>
      </c>
      <c r="G746" t="s">
        <v>36</v>
      </c>
      <c r="J746" t="s">
        <v>522</v>
      </c>
      <c r="K746" t="s">
        <v>4337</v>
      </c>
      <c r="L746" t="s">
        <v>166</v>
      </c>
      <c r="M746" t="s">
        <v>4338</v>
      </c>
      <c r="N746" t="s">
        <v>4339</v>
      </c>
      <c r="O746" t="s">
        <v>4340</v>
      </c>
      <c r="P746" s="46" t="str" cm="1">
        <f t="array" aca="1" ref="P746" ca="1">IFERROR(_xlfn.XLOOKUP(tblPedidos[[#This Row],[id_dropi]],tblNotas[[#This Row],[id__dropi]],tblNotas[[#This Row],[Notas Manuales]], “”, 0),"")</f>
        <v/>
      </c>
      <c r="R746" t="s">
        <v>3200</v>
      </c>
      <c r="S746">
        <v>30211.5</v>
      </c>
      <c r="T746">
        <v>-12710.800000000001</v>
      </c>
      <c r="U746" cm="1">
        <f t="array" ref="U746">IFERROR(_xlfn.IFS(tblPedidos[[#This Row],[estado_operativo]]="ENTREGADO",tblPedidos[[#This Row],[ganancia_calc]],tblPedidos[[#This Row],[estado_operativo]]="DEVOLUCION",tblPedidos[[#This Row],[costo_devolucion_estimado]]),0)</f>
        <v>0</v>
      </c>
      <c r="V746">
        <v>0</v>
      </c>
      <c r="W746">
        <v>74900</v>
      </c>
      <c r="X746">
        <v>15888.5</v>
      </c>
      <c r="Y746">
        <v>28800</v>
      </c>
      <c r="Z746" s="11">
        <v>46037</v>
      </c>
      <c r="AA746">
        <v>7</v>
      </c>
      <c r="AB746" s="12">
        <v>0.68194444444444446</v>
      </c>
      <c r="AC746" t="s">
        <v>399</v>
      </c>
      <c r="AD746" t="s">
        <v>527</v>
      </c>
      <c r="AE746" t="s">
        <v>522</v>
      </c>
    </row>
    <row r="747" spans="1:31">
      <c r="A747" t="s">
        <v>1343</v>
      </c>
      <c r="C747">
        <v>419</v>
      </c>
      <c r="D747" t="s">
        <v>4341</v>
      </c>
      <c r="E747" s="11">
        <v>46034</v>
      </c>
      <c r="F747" t="s">
        <v>4342</v>
      </c>
      <c r="G747" t="s">
        <v>45</v>
      </c>
      <c r="J747" t="s">
        <v>720</v>
      </c>
      <c r="K747" t="s">
        <v>4343</v>
      </c>
      <c r="L747" t="s">
        <v>46</v>
      </c>
      <c r="M747" t="s">
        <v>311</v>
      </c>
      <c r="N747" t="s">
        <v>4344</v>
      </c>
      <c r="O747" t="s">
        <v>4345</v>
      </c>
      <c r="P747" s="46" t="str" cm="1">
        <f t="array" aca="1" ref="P747" ca="1">IFERROR(_xlfn.XLOOKUP(tblPedidos[[#This Row],[id_dropi]],tblNotas[[#This Row],[id__dropi]],tblNotas[[#This Row],[Notas Manuales]], “”, 0),"")</f>
        <v/>
      </c>
      <c r="R747" t="s">
        <v>3014</v>
      </c>
      <c r="S747">
        <v>27379.5</v>
      </c>
      <c r="T747">
        <v>-13120.5</v>
      </c>
      <c r="U747" cm="1">
        <f t="array" ref="U747">IFERROR(_xlfn.IFS(tblPedidos[[#This Row],[estado_operativo]]="ENTREGADO",tblPedidos[[#This Row],[ganancia_calc]],tblPedidos[[#This Row],[estado_operativo]]="DEVOLUCION",tblPedidos[[#This Row],[costo_devolucion_estimado]]),0)</f>
        <v>27379.5</v>
      </c>
      <c r="V747">
        <v>136897.5</v>
      </c>
      <c r="W747">
        <v>54900</v>
      </c>
      <c r="X747">
        <v>13120.5</v>
      </c>
      <c r="Y747">
        <v>14400</v>
      </c>
      <c r="Z747" s="11">
        <v>46038</v>
      </c>
      <c r="AA747">
        <v>6</v>
      </c>
      <c r="AB747" s="12">
        <v>0.67291666666666672</v>
      </c>
      <c r="AC747" t="s">
        <v>720</v>
      </c>
      <c r="AD747" t="s">
        <v>720</v>
      </c>
      <c r="AE747" t="s">
        <v>720</v>
      </c>
    </row>
    <row r="748" spans="1:31">
      <c r="A748" t="s">
        <v>1343</v>
      </c>
      <c r="C748">
        <v>417</v>
      </c>
      <c r="D748" t="s">
        <v>4346</v>
      </c>
      <c r="E748" s="11">
        <v>46034</v>
      </c>
      <c r="F748" t="s">
        <v>4347</v>
      </c>
      <c r="G748" t="s">
        <v>45</v>
      </c>
      <c r="J748" t="s">
        <v>1657</v>
      </c>
      <c r="K748" t="s">
        <v>4348</v>
      </c>
      <c r="L748" t="s">
        <v>38</v>
      </c>
      <c r="M748" t="s">
        <v>39</v>
      </c>
      <c r="N748" t="s">
        <v>4349</v>
      </c>
      <c r="O748" t="s">
        <v>4350</v>
      </c>
      <c r="P748" s="46" t="str" cm="1">
        <f t="array" aca="1" ref="P748" ca="1">IFERROR(_xlfn.XLOOKUP(tblPedidos[[#This Row],[id_dropi]],tblNotas[[#This Row],[id__dropi]],tblNotas[[#This Row],[Notas Manuales]], “”, 0),"")</f>
        <v/>
      </c>
      <c r="Q748" t="s">
        <v>4351</v>
      </c>
      <c r="R748" t="s">
        <v>3027</v>
      </c>
      <c r="S748">
        <v>20654.5</v>
      </c>
      <c r="T748">
        <v>-19245.5</v>
      </c>
      <c r="U748" cm="1">
        <f t="array" ref="U748">IFERROR(_xlfn.IFS(tblPedidos[[#This Row],[estado_operativo]]="ENTREGADO",tblPedidos[[#This Row],[ganancia_calc]],tblPedidos[[#This Row],[estado_operativo]]="DEVOLUCION",tblPedidos[[#This Row],[costo_devolucion_estimado]]),0)</f>
        <v>-19245.5</v>
      </c>
      <c r="V748">
        <v>-19245.5</v>
      </c>
      <c r="W748">
        <v>89900</v>
      </c>
      <c r="X748">
        <v>19245.5</v>
      </c>
      <c r="Y748">
        <v>50000</v>
      </c>
      <c r="Z748" s="11">
        <v>46043</v>
      </c>
      <c r="AA748">
        <v>1</v>
      </c>
      <c r="AB748" s="12">
        <v>0.75694444444444442</v>
      </c>
      <c r="AC748" t="s">
        <v>756</v>
      </c>
      <c r="AD748" t="s">
        <v>1657</v>
      </c>
      <c r="AE748" t="s">
        <v>1657</v>
      </c>
    </row>
    <row r="749" spans="1:31">
      <c r="A749" t="s">
        <v>33</v>
      </c>
      <c r="C749">
        <v>418</v>
      </c>
      <c r="D749" t="s">
        <v>4352</v>
      </c>
      <c r="E749" s="11">
        <v>46034</v>
      </c>
      <c r="F749" t="s">
        <v>4353</v>
      </c>
      <c r="G749" t="s">
        <v>958</v>
      </c>
      <c r="J749" t="s">
        <v>3550</v>
      </c>
      <c r="K749" t="s">
        <v>4354</v>
      </c>
      <c r="L749" t="s">
        <v>81</v>
      </c>
      <c r="M749" t="s">
        <v>118</v>
      </c>
      <c r="N749" t="s">
        <v>4355</v>
      </c>
      <c r="O749" t="s">
        <v>4356</v>
      </c>
      <c r="P749" s="46" t="str" cm="1">
        <f t="array" aca="1" ref="P749" ca="1">IFERROR(_xlfn.XLOOKUP(tblPedidos[[#This Row],[id_dropi]],tblNotas[[#This Row],[id__dropi]],tblNotas[[#This Row],[Notas Manuales]], “”, 0),"")</f>
        <v/>
      </c>
      <c r="R749" t="s">
        <v>3335</v>
      </c>
      <c r="S749">
        <v>37857</v>
      </c>
      <c r="T749">
        <v>-11474.400000000001</v>
      </c>
      <c r="U749" cm="1">
        <f t="array" ref="U749">IFERROR(_xlfn.IFS(tblPedidos[[#This Row],[estado_operativo]]="ENTREGADO",tblPedidos[[#This Row],[ganancia_calc]],tblPedidos[[#This Row],[estado_operativo]]="DEVOLUCION",tblPedidos[[#This Row],[costo_devolucion_estimado]]),0)</f>
        <v>0</v>
      </c>
      <c r="V749">
        <v>0</v>
      </c>
      <c r="W749">
        <v>109800</v>
      </c>
      <c r="X749">
        <v>14343</v>
      </c>
      <c r="Y749">
        <v>57600</v>
      </c>
      <c r="Z749" s="11">
        <v>46042</v>
      </c>
      <c r="AA749">
        <v>2</v>
      </c>
      <c r="AB749" s="12">
        <v>0.74722222222222223</v>
      </c>
      <c r="AC749" t="s">
        <v>3550</v>
      </c>
      <c r="AD749" t="s">
        <v>3550</v>
      </c>
      <c r="AE749" t="s">
        <v>3550</v>
      </c>
    </row>
    <row r="750" spans="1:31">
      <c r="A750" t="s">
        <v>33</v>
      </c>
      <c r="C750">
        <v>425</v>
      </c>
      <c r="D750" t="s">
        <v>4357</v>
      </c>
      <c r="E750" s="11">
        <v>46034</v>
      </c>
      <c r="F750" t="s">
        <v>4358</v>
      </c>
      <c r="G750" t="s">
        <v>36</v>
      </c>
      <c r="J750" t="s">
        <v>959</v>
      </c>
      <c r="K750" t="s">
        <v>4359</v>
      </c>
      <c r="L750" t="s">
        <v>38</v>
      </c>
      <c r="M750" t="s">
        <v>39</v>
      </c>
      <c r="N750" t="s">
        <v>4360</v>
      </c>
      <c r="O750" t="s">
        <v>4361</v>
      </c>
      <c r="P750" s="46" t="str" cm="1">
        <f t="array" aca="1" ref="P750" ca="1">IFERROR(_xlfn.XLOOKUP(tblPedidos[[#This Row],[id_dropi]],tblNotas[[#This Row],[id__dropi]],tblNotas[[#This Row],[Notas Manuales]], “”, 0),"")</f>
        <v/>
      </c>
      <c r="R750" t="s">
        <v>3014</v>
      </c>
      <c r="S750">
        <v>25511.5</v>
      </c>
      <c r="T750">
        <v>-11990.800000000001</v>
      </c>
      <c r="U750" cm="1">
        <f t="array" ref="U750">IFERROR(_xlfn.IFS(tblPedidos[[#This Row],[estado_operativo]]="ENTREGADO",tblPedidos[[#This Row],[ganancia_calc]],tblPedidos[[#This Row],[estado_operativo]]="DEVOLUCION",tblPedidos[[#This Row],[costo_devolucion_estimado]]),0)</f>
        <v>0</v>
      </c>
      <c r="V750">
        <v>0</v>
      </c>
      <c r="W750">
        <v>54900</v>
      </c>
      <c r="X750">
        <v>14988.5</v>
      </c>
      <c r="Y750">
        <v>14400</v>
      </c>
      <c r="Z750" s="11">
        <v>46037</v>
      </c>
      <c r="AA750">
        <v>7</v>
      </c>
      <c r="AB750" s="12">
        <v>0.68333333333333335</v>
      </c>
      <c r="AC750" t="s">
        <v>399</v>
      </c>
      <c r="AD750" t="s">
        <v>1103</v>
      </c>
      <c r="AE750" t="s">
        <v>959</v>
      </c>
    </row>
    <row r="751" spans="1:31">
      <c r="A751" t="s">
        <v>1343</v>
      </c>
      <c r="C751">
        <v>426</v>
      </c>
      <c r="D751" t="s">
        <v>4362</v>
      </c>
      <c r="E751" s="11">
        <v>46034</v>
      </c>
      <c r="F751" t="s">
        <v>4363</v>
      </c>
      <c r="G751" t="s">
        <v>45</v>
      </c>
      <c r="J751" t="s">
        <v>720</v>
      </c>
      <c r="K751" t="s">
        <v>4364</v>
      </c>
      <c r="L751" t="s">
        <v>159</v>
      </c>
      <c r="M751" t="s">
        <v>160</v>
      </c>
      <c r="N751" t="s">
        <v>4365</v>
      </c>
      <c r="O751" t="s">
        <v>4366</v>
      </c>
      <c r="P751" s="46" t="str" cm="1">
        <f t="array" aca="1" ref="P751" ca="1">IFERROR(_xlfn.XLOOKUP(tblPedidos[[#This Row],[id_dropi]],tblNotas[[#This Row],[id__dropi]],tblNotas[[#This Row],[Notas Manuales]], “”, 0),"")</f>
        <v/>
      </c>
      <c r="Q751" t="s">
        <v>4367</v>
      </c>
      <c r="R751" t="s">
        <v>3027</v>
      </c>
      <c r="S751">
        <v>25204.5</v>
      </c>
      <c r="T751">
        <v>-14695.5</v>
      </c>
      <c r="U751" cm="1">
        <f t="array" ref="U751">IFERROR(_xlfn.IFS(tblPedidos[[#This Row],[estado_operativo]]="ENTREGADO",tblPedidos[[#This Row],[ganancia_calc]],tblPedidos[[#This Row],[estado_operativo]]="DEVOLUCION",tblPedidos[[#This Row],[costo_devolucion_estimado]]),0)</f>
        <v>25204.5</v>
      </c>
      <c r="V751">
        <v>126022.5</v>
      </c>
      <c r="W751">
        <v>89900</v>
      </c>
      <c r="X751">
        <v>14695.5</v>
      </c>
      <c r="Y751">
        <v>50000</v>
      </c>
      <c r="Z751" s="11">
        <v>46038</v>
      </c>
      <c r="AA751">
        <v>6</v>
      </c>
      <c r="AB751" s="12">
        <v>4.791666666666667E-2</v>
      </c>
      <c r="AC751" t="s">
        <v>720</v>
      </c>
      <c r="AD751" t="s">
        <v>720</v>
      </c>
      <c r="AE751" t="s">
        <v>720</v>
      </c>
    </row>
    <row r="752" spans="1:31">
      <c r="A752" t="s">
        <v>33</v>
      </c>
      <c r="C752">
        <v>424</v>
      </c>
      <c r="D752" t="s">
        <v>4368</v>
      </c>
      <c r="E752" s="11">
        <v>46034</v>
      </c>
      <c r="F752" t="s">
        <v>4369</v>
      </c>
      <c r="G752" t="s">
        <v>45</v>
      </c>
      <c r="J752" t="s">
        <v>720</v>
      </c>
      <c r="K752" t="s">
        <v>4370</v>
      </c>
      <c r="L752" t="s">
        <v>328</v>
      </c>
      <c r="M752" t="s">
        <v>4371</v>
      </c>
      <c r="N752" t="s">
        <v>4372</v>
      </c>
      <c r="O752" t="s">
        <v>4373</v>
      </c>
      <c r="P752" s="46" t="str" cm="1">
        <f t="array" aca="1" ref="P752" ca="1">IFERROR(_xlfn.XLOOKUP(tblPedidos[[#This Row],[id_dropi]],tblNotas[[#This Row],[id__dropi]],tblNotas[[#This Row],[Notas Manuales]], “”, 0),"")</f>
        <v/>
      </c>
      <c r="Q752" t="s">
        <v>50</v>
      </c>
      <c r="R752" t="s">
        <v>3014</v>
      </c>
      <c r="S752">
        <v>21351</v>
      </c>
      <c r="T752">
        <v>-14149</v>
      </c>
      <c r="U752" cm="1">
        <f t="array" ref="U752">IFERROR(_xlfn.IFS(tblPedidos[[#This Row],[estado_operativo]]="ENTREGADO",tblPedidos[[#This Row],[ganancia_calc]],tblPedidos[[#This Row],[estado_operativo]]="DEVOLUCION",tblPedidos[[#This Row],[costo_devolucion_estimado]]),0)</f>
        <v>21351</v>
      </c>
      <c r="V752">
        <v>0</v>
      </c>
      <c r="W752">
        <v>49900</v>
      </c>
      <c r="X752">
        <v>14149</v>
      </c>
      <c r="Y752">
        <v>14400</v>
      </c>
      <c r="Z752" s="11">
        <v>46043</v>
      </c>
      <c r="AA752">
        <v>1</v>
      </c>
      <c r="AB752" s="12">
        <v>0.43472222222222223</v>
      </c>
      <c r="AC752" t="s">
        <v>982</v>
      </c>
      <c r="AD752" t="s">
        <v>720</v>
      </c>
      <c r="AE752" t="s">
        <v>720</v>
      </c>
    </row>
    <row r="753" spans="1:31">
      <c r="A753" t="s">
        <v>33</v>
      </c>
      <c r="C753">
        <v>422</v>
      </c>
      <c r="D753" t="s">
        <v>4374</v>
      </c>
      <c r="E753" s="11">
        <v>46034</v>
      </c>
      <c r="F753" t="s">
        <v>4375</v>
      </c>
      <c r="G753" t="s">
        <v>45</v>
      </c>
      <c r="J753" t="s">
        <v>720</v>
      </c>
      <c r="K753" t="s">
        <v>4376</v>
      </c>
      <c r="L753" t="s">
        <v>159</v>
      </c>
      <c r="M753" t="s">
        <v>4377</v>
      </c>
      <c r="N753" t="s">
        <v>4378</v>
      </c>
      <c r="O753" t="s">
        <v>4379</v>
      </c>
      <c r="P753" s="46" t="str" cm="1">
        <f t="array" aca="1" ref="P753" ca="1">IFERROR(_xlfn.XLOOKUP(tblPedidos[[#This Row],[id_dropi]],tblNotas[[#This Row],[id__dropi]],tblNotas[[#This Row],[Notas Manuales]], “”, 0),"")</f>
        <v/>
      </c>
      <c r="Q753" t="s">
        <v>50</v>
      </c>
      <c r="R753" t="s">
        <v>3014</v>
      </c>
      <c r="S753">
        <v>16801</v>
      </c>
      <c r="T753">
        <v>-18699</v>
      </c>
      <c r="U753" cm="1">
        <f t="array" ref="U753">IFERROR(_xlfn.IFS(tblPedidos[[#This Row],[estado_operativo]]="ENTREGADO",tblPedidos[[#This Row],[ganancia_calc]],tblPedidos[[#This Row],[estado_operativo]]="DEVOLUCION",tblPedidos[[#This Row],[costo_devolucion_estimado]]),0)</f>
        <v>16801</v>
      </c>
      <c r="V753">
        <v>0</v>
      </c>
      <c r="W753">
        <v>49900</v>
      </c>
      <c r="X753">
        <v>18699</v>
      </c>
      <c r="Y753">
        <v>14400</v>
      </c>
      <c r="Z753" s="11">
        <v>46043</v>
      </c>
      <c r="AA753">
        <v>1</v>
      </c>
      <c r="AB753" s="12">
        <v>0.43472222222222223</v>
      </c>
      <c r="AC753" t="s">
        <v>982</v>
      </c>
      <c r="AD753" t="s">
        <v>720</v>
      </c>
      <c r="AE753" t="s">
        <v>720</v>
      </c>
    </row>
    <row r="754" spans="1:31">
      <c r="A754" t="s">
        <v>1343</v>
      </c>
      <c r="C754">
        <v>423</v>
      </c>
      <c r="D754" t="s">
        <v>4380</v>
      </c>
      <c r="E754" s="11">
        <v>46034</v>
      </c>
      <c r="F754" t="s">
        <v>4381</v>
      </c>
      <c r="G754" t="s">
        <v>45</v>
      </c>
      <c r="J754" t="s">
        <v>720</v>
      </c>
      <c r="K754" t="s">
        <v>4382</v>
      </c>
      <c r="L754" t="s">
        <v>74</v>
      </c>
      <c r="M754" t="s">
        <v>4383</v>
      </c>
      <c r="N754" t="s">
        <v>4384</v>
      </c>
      <c r="O754" t="s">
        <v>4385</v>
      </c>
      <c r="P754" s="46" t="str" cm="1">
        <f t="array" aca="1" ref="P754" ca="1">IFERROR(_xlfn.XLOOKUP(tblPedidos[[#This Row],[id_dropi]],tblNotas[[#This Row],[id__dropi]],tblNotas[[#This Row],[Notas Manuales]], “”, 0),"")</f>
        <v/>
      </c>
      <c r="Q754" t="s">
        <v>4384</v>
      </c>
      <c r="R754" t="s">
        <v>3027</v>
      </c>
      <c r="S754">
        <v>20654.5</v>
      </c>
      <c r="T754">
        <v>-19245.5</v>
      </c>
      <c r="U754" cm="1">
        <f t="array" ref="U754">IFERROR(_xlfn.IFS(tblPedidos[[#This Row],[estado_operativo]]="ENTREGADO",tblPedidos[[#This Row],[ganancia_calc]],tblPedidos[[#This Row],[estado_operativo]]="DEVOLUCION",tblPedidos[[#This Row],[costo_devolucion_estimado]]),0)</f>
        <v>20654.5</v>
      </c>
      <c r="V754">
        <v>103272.5</v>
      </c>
      <c r="W754">
        <v>89900</v>
      </c>
      <c r="X754">
        <v>19245.5</v>
      </c>
      <c r="Y754">
        <v>50000</v>
      </c>
      <c r="Z754" s="11">
        <v>46038</v>
      </c>
      <c r="AA754">
        <v>6</v>
      </c>
      <c r="AB754" s="12">
        <v>0.75694444444444442</v>
      </c>
      <c r="AC754" t="s">
        <v>720</v>
      </c>
      <c r="AD754" t="s">
        <v>720</v>
      </c>
      <c r="AE754" t="s">
        <v>720</v>
      </c>
    </row>
    <row r="755" spans="1:31">
      <c r="A755" t="s">
        <v>1343</v>
      </c>
      <c r="B755" t="s">
        <v>2946</v>
      </c>
      <c r="C755">
        <v>270</v>
      </c>
      <c r="D755" t="s">
        <v>4386</v>
      </c>
      <c r="E755" s="11">
        <v>46031</v>
      </c>
      <c r="F755" t="s">
        <v>4387</v>
      </c>
      <c r="G755" t="s">
        <v>45</v>
      </c>
      <c r="J755" t="s">
        <v>720</v>
      </c>
      <c r="K755" t="s">
        <v>4388</v>
      </c>
      <c r="L755" t="s">
        <v>166</v>
      </c>
      <c r="M755" t="s">
        <v>468</v>
      </c>
      <c r="N755" t="s">
        <v>4389</v>
      </c>
      <c r="O755" t="s">
        <v>4390</v>
      </c>
      <c r="P755" s="46" t="str" cm="1">
        <f t="array" aca="1" ref="P755" ca="1">IFERROR(_xlfn.XLOOKUP(tblPedidos[[#This Row],[id_dropi]],tblNotas[[#This Row],[id__dropi]],tblNotas[[#This Row],[Notas Manuales]], “”, 0),"")</f>
        <v/>
      </c>
      <c r="R755" t="s">
        <v>3033</v>
      </c>
      <c r="S755">
        <v>17004.5</v>
      </c>
      <c r="T755">
        <v>-17895.5</v>
      </c>
      <c r="U755" cm="1">
        <f t="array" ref="U755">IFERROR(_xlfn.IFS(tblPedidos[[#This Row],[estado_operativo]]="ENTREGADO",tblPedidos[[#This Row],[ganancia_calc]],tblPedidos[[#This Row],[estado_operativo]]="DEVOLUCION",tblPedidos[[#This Row],[costo_devolucion_estimado]]),0)</f>
        <v>17004.5</v>
      </c>
      <c r="V755">
        <v>102027</v>
      </c>
      <c r="W755">
        <v>59900</v>
      </c>
      <c r="X755">
        <v>17895.5</v>
      </c>
      <c r="Y755">
        <v>25000</v>
      </c>
      <c r="Z755" s="11">
        <v>46036</v>
      </c>
      <c r="AA755">
        <v>8</v>
      </c>
      <c r="AB755" s="12">
        <v>0.75624999999999998</v>
      </c>
      <c r="AC755" t="s">
        <v>720</v>
      </c>
      <c r="AD755" t="s">
        <v>720</v>
      </c>
      <c r="AE755" t="s">
        <v>720</v>
      </c>
    </row>
    <row r="756" spans="1:31">
      <c r="A756" t="s">
        <v>1343</v>
      </c>
      <c r="B756" t="s">
        <v>2946</v>
      </c>
      <c r="C756">
        <v>271</v>
      </c>
      <c r="D756" t="s">
        <v>4391</v>
      </c>
      <c r="E756" s="11">
        <v>46031</v>
      </c>
      <c r="F756" t="s">
        <v>3939</v>
      </c>
      <c r="G756" t="s">
        <v>45</v>
      </c>
      <c r="J756" t="s">
        <v>720</v>
      </c>
      <c r="K756" t="s">
        <v>4392</v>
      </c>
      <c r="L756" t="s">
        <v>1003</v>
      </c>
      <c r="M756" t="s">
        <v>1823</v>
      </c>
      <c r="N756" t="s">
        <v>3941</v>
      </c>
      <c r="O756" t="s">
        <v>3942</v>
      </c>
      <c r="P756" s="46" t="str" cm="1">
        <f t="array" aca="1" ref="P756" ca="1">IFERROR(_xlfn.XLOOKUP(tblPedidos[[#This Row],[id_dropi]],tblNotas[[#This Row],[id__dropi]],tblNotas[[#This Row],[Notas Manuales]], “”, 0),"")</f>
        <v/>
      </c>
      <c r="Q756" t="s">
        <v>50</v>
      </c>
      <c r="R756" t="s">
        <v>3014</v>
      </c>
      <c r="S756">
        <v>22829.5</v>
      </c>
      <c r="T756">
        <v>-17670.5</v>
      </c>
      <c r="U756" cm="1">
        <f t="array" ref="U756">IFERROR(_xlfn.IFS(tblPedidos[[#This Row],[estado_operativo]]="ENTREGADO",tblPedidos[[#This Row],[ganancia_calc]],tblPedidos[[#This Row],[estado_operativo]]="DEVOLUCION",tblPedidos[[#This Row],[costo_devolucion_estimado]]),0)</f>
        <v>22829.5</v>
      </c>
      <c r="V756">
        <v>136977</v>
      </c>
      <c r="W756">
        <v>54900</v>
      </c>
      <c r="X756">
        <v>17670.5</v>
      </c>
      <c r="Y756">
        <v>14400</v>
      </c>
      <c r="Z756" s="11">
        <v>46037</v>
      </c>
      <c r="AA756">
        <v>7</v>
      </c>
      <c r="AB756" s="12">
        <v>0.7680555555555556</v>
      </c>
      <c r="AC756" t="s">
        <v>720</v>
      </c>
      <c r="AD756" t="s">
        <v>720</v>
      </c>
      <c r="AE756" t="s">
        <v>720</v>
      </c>
    </row>
    <row r="757" spans="1:31">
      <c r="A757" t="s">
        <v>1343</v>
      </c>
      <c r="B757" t="s">
        <v>2946</v>
      </c>
      <c r="C757">
        <v>272</v>
      </c>
      <c r="D757" t="s">
        <v>4393</v>
      </c>
      <c r="E757" s="11">
        <v>46031</v>
      </c>
      <c r="F757" t="s">
        <v>4394</v>
      </c>
      <c r="G757" t="s">
        <v>45</v>
      </c>
      <c r="J757" t="s">
        <v>720</v>
      </c>
      <c r="K757" t="s">
        <v>4395</v>
      </c>
      <c r="L757" t="s">
        <v>1003</v>
      </c>
      <c r="M757" t="s">
        <v>1823</v>
      </c>
      <c r="N757" t="s">
        <v>4396</v>
      </c>
      <c r="O757" t="s">
        <v>4397</v>
      </c>
      <c r="P757" s="46" t="str" cm="1">
        <f t="array" aca="1" ref="P757" ca="1">IFERROR(_xlfn.XLOOKUP(tblPedidos[[#This Row],[id_dropi]],tblNotas[[#This Row],[id__dropi]],tblNotas[[#This Row],[Notas Manuales]], “”, 0),"")</f>
        <v/>
      </c>
      <c r="R757" t="s">
        <v>3014</v>
      </c>
      <c r="S757">
        <v>22829.5</v>
      </c>
      <c r="T757">
        <v>-17670.5</v>
      </c>
      <c r="U757" cm="1">
        <f t="array" ref="U757">IFERROR(_xlfn.IFS(tblPedidos[[#This Row],[estado_operativo]]="ENTREGADO",tblPedidos[[#This Row],[ganancia_calc]],tblPedidos[[#This Row],[estado_operativo]]="DEVOLUCION",tblPedidos[[#This Row],[costo_devolucion_estimado]]),0)</f>
        <v>22829.5</v>
      </c>
      <c r="V757">
        <v>136977</v>
      </c>
      <c r="W757">
        <v>54900</v>
      </c>
      <c r="X757">
        <v>17670.5</v>
      </c>
      <c r="Y757">
        <v>14400</v>
      </c>
      <c r="Z757" s="11">
        <v>46035</v>
      </c>
      <c r="AA757">
        <v>9</v>
      </c>
      <c r="AB757" s="12">
        <v>0.75763888888888886</v>
      </c>
      <c r="AC757" t="s">
        <v>720</v>
      </c>
      <c r="AD757" t="s">
        <v>720</v>
      </c>
      <c r="AE757" t="s">
        <v>720</v>
      </c>
    </row>
    <row r="758" spans="1:31">
      <c r="A758" t="s">
        <v>33</v>
      </c>
      <c r="C758">
        <v>269</v>
      </c>
      <c r="D758" t="s">
        <v>4398</v>
      </c>
      <c r="E758" s="11">
        <v>46031</v>
      </c>
      <c r="F758" t="s">
        <v>4399</v>
      </c>
      <c r="G758" t="s">
        <v>45</v>
      </c>
      <c r="J758" t="s">
        <v>1371</v>
      </c>
      <c r="K758" t="s">
        <v>4400</v>
      </c>
      <c r="L758" t="s">
        <v>54</v>
      </c>
      <c r="M758" t="s">
        <v>4401</v>
      </c>
      <c r="N758" t="s">
        <v>4402</v>
      </c>
      <c r="O758" t="s">
        <v>4403</v>
      </c>
      <c r="P758" s="46" t="str" cm="1">
        <f t="array" aca="1" ref="P758" ca="1">IFERROR(_xlfn.XLOOKUP(tblPedidos[[#This Row],[id_dropi]],tblNotas[[#This Row],[id__dropi]],tblNotas[[#This Row],[Notas Manuales]], “”, 0),"")</f>
        <v/>
      </c>
      <c r="Q758" t="s">
        <v>50</v>
      </c>
      <c r="R758" t="s">
        <v>3200</v>
      </c>
      <c r="S758">
        <v>27529.5</v>
      </c>
      <c r="T758">
        <v>-18570.5</v>
      </c>
      <c r="U758" cm="1">
        <f t="array" ref="U758">IFERROR(_xlfn.IFS(tblPedidos[[#This Row],[estado_operativo]]="ENTREGADO",tblPedidos[[#This Row],[ganancia_calc]],tblPedidos[[#This Row],[estado_operativo]]="DEVOLUCION",tblPedidos[[#This Row],[costo_devolucion_estimado]]),0)</f>
        <v>0</v>
      </c>
      <c r="V758">
        <v>0</v>
      </c>
      <c r="W758">
        <v>74900</v>
      </c>
      <c r="X758">
        <v>18570.5</v>
      </c>
      <c r="Y758">
        <v>28800</v>
      </c>
      <c r="Z758" s="11">
        <v>46043</v>
      </c>
      <c r="AA758">
        <v>1</v>
      </c>
      <c r="AB758" s="12">
        <v>0.43680555555555556</v>
      </c>
      <c r="AC758" t="s">
        <v>982</v>
      </c>
      <c r="AD758" t="s">
        <v>982</v>
      </c>
      <c r="AE758" t="s">
        <v>1371</v>
      </c>
    </row>
    <row r="759" spans="1:31">
      <c r="A759" t="s">
        <v>1343</v>
      </c>
      <c r="C759">
        <v>266</v>
      </c>
      <c r="D759" t="s">
        <v>4404</v>
      </c>
      <c r="E759" s="11">
        <v>46031</v>
      </c>
      <c r="F759" t="s">
        <v>4405</v>
      </c>
      <c r="G759" t="s">
        <v>958</v>
      </c>
      <c r="J759" t="s">
        <v>1657</v>
      </c>
      <c r="K759" t="s">
        <v>4406</v>
      </c>
      <c r="L759" t="s">
        <v>81</v>
      </c>
      <c r="M759" t="s">
        <v>118</v>
      </c>
      <c r="N759" t="s">
        <v>4407</v>
      </c>
      <c r="O759" t="s">
        <v>4408</v>
      </c>
      <c r="P759" s="46" t="str" cm="1">
        <f t="array" aca="1" ref="P759" ca="1">IFERROR(_xlfn.XLOOKUP(tblPedidos[[#This Row],[id_dropi]],tblNotas[[#This Row],[id__dropi]],tblNotas[[#This Row],[Notas Manuales]], “”, 0),"")</f>
        <v/>
      </c>
      <c r="R759" t="s">
        <v>3267</v>
      </c>
      <c r="S759">
        <v>27400</v>
      </c>
      <c r="T759">
        <v>-10000</v>
      </c>
      <c r="U759" cm="1">
        <f t="array" ref="U759">IFERROR(_xlfn.IFS(tblPedidos[[#This Row],[estado_operativo]]="ENTREGADO",tblPedidos[[#This Row],[ganancia_calc]],tblPedidos[[#This Row],[estado_operativo]]="DEVOLUCION",tblPedidos[[#This Row],[costo_devolucion_estimado]]),0)</f>
        <v>-10000</v>
      </c>
      <c r="V759">
        <v>-31500</v>
      </c>
      <c r="W759">
        <v>49900</v>
      </c>
      <c r="X759">
        <v>12500</v>
      </c>
      <c r="Y759">
        <v>10000</v>
      </c>
      <c r="Z759" s="11">
        <v>46041</v>
      </c>
      <c r="AA759">
        <v>3</v>
      </c>
      <c r="AB759" s="12">
        <v>0.83888888888888891</v>
      </c>
      <c r="AC759" t="s">
        <v>1657</v>
      </c>
      <c r="AD759" t="s">
        <v>1657</v>
      </c>
      <c r="AE759" t="s">
        <v>1657</v>
      </c>
    </row>
    <row r="760" spans="1:31">
      <c r="A760" t="s">
        <v>1343</v>
      </c>
      <c r="B760" t="s">
        <v>2946</v>
      </c>
      <c r="C760">
        <v>267</v>
      </c>
      <c r="D760" t="s">
        <v>4409</v>
      </c>
      <c r="E760" s="11">
        <v>46031</v>
      </c>
      <c r="F760" t="s">
        <v>271</v>
      </c>
      <c r="G760" t="s">
        <v>36</v>
      </c>
      <c r="J760" t="s">
        <v>720</v>
      </c>
      <c r="K760" t="s">
        <v>4410</v>
      </c>
      <c r="L760" t="s">
        <v>81</v>
      </c>
      <c r="M760" t="s">
        <v>272</v>
      </c>
      <c r="N760" t="s">
        <v>273</v>
      </c>
      <c r="O760" t="s">
        <v>274</v>
      </c>
      <c r="P760" s="46" t="str" cm="1">
        <f t="array" aca="1" ref="P760" ca="1">IFERROR(_xlfn.XLOOKUP(tblPedidos[[#This Row],[id_dropi]],tblNotas[[#This Row],[id__dropi]],tblNotas[[#This Row],[Notas Manuales]], “”, 0),"")</f>
        <v/>
      </c>
      <c r="R760" t="s">
        <v>3027</v>
      </c>
      <c r="S760">
        <v>23496.5</v>
      </c>
      <c r="T760">
        <v>-11522.800000000001</v>
      </c>
      <c r="U760" cm="1">
        <f t="array" ref="U760">IFERROR(_xlfn.IFS(tblPedidos[[#This Row],[estado_operativo]]="ENTREGADO",tblPedidos[[#This Row],[ganancia_calc]],tblPedidos[[#This Row],[estado_operativo]]="DEVOLUCION",tblPedidos[[#This Row],[costo_devolucion_estimado]]),0)</f>
        <v>23496.5</v>
      </c>
      <c r="V760">
        <v>140979</v>
      </c>
      <c r="W760">
        <v>89900</v>
      </c>
      <c r="X760">
        <v>14403.5</v>
      </c>
      <c r="Y760">
        <v>52000</v>
      </c>
      <c r="Z760" s="11">
        <v>46032</v>
      </c>
      <c r="AA760">
        <v>12</v>
      </c>
      <c r="AB760" s="12">
        <v>0.71597222222222223</v>
      </c>
      <c r="AC760" t="s">
        <v>399</v>
      </c>
      <c r="AD760" t="s">
        <v>720</v>
      </c>
      <c r="AE760" t="s">
        <v>720</v>
      </c>
    </row>
    <row r="761" spans="1:31">
      <c r="A761" t="s">
        <v>33</v>
      </c>
      <c r="C761">
        <v>268</v>
      </c>
      <c r="D761" t="s">
        <v>4411</v>
      </c>
      <c r="E761" s="11">
        <v>46031</v>
      </c>
      <c r="F761" t="s">
        <v>4412</v>
      </c>
      <c r="G761" t="s">
        <v>958</v>
      </c>
      <c r="J761" t="s">
        <v>959</v>
      </c>
      <c r="K761" t="s">
        <v>4413</v>
      </c>
      <c r="L761" t="s">
        <v>46</v>
      </c>
      <c r="M761" t="s">
        <v>100</v>
      </c>
      <c r="N761" t="s">
        <v>4414</v>
      </c>
      <c r="O761" t="s">
        <v>4415</v>
      </c>
      <c r="P761" s="46" t="str" cm="1">
        <f t="array" aca="1" ref="P761" ca="1">IFERROR(_xlfn.XLOOKUP(tblPedidos[[#This Row],[id_dropi]],tblNotas[[#This Row],[id__dropi]],tblNotas[[#This Row],[Notas Manuales]], “”, 0),"")</f>
        <v/>
      </c>
      <c r="R761" t="s">
        <v>3027</v>
      </c>
      <c r="S761">
        <v>24253.5</v>
      </c>
      <c r="T761">
        <v>-10917.2</v>
      </c>
      <c r="U761" cm="1">
        <f t="array" ref="U761">IFERROR(_xlfn.IFS(tblPedidos[[#This Row],[estado_operativo]]="ENTREGADO",tblPedidos[[#This Row],[ganancia_calc]],tblPedidos[[#This Row],[estado_operativo]]="DEVOLUCION",tblPedidos[[#This Row],[costo_devolucion_estimado]]),0)</f>
        <v>0</v>
      </c>
      <c r="V761">
        <v>0</v>
      </c>
      <c r="W761">
        <v>89900</v>
      </c>
      <c r="X761">
        <v>13646.5</v>
      </c>
      <c r="Y761">
        <v>52000</v>
      </c>
      <c r="Z761" s="11">
        <v>46037</v>
      </c>
      <c r="AA761">
        <v>7</v>
      </c>
      <c r="AB761" s="12">
        <v>0.61805555555555558</v>
      </c>
      <c r="AC761" t="s">
        <v>964</v>
      </c>
      <c r="AD761" t="s">
        <v>964</v>
      </c>
      <c r="AE761" t="s">
        <v>959</v>
      </c>
    </row>
    <row r="762" spans="1:31">
      <c r="A762" t="s">
        <v>33</v>
      </c>
      <c r="C762">
        <v>273</v>
      </c>
      <c r="D762" t="s">
        <v>4416</v>
      </c>
      <c r="E762" s="11">
        <v>46031</v>
      </c>
      <c r="F762" t="s">
        <v>4417</v>
      </c>
      <c r="G762" t="s">
        <v>45</v>
      </c>
      <c r="J762" t="s">
        <v>1371</v>
      </c>
      <c r="K762" t="s">
        <v>4418</v>
      </c>
      <c r="L762" t="s">
        <v>46</v>
      </c>
      <c r="M762" t="s">
        <v>4419</v>
      </c>
      <c r="N762" t="s">
        <v>4420</v>
      </c>
      <c r="O762" t="s">
        <v>4421</v>
      </c>
      <c r="P762" s="46" t="str" cm="1">
        <f t="array" aca="1" ref="P762" ca="1">IFERROR(_xlfn.XLOOKUP(tblPedidos[[#This Row],[id_dropi]],tblNotas[[#This Row],[id__dropi]],tblNotas[[#This Row],[Notas Manuales]], “”, 0),"")</f>
        <v/>
      </c>
      <c r="Q762" t="s">
        <v>50</v>
      </c>
      <c r="R762" t="s">
        <v>2983</v>
      </c>
      <c r="S762">
        <v>23329.5</v>
      </c>
      <c r="T762">
        <v>-18120.5</v>
      </c>
      <c r="U762" cm="1">
        <f t="array" ref="U762">IFERROR(_xlfn.IFS(tblPedidos[[#This Row],[estado_operativo]]="ENTREGADO",tblPedidos[[#This Row],[ganancia_calc]],tblPedidos[[#This Row],[estado_operativo]]="DEVOLUCION",tblPedidos[[#This Row],[costo_devolucion_estimado]]),0)</f>
        <v>0</v>
      </c>
      <c r="V762">
        <v>0</v>
      </c>
      <c r="W762">
        <v>64900</v>
      </c>
      <c r="X762">
        <v>18120.5</v>
      </c>
      <c r="Y762">
        <v>23450</v>
      </c>
      <c r="Z762" s="11">
        <v>46043</v>
      </c>
      <c r="AA762">
        <v>1</v>
      </c>
      <c r="AB762" s="12">
        <v>0.43541666666666667</v>
      </c>
      <c r="AC762" t="s">
        <v>982</v>
      </c>
      <c r="AD762" t="s">
        <v>982</v>
      </c>
      <c r="AE762" t="s">
        <v>1371</v>
      </c>
    </row>
    <row r="763" spans="1:31">
      <c r="A763" t="s">
        <v>1343</v>
      </c>
      <c r="B763" t="s">
        <v>2946</v>
      </c>
      <c r="C763">
        <v>278</v>
      </c>
      <c r="D763" t="s">
        <v>4422</v>
      </c>
      <c r="E763" s="11">
        <v>46031</v>
      </c>
      <c r="F763" t="s">
        <v>4423</v>
      </c>
      <c r="G763" t="s">
        <v>36</v>
      </c>
      <c r="J763" t="s">
        <v>720</v>
      </c>
      <c r="K763" t="s">
        <v>4424</v>
      </c>
      <c r="L763" t="s">
        <v>81</v>
      </c>
      <c r="M763" t="s">
        <v>118</v>
      </c>
      <c r="N763" t="s">
        <v>4425</v>
      </c>
      <c r="O763" t="s">
        <v>4426</v>
      </c>
      <c r="P763" s="46" t="str" cm="1">
        <f t="array" aca="1" ref="P763" ca="1">IFERROR(_xlfn.XLOOKUP(tblPedidos[[#This Row],[id_dropi]],tblNotas[[#This Row],[id__dropi]],tblNotas[[#This Row],[Notas Manuales]], “”, 0),"")</f>
        <v/>
      </c>
      <c r="R763" t="s">
        <v>2983</v>
      </c>
      <c r="S763">
        <v>32946.5</v>
      </c>
      <c r="T763">
        <v>-10802.800000000001</v>
      </c>
      <c r="U763" cm="1">
        <f t="array" ref="U763">IFERROR(_xlfn.IFS(tblPedidos[[#This Row],[estado_operativo]]="ENTREGADO",tblPedidos[[#This Row],[ganancia_calc]],tblPedidos[[#This Row],[estado_operativo]]="DEVOLUCION",tblPedidos[[#This Row],[costo_devolucion_estimado]]),0)</f>
        <v>32946.5</v>
      </c>
      <c r="V763">
        <v>197679</v>
      </c>
      <c r="W763">
        <v>69900</v>
      </c>
      <c r="X763">
        <v>13503.5</v>
      </c>
      <c r="Y763">
        <v>23450</v>
      </c>
      <c r="Z763" s="11">
        <v>46032</v>
      </c>
      <c r="AA763">
        <v>12</v>
      </c>
      <c r="AB763" s="12">
        <v>0.72777777777777775</v>
      </c>
      <c r="AC763" t="s">
        <v>399</v>
      </c>
      <c r="AD763" t="s">
        <v>720</v>
      </c>
      <c r="AE763" t="s">
        <v>720</v>
      </c>
    </row>
    <row r="764" spans="1:31">
      <c r="A764" t="s">
        <v>1343</v>
      </c>
      <c r="C764">
        <v>279</v>
      </c>
      <c r="D764" t="s">
        <v>4427</v>
      </c>
      <c r="E764" s="11">
        <v>46031</v>
      </c>
      <c r="F764" t="s">
        <v>4428</v>
      </c>
      <c r="G764" t="s">
        <v>45</v>
      </c>
      <c r="J764" t="s">
        <v>720</v>
      </c>
      <c r="K764" t="s">
        <v>4429</v>
      </c>
      <c r="L764" t="s">
        <v>152</v>
      </c>
      <c r="M764" t="s">
        <v>4430</v>
      </c>
      <c r="N764" t="s">
        <v>4431</v>
      </c>
      <c r="O764" t="s">
        <v>4432</v>
      </c>
      <c r="P764" s="46" t="str" cm="1">
        <f t="array" aca="1" ref="P764" ca="1">IFERROR(_xlfn.XLOOKUP(tblPedidos[[#This Row],[id_dropi]],tblNotas[[#This Row],[id__dropi]],tblNotas[[#This Row],[Notas Manuales]], “”, 0),"")</f>
        <v/>
      </c>
      <c r="Q764" t="s">
        <v>50</v>
      </c>
      <c r="R764" t="s">
        <v>2983</v>
      </c>
      <c r="S764">
        <v>28104.5</v>
      </c>
      <c r="T764">
        <v>-18345.5</v>
      </c>
      <c r="U764" cm="1">
        <f t="array" ref="U764">IFERROR(_xlfn.IFS(tblPedidos[[#This Row],[estado_operativo]]="ENTREGADO",tblPedidos[[#This Row],[ganancia_calc]],tblPedidos[[#This Row],[estado_operativo]]="DEVOLUCION",tblPedidos[[#This Row],[costo_devolucion_estimado]]),0)</f>
        <v>28104.5</v>
      </c>
      <c r="V764">
        <v>84313.5</v>
      </c>
      <c r="W764">
        <v>69900</v>
      </c>
      <c r="X764">
        <v>18345.5</v>
      </c>
      <c r="Y764">
        <v>23450</v>
      </c>
      <c r="Z764" s="11">
        <v>46041</v>
      </c>
      <c r="AA764">
        <v>3</v>
      </c>
      <c r="AB764" s="12">
        <v>0.43541666666666667</v>
      </c>
      <c r="AC764" t="s">
        <v>720</v>
      </c>
      <c r="AD764" t="s">
        <v>720</v>
      </c>
      <c r="AE764" t="s">
        <v>720</v>
      </c>
    </row>
    <row r="765" spans="1:31">
      <c r="A765" t="s">
        <v>33</v>
      </c>
      <c r="C765">
        <v>280</v>
      </c>
      <c r="D765" t="s">
        <v>4433</v>
      </c>
      <c r="E765" s="11">
        <v>46031</v>
      </c>
      <c r="F765" t="s">
        <v>4434</v>
      </c>
      <c r="G765" t="s">
        <v>45</v>
      </c>
      <c r="J765" t="s">
        <v>522</v>
      </c>
      <c r="K765" t="s">
        <v>4435</v>
      </c>
      <c r="L765" t="s">
        <v>87</v>
      </c>
      <c r="M765" t="s">
        <v>1248</v>
      </c>
      <c r="N765" t="s">
        <v>4436</v>
      </c>
      <c r="O765" t="s">
        <v>4437</v>
      </c>
      <c r="P765" s="46" t="str" cm="1">
        <f t="array" aca="1" ref="P765" ca="1">IFERROR(_xlfn.XLOOKUP(tblPedidos[[#This Row],[id_dropi]],tblNotas[[#This Row],[id__dropi]],tblNotas[[#This Row],[Notas Manuales]], “”, 0),"")</f>
        <v/>
      </c>
      <c r="R765" t="s">
        <v>2983</v>
      </c>
      <c r="S765">
        <v>28104.5</v>
      </c>
      <c r="T765">
        <v>-18345.5</v>
      </c>
      <c r="U765" cm="1">
        <f t="array" ref="U765">IFERROR(_xlfn.IFS(tblPedidos[[#This Row],[estado_operativo]]="ENTREGADO",tblPedidos[[#This Row],[ganancia_calc]],tblPedidos[[#This Row],[estado_operativo]]="DEVOLUCION",tblPedidos[[#This Row],[costo_devolucion_estimado]]),0)</f>
        <v>0</v>
      </c>
      <c r="V765">
        <v>0</v>
      </c>
      <c r="W765">
        <v>69900</v>
      </c>
      <c r="X765">
        <v>18345.5</v>
      </c>
      <c r="Y765">
        <v>23450</v>
      </c>
      <c r="Z765" s="11">
        <v>46043</v>
      </c>
      <c r="AA765">
        <v>1</v>
      </c>
      <c r="AB765" s="12">
        <v>0.66874999999999996</v>
      </c>
      <c r="AC765" t="s">
        <v>4438</v>
      </c>
      <c r="AD765" t="s">
        <v>717</v>
      </c>
      <c r="AE765" t="s">
        <v>522</v>
      </c>
    </row>
    <row r="766" spans="1:31">
      <c r="A766" t="s">
        <v>33</v>
      </c>
      <c r="C766">
        <v>277</v>
      </c>
      <c r="D766" t="s">
        <v>4439</v>
      </c>
      <c r="E766" s="11">
        <v>46031</v>
      </c>
      <c r="F766" t="s">
        <v>4440</v>
      </c>
      <c r="G766" t="s">
        <v>45</v>
      </c>
      <c r="J766" t="s">
        <v>1371</v>
      </c>
      <c r="K766" t="s">
        <v>4441</v>
      </c>
      <c r="L766" t="s">
        <v>54</v>
      </c>
      <c r="M766" t="s">
        <v>373</v>
      </c>
      <c r="N766" t="s">
        <v>4442</v>
      </c>
      <c r="O766" t="s">
        <v>4443</v>
      </c>
      <c r="P766" s="46" t="str" cm="1">
        <f t="array" aca="1" ref="P766" ca="1">IFERROR(_xlfn.XLOOKUP(tblPedidos[[#This Row],[id_dropi]],tblNotas[[#This Row],[id__dropi]],tblNotas[[#This Row],[Notas Manuales]], “”, 0),"")</f>
        <v/>
      </c>
      <c r="R766" t="s">
        <v>2983</v>
      </c>
      <c r="S766">
        <v>32654.5</v>
      </c>
      <c r="T766">
        <v>-13795.5</v>
      </c>
      <c r="U766" cm="1">
        <f t="array" ref="U766">IFERROR(_xlfn.IFS(tblPedidos[[#This Row],[estado_operativo]]="ENTREGADO",tblPedidos[[#This Row],[ganancia_calc]],tblPedidos[[#This Row],[estado_operativo]]="DEVOLUCION",tblPedidos[[#This Row],[costo_devolucion_estimado]]),0)</f>
        <v>0</v>
      </c>
      <c r="V766">
        <v>0</v>
      </c>
      <c r="W766">
        <v>69900</v>
      </c>
      <c r="X766">
        <v>13795.5</v>
      </c>
      <c r="Y766">
        <v>23450</v>
      </c>
      <c r="Z766" s="11">
        <v>46043</v>
      </c>
      <c r="AA766">
        <v>1</v>
      </c>
      <c r="AB766" s="12">
        <v>0.43541666666666667</v>
      </c>
      <c r="AC766" t="s">
        <v>982</v>
      </c>
      <c r="AD766" t="s">
        <v>982</v>
      </c>
      <c r="AE766" t="s">
        <v>1371</v>
      </c>
    </row>
    <row r="767" spans="1:31">
      <c r="A767" t="s">
        <v>33</v>
      </c>
      <c r="C767">
        <v>274</v>
      </c>
      <c r="D767" t="s">
        <v>4444</v>
      </c>
      <c r="E767" s="11">
        <v>46031</v>
      </c>
      <c r="F767" t="s">
        <v>4445</v>
      </c>
      <c r="G767" t="s">
        <v>45</v>
      </c>
      <c r="J767" t="s">
        <v>1371</v>
      </c>
      <c r="K767" t="s">
        <v>4446</v>
      </c>
      <c r="L767" t="s">
        <v>81</v>
      </c>
      <c r="M767" t="s">
        <v>4447</v>
      </c>
      <c r="N767" t="s">
        <v>4448</v>
      </c>
      <c r="O767" t="s">
        <v>4449</v>
      </c>
      <c r="P767" s="46" t="str" cm="1">
        <f t="array" aca="1" ref="P767" ca="1">IFERROR(_xlfn.XLOOKUP(tblPedidos[[#This Row],[id_dropi]],tblNotas[[#This Row],[id__dropi]],tblNotas[[#This Row],[Notas Manuales]], “”, 0),"")</f>
        <v/>
      </c>
      <c r="Q767" t="s">
        <v>4450</v>
      </c>
      <c r="R767" t="s">
        <v>3033</v>
      </c>
      <c r="S767">
        <v>17004.5</v>
      </c>
      <c r="T767">
        <v>-17895.5</v>
      </c>
      <c r="U767" cm="1">
        <f t="array" ref="U767">IFERROR(_xlfn.IFS(tblPedidos[[#This Row],[estado_operativo]]="ENTREGADO",tblPedidos[[#This Row],[ganancia_calc]],tblPedidos[[#This Row],[estado_operativo]]="DEVOLUCION",tblPedidos[[#This Row],[costo_devolucion_estimado]]),0)</f>
        <v>0</v>
      </c>
      <c r="V767">
        <v>0</v>
      </c>
      <c r="W767">
        <v>59900</v>
      </c>
      <c r="X767">
        <v>17895.5</v>
      </c>
      <c r="Y767">
        <v>25000</v>
      </c>
      <c r="Z767" s="11">
        <v>46043</v>
      </c>
      <c r="AA767">
        <v>1</v>
      </c>
      <c r="AB767" s="12">
        <v>0.43402777777777779</v>
      </c>
      <c r="AC767" t="s">
        <v>982</v>
      </c>
      <c r="AD767" t="s">
        <v>982</v>
      </c>
      <c r="AE767" t="s">
        <v>1371</v>
      </c>
    </row>
    <row r="768" spans="1:31">
      <c r="A768" t="s">
        <v>1343</v>
      </c>
      <c r="B768" t="s">
        <v>2946</v>
      </c>
      <c r="C768">
        <v>275</v>
      </c>
      <c r="D768" t="s">
        <v>4451</v>
      </c>
      <c r="E768" s="11">
        <v>46031</v>
      </c>
      <c r="F768" t="s">
        <v>4452</v>
      </c>
      <c r="G768" t="s">
        <v>45</v>
      </c>
      <c r="J768" t="s">
        <v>720</v>
      </c>
      <c r="K768" t="s">
        <v>4453</v>
      </c>
      <c r="L768" t="s">
        <v>166</v>
      </c>
      <c r="M768" t="s">
        <v>468</v>
      </c>
      <c r="N768" t="s">
        <v>4454</v>
      </c>
      <c r="O768" t="s">
        <v>4455</v>
      </c>
      <c r="P768" s="46" t="str" cm="1">
        <f t="array" aca="1" ref="P768" ca="1">IFERROR(_xlfn.XLOOKUP(tblPedidos[[#This Row],[id_dropi]],tblNotas[[#This Row],[id__dropi]],tblNotas[[#This Row],[Notas Manuales]], “”, 0),"")</f>
        <v/>
      </c>
      <c r="R768" t="s">
        <v>2989</v>
      </c>
      <c r="S768">
        <v>16004.5</v>
      </c>
      <c r="T768">
        <v>-17895.5</v>
      </c>
      <c r="U768" cm="1">
        <f t="array" ref="U768">IFERROR(_xlfn.IFS(tblPedidos[[#This Row],[estado_operativo]]="ENTREGADO",tblPedidos[[#This Row],[ganancia_calc]],tblPedidos[[#This Row],[estado_operativo]]="DEVOLUCION",tblPedidos[[#This Row],[costo_devolucion_estimado]]),0)</f>
        <v>16004.5</v>
      </c>
      <c r="V768">
        <v>96026.94</v>
      </c>
      <c r="W768">
        <v>59900</v>
      </c>
      <c r="X768">
        <v>17895.5</v>
      </c>
      <c r="Y768">
        <v>26000</v>
      </c>
      <c r="Z768" s="11">
        <v>46036</v>
      </c>
      <c r="AA768">
        <v>8</v>
      </c>
      <c r="AB768" s="12">
        <v>0.67361111111111116</v>
      </c>
      <c r="AC768" t="s">
        <v>720</v>
      </c>
      <c r="AD768" t="s">
        <v>720</v>
      </c>
      <c r="AE768" t="s">
        <v>720</v>
      </c>
    </row>
    <row r="769" spans="1:31">
      <c r="A769" t="s">
        <v>1343</v>
      </c>
      <c r="C769">
        <v>276</v>
      </c>
      <c r="D769" t="s">
        <v>4456</v>
      </c>
      <c r="E769" s="11">
        <v>46031</v>
      </c>
      <c r="F769" t="s">
        <v>4457</v>
      </c>
      <c r="G769" t="s">
        <v>45</v>
      </c>
      <c r="J769" t="s">
        <v>1657</v>
      </c>
      <c r="K769" t="s">
        <v>4458</v>
      </c>
      <c r="L769" t="s">
        <v>74</v>
      </c>
      <c r="M769" t="s">
        <v>1555</v>
      </c>
      <c r="N769" t="s">
        <v>4459</v>
      </c>
      <c r="O769" t="s">
        <v>4460</v>
      </c>
      <c r="P769" s="46" t="str" cm="1">
        <f t="array" aca="1" ref="P769" ca="1">IFERROR(_xlfn.XLOOKUP(tblPedidos[[#This Row],[id_dropi]],tblNotas[[#This Row],[id__dropi]],tblNotas[[#This Row],[Notas Manuales]], “”, 0),"")</f>
        <v/>
      </c>
      <c r="R769" t="s">
        <v>3008</v>
      </c>
      <c r="S769">
        <v>26779.5</v>
      </c>
      <c r="T769">
        <v>-18120.5</v>
      </c>
      <c r="U769" cm="1">
        <f t="array" ref="U769">IFERROR(_xlfn.IFS(tblPedidos[[#This Row],[estado_operativo]]="ENTREGADO",tblPedidos[[#This Row],[ganancia_calc]],tblPedidos[[#This Row],[estado_operativo]]="DEVOLUCION",tblPedidos[[#This Row],[costo_devolucion_estimado]]),0)</f>
        <v>-18120.5</v>
      </c>
      <c r="V769">
        <v>-36241</v>
      </c>
      <c r="W769">
        <v>64900</v>
      </c>
      <c r="X769">
        <v>18120.5</v>
      </c>
      <c r="Y769">
        <v>20000</v>
      </c>
      <c r="Z769" s="11">
        <v>46042</v>
      </c>
      <c r="AA769">
        <v>2</v>
      </c>
      <c r="AB769" s="12">
        <v>0.84236111111111112</v>
      </c>
      <c r="AC769" t="s">
        <v>1657</v>
      </c>
      <c r="AD769" t="s">
        <v>1657</v>
      </c>
      <c r="AE769" t="s">
        <v>1657</v>
      </c>
    </row>
    <row r="770" spans="1:31">
      <c r="A770" t="s">
        <v>1343</v>
      </c>
      <c r="B770" t="s">
        <v>2946</v>
      </c>
      <c r="C770">
        <v>265</v>
      </c>
      <c r="D770" t="s">
        <v>4461</v>
      </c>
      <c r="E770" s="11">
        <v>46031</v>
      </c>
      <c r="F770" t="s">
        <v>4462</v>
      </c>
      <c r="G770" t="s">
        <v>36</v>
      </c>
      <c r="J770" t="s">
        <v>720</v>
      </c>
      <c r="K770" t="s">
        <v>4463</v>
      </c>
      <c r="L770" t="s">
        <v>166</v>
      </c>
      <c r="M770" t="s">
        <v>468</v>
      </c>
      <c r="N770" t="s">
        <v>4464</v>
      </c>
      <c r="O770" t="s">
        <v>4465</v>
      </c>
      <c r="P770" s="46" t="str" cm="1">
        <f t="array" aca="1" ref="P770" ca="1">IFERROR(_xlfn.XLOOKUP(tblPedidos[[#This Row],[id_dropi]],tblNotas[[#This Row],[id__dropi]],tblNotas[[#This Row],[Notas Manuales]], “”, 0),"")</f>
        <v/>
      </c>
      <c r="R770" t="s">
        <v>3137</v>
      </c>
      <c r="S770">
        <v>24736.5</v>
      </c>
      <c r="T770">
        <v>-12170.800000000001</v>
      </c>
      <c r="U770" cm="1">
        <f t="array" ref="U770">IFERROR(_xlfn.IFS(tblPedidos[[#This Row],[estado_operativo]]="ENTREGADO",tblPedidos[[#This Row],[ganancia_calc]],tblPedidos[[#This Row],[estado_operativo]]="DEVOLUCION",tblPedidos[[#This Row],[costo_devolucion_estimado]]),0)</f>
        <v>24736.5</v>
      </c>
      <c r="V770">
        <v>148419</v>
      </c>
      <c r="W770">
        <v>59900</v>
      </c>
      <c r="X770">
        <v>15213.5</v>
      </c>
      <c r="Y770">
        <v>19950</v>
      </c>
      <c r="Z770" s="11">
        <v>46032</v>
      </c>
      <c r="AA770">
        <v>12</v>
      </c>
      <c r="AB770" s="12">
        <v>0.72777777777777775</v>
      </c>
      <c r="AC770" t="s">
        <v>399</v>
      </c>
      <c r="AD770" t="s">
        <v>720</v>
      </c>
      <c r="AE770" t="s">
        <v>720</v>
      </c>
    </row>
    <row r="771" spans="1:31">
      <c r="A771" t="s">
        <v>1343</v>
      </c>
      <c r="B771" t="s">
        <v>2946</v>
      </c>
      <c r="C771">
        <v>254</v>
      </c>
      <c r="D771" t="s">
        <v>4466</v>
      </c>
      <c r="E771" s="11">
        <v>46031</v>
      </c>
      <c r="F771" t="s">
        <v>4467</v>
      </c>
      <c r="G771" t="s">
        <v>45</v>
      </c>
      <c r="J771" t="s">
        <v>720</v>
      </c>
      <c r="K771" t="s">
        <v>4468</v>
      </c>
      <c r="L771" t="s">
        <v>74</v>
      </c>
      <c r="M771" t="s">
        <v>75</v>
      </c>
      <c r="N771" t="s">
        <v>4469</v>
      </c>
      <c r="O771" t="s">
        <v>4470</v>
      </c>
      <c r="P771" s="46" t="str" cm="1">
        <f t="array" aca="1" ref="P771" ca="1">IFERROR(_xlfn.XLOOKUP(tblPedidos[[#This Row],[id_dropi]],tblNotas[[#This Row],[id__dropi]],tblNotas[[#This Row],[Notas Manuales]], “”, 0),"")</f>
        <v/>
      </c>
      <c r="R771" t="s">
        <v>2983</v>
      </c>
      <c r="S771">
        <v>28104.5</v>
      </c>
      <c r="T771">
        <v>-18345.5</v>
      </c>
      <c r="U771" cm="1">
        <f t="array" ref="U771">IFERROR(_xlfn.IFS(tblPedidos[[#This Row],[estado_operativo]]="ENTREGADO",tblPedidos[[#This Row],[ganancia_calc]],tblPedidos[[#This Row],[estado_operativo]]="DEVOLUCION",tblPedidos[[#This Row],[costo_devolucion_estimado]]),0)</f>
        <v>28104.5</v>
      </c>
      <c r="V771">
        <v>140522.5</v>
      </c>
      <c r="W771">
        <v>69900</v>
      </c>
      <c r="X771">
        <v>18345.5</v>
      </c>
      <c r="Y771">
        <v>23450</v>
      </c>
      <c r="Z771" s="11">
        <v>46039</v>
      </c>
      <c r="AA771">
        <v>5</v>
      </c>
      <c r="AB771" s="12">
        <v>0.76736111111111116</v>
      </c>
      <c r="AC771" t="s">
        <v>720</v>
      </c>
      <c r="AD771" t="s">
        <v>720</v>
      </c>
      <c r="AE771" t="s">
        <v>720</v>
      </c>
    </row>
    <row r="772" spans="1:31">
      <c r="A772" t="s">
        <v>1343</v>
      </c>
      <c r="B772" t="s">
        <v>2946</v>
      </c>
      <c r="C772">
        <v>255</v>
      </c>
      <c r="D772" t="s">
        <v>4471</v>
      </c>
      <c r="E772" s="11">
        <v>46031</v>
      </c>
      <c r="F772" t="s">
        <v>4472</v>
      </c>
      <c r="G772" t="s">
        <v>45</v>
      </c>
      <c r="J772" t="s">
        <v>720</v>
      </c>
      <c r="K772" t="s">
        <v>4473</v>
      </c>
      <c r="L772" t="s">
        <v>54</v>
      </c>
      <c r="M772" t="s">
        <v>475</v>
      </c>
      <c r="N772" t="s">
        <v>476</v>
      </c>
      <c r="O772" t="s">
        <v>4474</v>
      </c>
      <c r="P772" s="46" t="str" cm="1">
        <f t="array" aca="1" ref="P772" ca="1">IFERROR(_xlfn.XLOOKUP(tblPedidos[[#This Row],[id_dropi]],tblNotas[[#This Row],[id__dropi]],tblNotas[[#This Row],[Notas Manuales]], “”, 0),"")</f>
        <v/>
      </c>
      <c r="Q772" t="s">
        <v>50</v>
      </c>
      <c r="R772" t="s">
        <v>3137</v>
      </c>
      <c r="S772">
        <v>22054.5</v>
      </c>
      <c r="T772">
        <v>-17895.5</v>
      </c>
      <c r="U772" cm="1">
        <f t="array" ref="U772">IFERROR(_xlfn.IFS(tblPedidos[[#This Row],[estado_operativo]]="ENTREGADO",tblPedidos[[#This Row],[ganancia_calc]],tblPedidos[[#This Row],[estado_operativo]]="DEVOLUCION",tblPedidos[[#This Row],[costo_devolucion_estimado]]),0)</f>
        <v>22054.5</v>
      </c>
      <c r="V772">
        <v>132327</v>
      </c>
      <c r="W772">
        <v>59900</v>
      </c>
      <c r="X772">
        <v>17895.5</v>
      </c>
      <c r="Y772">
        <v>19950</v>
      </c>
      <c r="Z772" s="11">
        <v>46037</v>
      </c>
      <c r="AA772">
        <v>7</v>
      </c>
      <c r="AB772" s="12">
        <v>0.05</v>
      </c>
      <c r="AC772" t="s">
        <v>720</v>
      </c>
      <c r="AD772" t="s">
        <v>720</v>
      </c>
      <c r="AE772" t="s">
        <v>720</v>
      </c>
    </row>
    <row r="773" spans="1:31">
      <c r="A773" t="s">
        <v>1343</v>
      </c>
      <c r="B773" t="s">
        <v>2946</v>
      </c>
      <c r="C773">
        <v>256</v>
      </c>
      <c r="D773" t="s">
        <v>4475</v>
      </c>
      <c r="E773" s="11">
        <v>46031</v>
      </c>
      <c r="F773" t="s">
        <v>4476</v>
      </c>
      <c r="G773" t="s">
        <v>45</v>
      </c>
      <c r="J773" t="s">
        <v>720</v>
      </c>
      <c r="K773" t="s">
        <v>4477</v>
      </c>
      <c r="L773" t="s">
        <v>46</v>
      </c>
      <c r="M773" t="s">
        <v>100</v>
      </c>
      <c r="N773" t="s">
        <v>4478</v>
      </c>
      <c r="O773" t="s">
        <v>4479</v>
      </c>
      <c r="P773" s="46" t="str" cm="1">
        <f t="array" aca="1" ref="P773" ca="1">IFERROR(_xlfn.XLOOKUP(tblPedidos[[#This Row],[id_dropi]],tblNotas[[#This Row],[id__dropi]],tblNotas[[#This Row],[Notas Manuales]], “”, 0),"")</f>
        <v/>
      </c>
      <c r="R773" t="s">
        <v>3149</v>
      </c>
      <c r="S773">
        <v>16004.5</v>
      </c>
      <c r="T773">
        <v>-17895.5</v>
      </c>
      <c r="U773" cm="1">
        <f t="array" ref="U773">IFERROR(_xlfn.IFS(tblPedidos[[#This Row],[estado_operativo]]="ENTREGADO",tblPedidos[[#This Row],[ganancia_calc]],tblPedidos[[#This Row],[estado_operativo]]="DEVOLUCION",tblPedidos[[#This Row],[costo_devolucion_estimado]]),0)</f>
        <v>16004.5</v>
      </c>
      <c r="V773">
        <v>96027</v>
      </c>
      <c r="W773">
        <v>59900</v>
      </c>
      <c r="X773">
        <v>17895.5</v>
      </c>
      <c r="Y773">
        <v>26000</v>
      </c>
      <c r="Z773" s="11">
        <v>46035</v>
      </c>
      <c r="AA773">
        <v>9</v>
      </c>
      <c r="AB773" s="12">
        <v>0.60416666666666663</v>
      </c>
      <c r="AC773" t="s">
        <v>720</v>
      </c>
      <c r="AD773" t="s">
        <v>720</v>
      </c>
      <c r="AE773" t="s">
        <v>720</v>
      </c>
    </row>
    <row r="774" spans="1:31">
      <c r="A774" t="s">
        <v>1343</v>
      </c>
      <c r="B774" t="s">
        <v>2946</v>
      </c>
      <c r="C774">
        <v>253</v>
      </c>
      <c r="D774" t="s">
        <v>4480</v>
      </c>
      <c r="E774" s="11">
        <v>46031</v>
      </c>
      <c r="F774" t="s">
        <v>4481</v>
      </c>
      <c r="G774" t="s">
        <v>45</v>
      </c>
      <c r="J774" t="s">
        <v>1657</v>
      </c>
      <c r="K774" t="s">
        <v>4482</v>
      </c>
      <c r="L774" t="s">
        <v>545</v>
      </c>
      <c r="M774" t="s">
        <v>4483</v>
      </c>
      <c r="N774" t="s">
        <v>4484</v>
      </c>
      <c r="O774" t="s">
        <v>4485</v>
      </c>
      <c r="P774" s="46" t="str" cm="1">
        <f t="array" aca="1" ref="P774" ca="1">IFERROR(_xlfn.XLOOKUP(tblPedidos[[#This Row],[id_dropi]],tblNotas[[#This Row],[id__dropi]],tblNotas[[#This Row],[Notas Manuales]], “”, 0),"")</f>
        <v/>
      </c>
      <c r="R774" t="s">
        <v>3027</v>
      </c>
      <c r="S774">
        <v>18654.5</v>
      </c>
      <c r="T774">
        <v>-19245.5</v>
      </c>
      <c r="U774" cm="1">
        <f t="array" ref="U774">IFERROR(_xlfn.IFS(tblPedidos[[#This Row],[estado_operativo]]="ENTREGADO",tblPedidos[[#This Row],[ganancia_calc]],tblPedidos[[#This Row],[estado_operativo]]="DEVOLUCION",tblPedidos[[#This Row],[costo_devolucion_estimado]]),0)</f>
        <v>-19245.5</v>
      </c>
      <c r="V774">
        <v>-115473</v>
      </c>
      <c r="W774">
        <v>89900</v>
      </c>
      <c r="X774">
        <v>19245.5</v>
      </c>
      <c r="Y774">
        <v>52000</v>
      </c>
      <c r="Z774" s="11">
        <v>46037</v>
      </c>
      <c r="AA774">
        <v>7</v>
      </c>
      <c r="AB774" s="12">
        <v>0.67152777777777772</v>
      </c>
      <c r="AC774" t="s">
        <v>1657</v>
      </c>
      <c r="AD774" t="s">
        <v>1657</v>
      </c>
      <c r="AE774" t="s">
        <v>1657</v>
      </c>
    </row>
    <row r="775" spans="1:31">
      <c r="A775" t="s">
        <v>1343</v>
      </c>
      <c r="B775" t="s">
        <v>2946</v>
      </c>
      <c r="C775">
        <v>250</v>
      </c>
      <c r="D775" t="s">
        <v>4486</v>
      </c>
      <c r="E775" s="11">
        <v>46031</v>
      </c>
      <c r="F775" t="s">
        <v>4487</v>
      </c>
      <c r="G775" t="s">
        <v>45</v>
      </c>
      <c r="J775" t="s">
        <v>720</v>
      </c>
      <c r="K775" t="s">
        <v>4488</v>
      </c>
      <c r="L775" t="s">
        <v>54</v>
      </c>
      <c r="M775" t="s">
        <v>373</v>
      </c>
      <c r="N775" t="s">
        <v>4489</v>
      </c>
      <c r="O775" t="s">
        <v>4490</v>
      </c>
      <c r="P775" s="46" t="str" cm="1">
        <f t="array" aca="1" ref="P775" ca="1">IFERROR(_xlfn.XLOOKUP(tblPedidos[[#This Row],[id_dropi]],tblNotas[[#This Row],[id__dropi]],tblNotas[[#This Row],[Notas Manuales]], “”, 0),"")</f>
        <v/>
      </c>
      <c r="R775" t="s">
        <v>3213</v>
      </c>
      <c r="S775">
        <v>17004.5</v>
      </c>
      <c r="T775">
        <v>-17895.5</v>
      </c>
      <c r="U775" cm="1">
        <f t="array" ref="U775">IFERROR(_xlfn.IFS(tblPedidos[[#This Row],[estado_operativo]]="ENTREGADO",tblPedidos[[#This Row],[ganancia_calc]],tblPedidos[[#This Row],[estado_operativo]]="DEVOLUCION",tblPedidos[[#This Row],[costo_devolucion_estimado]]),0)</f>
        <v>17004.5</v>
      </c>
      <c r="V775">
        <v>102027</v>
      </c>
      <c r="W775">
        <v>59900</v>
      </c>
      <c r="X775">
        <v>17895.5</v>
      </c>
      <c r="Y775">
        <v>25000</v>
      </c>
      <c r="Z775" s="11">
        <v>46037</v>
      </c>
      <c r="AA775">
        <v>7</v>
      </c>
      <c r="AB775" s="12">
        <v>0.60486111111111107</v>
      </c>
      <c r="AC775" t="s">
        <v>720</v>
      </c>
      <c r="AD775" t="s">
        <v>720</v>
      </c>
      <c r="AE775" t="s">
        <v>720</v>
      </c>
    </row>
    <row r="776" spans="1:31">
      <c r="A776" t="s">
        <v>1343</v>
      </c>
      <c r="C776">
        <v>251</v>
      </c>
      <c r="D776" t="s">
        <v>4491</v>
      </c>
      <c r="E776" s="11">
        <v>46031</v>
      </c>
      <c r="F776" t="s">
        <v>4492</v>
      </c>
      <c r="G776" t="s">
        <v>45</v>
      </c>
      <c r="J776" t="s">
        <v>720</v>
      </c>
      <c r="K776" t="s">
        <v>4493</v>
      </c>
      <c r="L776" t="s">
        <v>54</v>
      </c>
      <c r="M776" t="s">
        <v>3799</v>
      </c>
      <c r="N776" t="s">
        <v>4494</v>
      </c>
      <c r="O776" t="s">
        <v>4495</v>
      </c>
      <c r="P776" s="46" t="str" cm="1">
        <f t="array" aca="1" ref="P776" ca="1">IFERROR(_xlfn.XLOOKUP(tblPedidos[[#This Row],[id_dropi]],tblNotas[[#This Row],[id__dropi]],tblNotas[[#This Row],[Notas Manuales]], “”, 0),"")</f>
        <v/>
      </c>
      <c r="R776" t="s">
        <v>3213</v>
      </c>
      <c r="S776">
        <v>17004.5</v>
      </c>
      <c r="T776">
        <v>-17895.5</v>
      </c>
      <c r="U776" cm="1">
        <f t="array" ref="U776">IFERROR(_xlfn.IFS(tblPedidos[[#This Row],[estado_operativo]]="ENTREGADO",tblPedidos[[#This Row],[ganancia_calc]],tblPedidos[[#This Row],[estado_operativo]]="DEVOLUCION",tblPedidos[[#This Row],[costo_devolucion_estimado]]),0)</f>
        <v>17004.5</v>
      </c>
      <c r="V776">
        <v>34009</v>
      </c>
      <c r="W776">
        <v>59900</v>
      </c>
      <c r="X776">
        <v>17895.5</v>
      </c>
      <c r="Y776">
        <v>25000</v>
      </c>
      <c r="Z776" s="11">
        <v>46042</v>
      </c>
      <c r="AA776">
        <v>2</v>
      </c>
      <c r="AB776" s="12">
        <v>0.61875000000000002</v>
      </c>
      <c r="AC776" t="s">
        <v>720</v>
      </c>
      <c r="AD776" t="s">
        <v>720</v>
      </c>
      <c r="AE776" t="s">
        <v>720</v>
      </c>
    </row>
    <row r="777" spans="1:31">
      <c r="A777" t="s">
        <v>1343</v>
      </c>
      <c r="B777" t="s">
        <v>2946</v>
      </c>
      <c r="C777">
        <v>252</v>
      </c>
      <c r="D777" t="s">
        <v>4496</v>
      </c>
      <c r="E777" s="11">
        <v>46031</v>
      </c>
      <c r="F777" t="s">
        <v>4497</v>
      </c>
      <c r="G777" t="s">
        <v>45</v>
      </c>
      <c r="J777" t="s">
        <v>720</v>
      </c>
      <c r="K777" t="s">
        <v>4498</v>
      </c>
      <c r="L777" t="s">
        <v>125</v>
      </c>
      <c r="M777" t="s">
        <v>184</v>
      </c>
      <c r="N777" t="s">
        <v>4499</v>
      </c>
      <c r="O777" t="s">
        <v>4500</v>
      </c>
      <c r="P777" s="46" t="str" cm="1">
        <f t="array" aca="1" ref="P777" ca="1">IFERROR(_xlfn.XLOOKUP(tblPedidos[[#This Row],[id_dropi]],tblNotas[[#This Row],[id__dropi]],tblNotas[[#This Row],[Notas Manuales]], “”, 0),"")</f>
        <v/>
      </c>
      <c r="R777" t="s">
        <v>2983</v>
      </c>
      <c r="S777">
        <v>28104.5</v>
      </c>
      <c r="T777">
        <v>-18345.5</v>
      </c>
      <c r="U777" cm="1">
        <f t="array" ref="U777">IFERROR(_xlfn.IFS(tblPedidos[[#This Row],[estado_operativo]]="ENTREGADO",tblPedidos[[#This Row],[ganancia_calc]],tblPedidos[[#This Row],[estado_operativo]]="DEVOLUCION",tblPedidos[[#This Row],[costo_devolucion_estimado]]),0)</f>
        <v>28104.5</v>
      </c>
      <c r="V777">
        <v>140522.5</v>
      </c>
      <c r="W777">
        <v>69900</v>
      </c>
      <c r="X777">
        <v>18345.5</v>
      </c>
      <c r="Y777">
        <v>23450</v>
      </c>
      <c r="Z777" s="11">
        <v>46038</v>
      </c>
      <c r="AA777">
        <v>6</v>
      </c>
      <c r="AB777" s="12">
        <v>0.625</v>
      </c>
      <c r="AC777" t="s">
        <v>720</v>
      </c>
      <c r="AD777" t="s">
        <v>720</v>
      </c>
      <c r="AE777" t="s">
        <v>720</v>
      </c>
    </row>
    <row r="778" spans="1:31">
      <c r="A778" t="s">
        <v>1343</v>
      </c>
      <c r="B778" t="s">
        <v>2946</v>
      </c>
      <c r="C778">
        <v>257</v>
      </c>
      <c r="D778" t="s">
        <v>4501</v>
      </c>
      <c r="E778" s="11">
        <v>46031</v>
      </c>
      <c r="F778" t="s">
        <v>4502</v>
      </c>
      <c r="G778" t="s">
        <v>36</v>
      </c>
      <c r="J778" t="s">
        <v>720</v>
      </c>
      <c r="K778" t="s">
        <v>4503</v>
      </c>
      <c r="L778" t="s">
        <v>81</v>
      </c>
      <c r="M778" t="s">
        <v>118</v>
      </c>
      <c r="N778" t="s">
        <v>4504</v>
      </c>
      <c r="O778" t="s">
        <v>4505</v>
      </c>
      <c r="P778" s="46" t="str" cm="1">
        <f t="array" aca="1" ref="P778" ca="1">IFERROR(_xlfn.XLOOKUP(tblPedidos[[#This Row],[id_dropi]],tblNotas[[#This Row],[id__dropi]],tblNotas[[#This Row],[Notas Manuales]], “”, 0),"")</f>
        <v/>
      </c>
      <c r="R778" t="s">
        <v>2983</v>
      </c>
      <c r="S778">
        <v>32946.5</v>
      </c>
      <c r="T778">
        <v>-10802.800000000001</v>
      </c>
      <c r="U778" cm="1">
        <f t="array" ref="U778">IFERROR(_xlfn.IFS(tblPedidos[[#This Row],[estado_operativo]]="ENTREGADO",tblPedidos[[#This Row],[ganancia_calc]],tblPedidos[[#This Row],[estado_operativo]]="DEVOLUCION",tblPedidos[[#This Row],[costo_devolucion_estimado]]),0)</f>
        <v>32946.5</v>
      </c>
      <c r="V778">
        <v>197679</v>
      </c>
      <c r="W778">
        <v>69900</v>
      </c>
      <c r="X778">
        <v>13503.5</v>
      </c>
      <c r="Y778">
        <v>23450</v>
      </c>
      <c r="Z778" s="11">
        <v>46032</v>
      </c>
      <c r="AA778">
        <v>12</v>
      </c>
      <c r="AB778" s="12">
        <v>0.72777777777777775</v>
      </c>
      <c r="AC778" t="s">
        <v>399</v>
      </c>
      <c r="AD778" t="s">
        <v>720</v>
      </c>
      <c r="AE778" t="s">
        <v>720</v>
      </c>
    </row>
    <row r="779" spans="1:31">
      <c r="A779" t="s">
        <v>1343</v>
      </c>
      <c r="B779" t="s">
        <v>2946</v>
      </c>
      <c r="C779">
        <v>262</v>
      </c>
      <c r="D779" t="s">
        <v>4506</v>
      </c>
      <c r="E779" s="11">
        <v>46031</v>
      </c>
      <c r="F779" t="s">
        <v>4507</v>
      </c>
      <c r="G779" t="s">
        <v>36</v>
      </c>
      <c r="J779" t="s">
        <v>720</v>
      </c>
      <c r="K779" t="s">
        <v>4508</v>
      </c>
      <c r="L779" t="s">
        <v>81</v>
      </c>
      <c r="M779" t="s">
        <v>118</v>
      </c>
      <c r="N779" t="s">
        <v>4509</v>
      </c>
      <c r="O779" t="s">
        <v>4510</v>
      </c>
      <c r="P779" s="46" t="str" cm="1">
        <f t="array" aca="1" ref="P779" ca="1">IFERROR(_xlfn.XLOOKUP(tblPedidos[[#This Row],[id_dropi]],tblNotas[[#This Row],[id__dropi]],tblNotas[[#This Row],[Notas Manuales]], “”, 0),"")</f>
        <v/>
      </c>
      <c r="R779" t="s">
        <v>2983</v>
      </c>
      <c r="S779">
        <v>32946.5</v>
      </c>
      <c r="T779">
        <v>-10802.800000000001</v>
      </c>
      <c r="U779" cm="1">
        <f t="array" ref="U779">IFERROR(_xlfn.IFS(tblPedidos[[#This Row],[estado_operativo]]="ENTREGADO",tblPedidos[[#This Row],[ganancia_calc]],tblPedidos[[#This Row],[estado_operativo]]="DEVOLUCION",tblPedidos[[#This Row],[costo_devolucion_estimado]]),0)</f>
        <v>32946.5</v>
      </c>
      <c r="V779">
        <v>197679</v>
      </c>
      <c r="W779">
        <v>69900</v>
      </c>
      <c r="X779">
        <v>13503.5</v>
      </c>
      <c r="Y779">
        <v>23450</v>
      </c>
      <c r="Z779" s="11">
        <v>46032</v>
      </c>
      <c r="AA779">
        <v>12</v>
      </c>
      <c r="AB779" s="12">
        <v>0.72777777777777775</v>
      </c>
      <c r="AC779" t="s">
        <v>399</v>
      </c>
      <c r="AD779" t="s">
        <v>720</v>
      </c>
      <c r="AE779" t="s">
        <v>720</v>
      </c>
    </row>
    <row r="780" spans="1:31">
      <c r="A780" t="s">
        <v>1343</v>
      </c>
      <c r="C780">
        <v>263</v>
      </c>
      <c r="D780" t="s">
        <v>4511</v>
      </c>
      <c r="E780" s="11">
        <v>46031</v>
      </c>
      <c r="F780" t="s">
        <v>4512</v>
      </c>
      <c r="G780" t="s">
        <v>45</v>
      </c>
      <c r="J780" t="s">
        <v>720</v>
      </c>
      <c r="K780" t="s">
        <v>4513</v>
      </c>
      <c r="L780" t="s">
        <v>81</v>
      </c>
      <c r="M780" t="s">
        <v>272</v>
      </c>
      <c r="N780" t="s">
        <v>4514</v>
      </c>
      <c r="O780" t="s">
        <v>4515</v>
      </c>
      <c r="P780" s="46" t="str" cm="1">
        <f t="array" aca="1" ref="P780" ca="1">IFERROR(_xlfn.XLOOKUP(tblPedidos[[#This Row],[id_dropi]],tblNotas[[#This Row],[id__dropi]],tblNotas[[#This Row],[Notas Manuales]], “”, 0),"")</f>
        <v/>
      </c>
      <c r="Q780" t="s">
        <v>50</v>
      </c>
      <c r="R780" t="s">
        <v>3014</v>
      </c>
      <c r="S780">
        <v>22829.5</v>
      </c>
      <c r="T780">
        <v>-17670.5</v>
      </c>
      <c r="U780" cm="1">
        <f t="array" ref="U780">IFERROR(_xlfn.IFS(tblPedidos[[#This Row],[estado_operativo]]="ENTREGADO",tblPedidos[[#This Row],[ganancia_calc]],tblPedidos[[#This Row],[estado_operativo]]="DEVOLUCION",tblPedidos[[#This Row],[costo_devolucion_estimado]]),0)</f>
        <v>22829.5</v>
      </c>
      <c r="V780">
        <v>91318</v>
      </c>
      <c r="W780">
        <v>54900</v>
      </c>
      <c r="X780">
        <v>17670.5</v>
      </c>
      <c r="Y780">
        <v>14400</v>
      </c>
      <c r="Z780" s="11">
        <v>46040</v>
      </c>
      <c r="AA780">
        <v>4</v>
      </c>
      <c r="AB780" s="12">
        <v>0.51736111111111116</v>
      </c>
      <c r="AC780" t="s">
        <v>720</v>
      </c>
      <c r="AD780" t="s">
        <v>720</v>
      </c>
      <c r="AE780" t="s">
        <v>720</v>
      </c>
    </row>
    <row r="781" spans="1:31">
      <c r="A781" t="s">
        <v>1343</v>
      </c>
      <c r="B781" t="s">
        <v>2946</v>
      </c>
      <c r="C781">
        <v>264</v>
      </c>
      <c r="D781" t="s">
        <v>4516</v>
      </c>
      <c r="E781" s="11">
        <v>46031</v>
      </c>
      <c r="F781" t="s">
        <v>4517</v>
      </c>
      <c r="G781" t="s">
        <v>36</v>
      </c>
      <c r="J781" t="s">
        <v>720</v>
      </c>
      <c r="K781" t="s">
        <v>4518</v>
      </c>
      <c r="L781" t="s">
        <v>166</v>
      </c>
      <c r="M781" t="s">
        <v>468</v>
      </c>
      <c r="N781" t="s">
        <v>4519</v>
      </c>
      <c r="O781" t="s">
        <v>4520</v>
      </c>
      <c r="P781" s="46" t="str" cm="1">
        <f t="array" aca="1" ref="P781" ca="1">IFERROR(_xlfn.XLOOKUP(tblPedidos[[#This Row],[id_dropi]],tblNotas[[#This Row],[id__dropi]],tblNotas[[#This Row],[Notas Manuales]], “”, 0),"")</f>
        <v/>
      </c>
      <c r="R781" t="s">
        <v>2983</v>
      </c>
      <c r="S781">
        <v>30786.5</v>
      </c>
      <c r="T781">
        <v>-12530.800000000001</v>
      </c>
      <c r="U781" cm="1">
        <f t="array" ref="U781">IFERROR(_xlfn.IFS(tblPedidos[[#This Row],[estado_operativo]]="ENTREGADO",tblPedidos[[#This Row],[ganancia_calc]],tblPedidos[[#This Row],[estado_operativo]]="DEVOLUCION",tblPedidos[[#This Row],[costo_devolucion_estimado]]),0)</f>
        <v>30786.5</v>
      </c>
      <c r="V781">
        <v>184719</v>
      </c>
      <c r="W781">
        <v>69900</v>
      </c>
      <c r="X781">
        <v>15663.5</v>
      </c>
      <c r="Y781">
        <v>23450</v>
      </c>
      <c r="Z781" s="11">
        <v>46032</v>
      </c>
      <c r="AA781">
        <v>12</v>
      </c>
      <c r="AB781" s="12">
        <v>0.72847222222222219</v>
      </c>
      <c r="AC781" t="s">
        <v>399</v>
      </c>
      <c r="AD781" t="s">
        <v>720</v>
      </c>
      <c r="AE781" t="s">
        <v>720</v>
      </c>
    </row>
    <row r="782" spans="1:31">
      <c r="A782" t="s">
        <v>1343</v>
      </c>
      <c r="B782" t="s">
        <v>2946</v>
      </c>
      <c r="C782">
        <v>261</v>
      </c>
      <c r="D782" t="s">
        <v>4521</v>
      </c>
      <c r="E782" s="11">
        <v>46031</v>
      </c>
      <c r="F782" t="s">
        <v>4522</v>
      </c>
      <c r="G782" t="s">
        <v>36</v>
      </c>
      <c r="J782" t="s">
        <v>720</v>
      </c>
      <c r="K782" t="s">
        <v>4523</v>
      </c>
      <c r="L782" t="s">
        <v>322</v>
      </c>
      <c r="M782" t="s">
        <v>323</v>
      </c>
      <c r="N782" t="s">
        <v>4524</v>
      </c>
      <c r="O782" t="s">
        <v>4525</v>
      </c>
      <c r="P782" s="46" t="str" cm="1">
        <f t="array" aca="1" ref="P782" ca="1">IFERROR(_xlfn.XLOOKUP(tblPedidos[[#This Row],[id_dropi]],tblNotas[[#This Row],[id__dropi]],tblNotas[[#This Row],[Notas Manuales]], “”, 0),"")</f>
        <v/>
      </c>
      <c r="R782" t="s">
        <v>2983</v>
      </c>
      <c r="S782">
        <v>30786.5</v>
      </c>
      <c r="T782">
        <v>-12530.800000000001</v>
      </c>
      <c r="U782" cm="1">
        <f t="array" ref="U782">IFERROR(_xlfn.IFS(tblPedidos[[#This Row],[estado_operativo]]="ENTREGADO",tblPedidos[[#This Row],[ganancia_calc]],tblPedidos[[#This Row],[estado_operativo]]="DEVOLUCION",tblPedidos[[#This Row],[costo_devolucion_estimado]]),0)</f>
        <v>30786.5</v>
      </c>
      <c r="V782">
        <v>184719</v>
      </c>
      <c r="W782">
        <v>69900</v>
      </c>
      <c r="X782">
        <v>15663.5</v>
      </c>
      <c r="Y782">
        <v>23450</v>
      </c>
      <c r="Z782" s="11">
        <v>46032</v>
      </c>
      <c r="AA782">
        <v>12</v>
      </c>
      <c r="AB782" s="12">
        <v>0.72847222222222219</v>
      </c>
      <c r="AC782" t="s">
        <v>399</v>
      </c>
      <c r="AD782" t="s">
        <v>720</v>
      </c>
      <c r="AE782" t="s">
        <v>720</v>
      </c>
    </row>
    <row r="783" spans="1:31">
      <c r="A783" t="s">
        <v>1343</v>
      </c>
      <c r="B783" t="s">
        <v>2946</v>
      </c>
      <c r="C783">
        <v>258</v>
      </c>
      <c r="D783" t="s">
        <v>4526</v>
      </c>
      <c r="E783" s="11">
        <v>46031</v>
      </c>
      <c r="F783" t="s">
        <v>4527</v>
      </c>
      <c r="G783" t="s">
        <v>45</v>
      </c>
      <c r="J783" t="s">
        <v>720</v>
      </c>
      <c r="K783" t="s">
        <v>4528</v>
      </c>
      <c r="L783" t="s">
        <v>61</v>
      </c>
      <c r="M783" t="s">
        <v>4529</v>
      </c>
      <c r="N783" t="s">
        <v>4530</v>
      </c>
      <c r="O783" t="s">
        <v>4531</v>
      </c>
      <c r="P783" s="46" t="str" cm="1">
        <f t="array" aca="1" ref="P783" ca="1">IFERROR(_xlfn.XLOOKUP(tblPedidos[[#This Row],[id_dropi]],tblNotas[[#This Row],[id__dropi]],tblNotas[[#This Row],[Notas Manuales]], “”, 0),"")</f>
        <v/>
      </c>
      <c r="Q783" t="s">
        <v>50</v>
      </c>
      <c r="R783" t="s">
        <v>2983</v>
      </c>
      <c r="S783">
        <v>28104.5</v>
      </c>
      <c r="T783">
        <v>-18345.5</v>
      </c>
      <c r="U783" cm="1">
        <f t="array" ref="U783">IFERROR(_xlfn.IFS(tblPedidos[[#This Row],[estado_operativo]]="ENTREGADO",tblPedidos[[#This Row],[ganancia_calc]],tblPedidos[[#This Row],[estado_operativo]]="DEVOLUCION",tblPedidos[[#This Row],[costo_devolucion_estimado]]),0)</f>
        <v>28104.5</v>
      </c>
      <c r="V783">
        <v>140522.5</v>
      </c>
      <c r="W783">
        <v>69900</v>
      </c>
      <c r="X783">
        <v>18345.5</v>
      </c>
      <c r="Y783">
        <v>23450</v>
      </c>
      <c r="Z783" s="11">
        <v>46038</v>
      </c>
      <c r="AA783">
        <v>6</v>
      </c>
      <c r="AB783" s="12">
        <v>0.84652777777777777</v>
      </c>
      <c r="AC783" t="s">
        <v>720</v>
      </c>
      <c r="AD783" t="s">
        <v>720</v>
      </c>
      <c r="AE783" t="s">
        <v>720</v>
      </c>
    </row>
    <row r="784" spans="1:31">
      <c r="A784" t="s">
        <v>1343</v>
      </c>
      <c r="B784" t="s">
        <v>2946</v>
      </c>
      <c r="C784">
        <v>259</v>
      </c>
      <c r="D784" t="s">
        <v>4532</v>
      </c>
      <c r="E784" s="11">
        <v>46031</v>
      </c>
      <c r="F784" t="s">
        <v>4533</v>
      </c>
      <c r="G784" t="s">
        <v>45</v>
      </c>
      <c r="J784" t="s">
        <v>720</v>
      </c>
      <c r="K784" t="s">
        <v>4534</v>
      </c>
      <c r="L784" t="s">
        <v>105</v>
      </c>
      <c r="M784" t="s">
        <v>4535</v>
      </c>
      <c r="N784" t="s">
        <v>4536</v>
      </c>
      <c r="O784" t="s">
        <v>4537</v>
      </c>
      <c r="P784" s="46" t="str" cm="1">
        <f t="array" aca="1" ref="P784" ca="1">IFERROR(_xlfn.XLOOKUP(tblPedidos[[#This Row],[id_dropi]],tblNotas[[#This Row],[id__dropi]],tblNotas[[#This Row],[Notas Manuales]], “”, 0),"")</f>
        <v/>
      </c>
      <c r="Q784" t="s">
        <v>50</v>
      </c>
      <c r="R784" t="s">
        <v>3213</v>
      </c>
      <c r="S784">
        <v>17004.5</v>
      </c>
      <c r="T784">
        <v>-17895.5</v>
      </c>
      <c r="U784" cm="1">
        <f t="array" ref="U784">IFERROR(_xlfn.IFS(tblPedidos[[#This Row],[estado_operativo]]="ENTREGADO",tblPedidos[[#This Row],[ganancia_calc]],tblPedidos[[#This Row],[estado_operativo]]="DEVOLUCION",tblPedidos[[#This Row],[costo_devolucion_estimado]]),0)</f>
        <v>17004.5</v>
      </c>
      <c r="V784">
        <v>85022.5</v>
      </c>
      <c r="W784">
        <v>59900</v>
      </c>
      <c r="X784">
        <v>17895.5</v>
      </c>
      <c r="Y784">
        <v>25000</v>
      </c>
      <c r="Z784" s="11">
        <v>46038</v>
      </c>
      <c r="AA784">
        <v>6</v>
      </c>
      <c r="AB784" s="12">
        <v>0.76249999999999996</v>
      </c>
      <c r="AC784" t="s">
        <v>720</v>
      </c>
      <c r="AD784" t="s">
        <v>720</v>
      </c>
      <c r="AE784" t="s">
        <v>720</v>
      </c>
    </row>
    <row r="785" spans="1:31">
      <c r="A785" t="s">
        <v>33</v>
      </c>
      <c r="C785">
        <v>260</v>
      </c>
      <c r="D785" t="s">
        <v>4538</v>
      </c>
      <c r="E785" s="11">
        <v>46031</v>
      </c>
      <c r="F785" t="s">
        <v>2773</v>
      </c>
      <c r="G785" t="s">
        <v>45</v>
      </c>
      <c r="J785" t="s">
        <v>1090</v>
      </c>
      <c r="K785" t="s">
        <v>4539</v>
      </c>
      <c r="L785" t="s">
        <v>54</v>
      </c>
      <c r="M785" t="s">
        <v>2775</v>
      </c>
      <c r="N785" t="s">
        <v>2776</v>
      </c>
      <c r="O785" t="s">
        <v>2777</v>
      </c>
      <c r="P785" s="46" t="str" cm="1">
        <f t="array" aca="1" ref="P785" ca="1">IFERROR(_xlfn.XLOOKUP(tblPedidos[[#This Row],[id_dropi]],tblNotas[[#This Row],[id__dropi]],tblNotas[[#This Row],[Notas Manuales]], “”, 0),"")</f>
        <v/>
      </c>
      <c r="Q785" t="s">
        <v>50</v>
      </c>
      <c r="R785" t="s">
        <v>2983</v>
      </c>
      <c r="S785">
        <v>28104.5</v>
      </c>
      <c r="T785">
        <v>-18345.5</v>
      </c>
      <c r="U785" cm="1">
        <f t="array" ref="U785">IFERROR(_xlfn.IFS(tblPedidos[[#This Row],[estado_operativo]]="ENTREGADO",tblPedidos[[#This Row],[ganancia_calc]],tblPedidos[[#This Row],[estado_operativo]]="DEVOLUCION",tblPedidos[[#This Row],[costo_devolucion_estimado]]),0)</f>
        <v>0</v>
      </c>
      <c r="V785">
        <v>0</v>
      </c>
      <c r="W785">
        <v>69900</v>
      </c>
      <c r="X785">
        <v>18345.5</v>
      </c>
      <c r="Y785">
        <v>23450</v>
      </c>
      <c r="Z785" s="11">
        <v>46037</v>
      </c>
      <c r="AA785">
        <v>7</v>
      </c>
      <c r="AB785" s="12">
        <v>0.76875000000000004</v>
      </c>
      <c r="AC785" t="s">
        <v>2236</v>
      </c>
      <c r="AD785" t="s">
        <v>2236</v>
      </c>
      <c r="AE785" t="s">
        <v>1090</v>
      </c>
    </row>
    <row r="786" spans="1:31">
      <c r="A786" t="s">
        <v>1343</v>
      </c>
      <c r="B786" t="s">
        <v>2946</v>
      </c>
      <c r="C786">
        <v>301</v>
      </c>
      <c r="D786" t="s">
        <v>4540</v>
      </c>
      <c r="E786" s="11">
        <v>46031</v>
      </c>
      <c r="F786" t="s">
        <v>4541</v>
      </c>
      <c r="G786" t="s">
        <v>45</v>
      </c>
      <c r="J786" t="s">
        <v>720</v>
      </c>
      <c r="K786" t="s">
        <v>4542</v>
      </c>
      <c r="L786" t="s">
        <v>74</v>
      </c>
      <c r="M786" t="s">
        <v>75</v>
      </c>
      <c r="N786" t="s">
        <v>4543</v>
      </c>
      <c r="O786" t="s">
        <v>4544</v>
      </c>
      <c r="P786" s="46" t="str" cm="1">
        <f t="array" aca="1" ref="P786" ca="1">IFERROR(_xlfn.XLOOKUP(tblPedidos[[#This Row],[id_dropi]],tblNotas[[#This Row],[id__dropi]],tblNotas[[#This Row],[Notas Manuales]], “”, 0),"")</f>
        <v/>
      </c>
      <c r="R786" t="s">
        <v>3213</v>
      </c>
      <c r="S786">
        <v>17004.5</v>
      </c>
      <c r="T786">
        <v>-17895.5</v>
      </c>
      <c r="U786" cm="1">
        <f t="array" ref="U786">IFERROR(_xlfn.IFS(tblPedidos[[#This Row],[estado_operativo]]="ENTREGADO",tblPedidos[[#This Row],[ganancia_calc]],tblPedidos[[#This Row],[estado_operativo]]="DEVOLUCION",tblPedidos[[#This Row],[costo_devolucion_estimado]]),0)</f>
        <v>17004.5</v>
      </c>
      <c r="V786">
        <v>85022.5</v>
      </c>
      <c r="W786">
        <v>59900</v>
      </c>
      <c r="X786">
        <v>17895.5</v>
      </c>
      <c r="Y786">
        <v>25000</v>
      </c>
      <c r="Z786" s="11">
        <v>46038</v>
      </c>
      <c r="AA786">
        <v>6</v>
      </c>
      <c r="AB786" s="12">
        <v>4.791666666666667E-2</v>
      </c>
      <c r="AC786" t="s">
        <v>720</v>
      </c>
      <c r="AD786" t="s">
        <v>720</v>
      </c>
      <c r="AE786" t="s">
        <v>720</v>
      </c>
    </row>
    <row r="787" spans="1:31">
      <c r="A787" t="s">
        <v>1343</v>
      </c>
      <c r="B787" t="s">
        <v>2946</v>
      </c>
      <c r="C787">
        <v>302</v>
      </c>
      <c r="D787" t="s">
        <v>4545</v>
      </c>
      <c r="E787" s="11">
        <v>46031</v>
      </c>
      <c r="F787" t="s">
        <v>4546</v>
      </c>
      <c r="G787" t="s">
        <v>45</v>
      </c>
      <c r="J787" t="s">
        <v>720</v>
      </c>
      <c r="K787" t="s">
        <v>4547</v>
      </c>
      <c r="L787" t="s">
        <v>74</v>
      </c>
      <c r="M787" t="s">
        <v>1723</v>
      </c>
      <c r="N787" t="s">
        <v>4548</v>
      </c>
      <c r="O787" t="s">
        <v>4549</v>
      </c>
      <c r="P787" s="46" t="str" cm="1">
        <f t="array" aca="1" ref="P787" ca="1">IFERROR(_xlfn.XLOOKUP(tblPedidos[[#This Row],[id_dropi]],tblNotas[[#This Row],[id__dropi]],tblNotas[[#This Row],[Notas Manuales]], “”, 0),"")</f>
        <v/>
      </c>
      <c r="R787" t="s">
        <v>2983</v>
      </c>
      <c r="S787">
        <v>28104.5</v>
      </c>
      <c r="T787">
        <v>-18345.5</v>
      </c>
      <c r="U787" cm="1">
        <f t="array" ref="U787">IFERROR(_xlfn.IFS(tblPedidos[[#This Row],[estado_operativo]]="ENTREGADO",tblPedidos[[#This Row],[ganancia_calc]],tblPedidos[[#This Row],[estado_operativo]]="DEVOLUCION",tblPedidos[[#This Row],[costo_devolucion_estimado]]),0)</f>
        <v>28104.5</v>
      </c>
      <c r="V787">
        <v>140522.5</v>
      </c>
      <c r="W787">
        <v>69900</v>
      </c>
      <c r="X787">
        <v>18345.5</v>
      </c>
      <c r="Y787">
        <v>23450</v>
      </c>
      <c r="Z787" s="11">
        <v>46039</v>
      </c>
      <c r="AA787">
        <v>5</v>
      </c>
      <c r="AB787" s="12">
        <v>0.61041666666666672</v>
      </c>
      <c r="AC787" t="s">
        <v>720</v>
      </c>
      <c r="AD787" t="s">
        <v>720</v>
      </c>
      <c r="AE787" t="s">
        <v>720</v>
      </c>
    </row>
    <row r="788" spans="1:31">
      <c r="A788" t="s">
        <v>33</v>
      </c>
      <c r="C788">
        <v>303</v>
      </c>
      <c r="D788" t="s">
        <v>4550</v>
      </c>
      <c r="E788" s="11">
        <v>46031</v>
      </c>
      <c r="F788" t="s">
        <v>4551</v>
      </c>
      <c r="G788" t="s">
        <v>45</v>
      </c>
      <c r="J788" t="s">
        <v>1371</v>
      </c>
      <c r="K788" t="s">
        <v>4552</v>
      </c>
      <c r="L788" t="s">
        <v>38</v>
      </c>
      <c r="M788" t="s">
        <v>39</v>
      </c>
      <c r="N788" t="s">
        <v>4553</v>
      </c>
      <c r="O788" t="s">
        <v>4554</v>
      </c>
      <c r="P788" s="46" t="str" cm="1">
        <f t="array" aca="1" ref="P788" ca="1">IFERROR(_xlfn.XLOOKUP(tblPedidos[[#This Row],[id_dropi]],tblNotas[[#This Row],[id__dropi]],tblNotas[[#This Row],[Notas Manuales]], “”, 0),"")</f>
        <v/>
      </c>
      <c r="R788" t="s">
        <v>2983</v>
      </c>
      <c r="S788">
        <v>28104.5</v>
      </c>
      <c r="T788">
        <v>-18345.5</v>
      </c>
      <c r="U788" cm="1">
        <f t="array" ref="U788">IFERROR(_xlfn.IFS(tblPedidos[[#This Row],[estado_operativo]]="ENTREGADO",tblPedidos[[#This Row],[ganancia_calc]],tblPedidos[[#This Row],[estado_operativo]]="DEVOLUCION",tblPedidos[[#This Row],[costo_devolucion_estimado]]),0)</f>
        <v>0</v>
      </c>
      <c r="V788">
        <v>0</v>
      </c>
      <c r="W788">
        <v>69900</v>
      </c>
      <c r="X788">
        <v>18345.5</v>
      </c>
      <c r="Y788">
        <v>23450</v>
      </c>
      <c r="Z788" s="11">
        <v>46043</v>
      </c>
      <c r="AA788">
        <v>1</v>
      </c>
      <c r="AB788" s="12">
        <v>0.43402777777777779</v>
      </c>
      <c r="AC788" t="s">
        <v>982</v>
      </c>
      <c r="AD788" t="s">
        <v>982</v>
      </c>
      <c r="AE788" t="s">
        <v>1371</v>
      </c>
    </row>
    <row r="789" spans="1:31">
      <c r="A789" t="s">
        <v>1343</v>
      </c>
      <c r="B789" t="s">
        <v>2946</v>
      </c>
      <c r="C789">
        <v>300</v>
      </c>
      <c r="D789" t="s">
        <v>4555</v>
      </c>
      <c r="E789" s="11">
        <v>46031</v>
      </c>
      <c r="F789" t="s">
        <v>4556</v>
      </c>
      <c r="G789" t="s">
        <v>45</v>
      </c>
      <c r="J789" t="s">
        <v>720</v>
      </c>
      <c r="K789" t="s">
        <v>4557</v>
      </c>
      <c r="L789" t="s">
        <v>46</v>
      </c>
      <c r="M789" t="s">
        <v>1149</v>
      </c>
      <c r="N789" t="s">
        <v>4558</v>
      </c>
      <c r="O789" t="s">
        <v>4559</v>
      </c>
      <c r="P789" s="46" t="str" cm="1">
        <f t="array" aca="1" ref="P789" ca="1">IFERROR(_xlfn.XLOOKUP(tblPedidos[[#This Row],[id_dropi]],tblNotas[[#This Row],[id__dropi]],tblNotas[[#This Row],[Notas Manuales]], “”, 0),"")</f>
        <v/>
      </c>
      <c r="R789" t="s">
        <v>3014</v>
      </c>
      <c r="S789">
        <v>27379.5</v>
      </c>
      <c r="T789">
        <v>-13120.5</v>
      </c>
      <c r="U789" cm="1">
        <f t="array" ref="U789">IFERROR(_xlfn.IFS(tblPedidos[[#This Row],[estado_operativo]]="ENTREGADO",tblPedidos[[#This Row],[ganancia_calc]],tblPedidos[[#This Row],[estado_operativo]]="DEVOLUCION",tblPedidos[[#This Row],[costo_devolucion_estimado]]),0)</f>
        <v>27379.5</v>
      </c>
      <c r="V789">
        <v>164277</v>
      </c>
      <c r="W789">
        <v>54900</v>
      </c>
      <c r="X789">
        <v>13120.5</v>
      </c>
      <c r="Y789">
        <v>14400</v>
      </c>
      <c r="Z789" s="11">
        <v>46036</v>
      </c>
      <c r="AA789">
        <v>8</v>
      </c>
      <c r="AB789" s="12">
        <v>4.9305555555555554E-2</v>
      </c>
      <c r="AC789" t="s">
        <v>720</v>
      </c>
      <c r="AD789" t="s">
        <v>720</v>
      </c>
      <c r="AE789" t="s">
        <v>720</v>
      </c>
    </row>
    <row r="790" spans="1:31">
      <c r="A790" t="s">
        <v>1343</v>
      </c>
      <c r="B790" t="s">
        <v>2946</v>
      </c>
      <c r="C790">
        <v>297</v>
      </c>
      <c r="D790" t="s">
        <v>4560</v>
      </c>
      <c r="E790" s="11">
        <v>46031</v>
      </c>
      <c r="F790" t="s">
        <v>4561</v>
      </c>
      <c r="G790" t="s">
        <v>45</v>
      </c>
      <c r="J790" t="s">
        <v>720</v>
      </c>
      <c r="K790" t="s">
        <v>4562</v>
      </c>
      <c r="L790" t="s">
        <v>136</v>
      </c>
      <c r="M790" t="s">
        <v>4563</v>
      </c>
      <c r="N790" t="s">
        <v>4564</v>
      </c>
      <c r="O790" t="s">
        <v>4565</v>
      </c>
      <c r="P790" s="46" t="str" cm="1">
        <f t="array" aca="1" ref="P790" ca="1">IFERROR(_xlfn.XLOOKUP(tblPedidos[[#This Row],[id_dropi]],tblNotas[[#This Row],[id__dropi]],tblNotas[[#This Row],[Notas Manuales]], “”, 0),"")</f>
        <v/>
      </c>
      <c r="Q790" t="s">
        <v>4566</v>
      </c>
      <c r="R790" t="s">
        <v>3014</v>
      </c>
      <c r="S790">
        <v>22829.5</v>
      </c>
      <c r="T790">
        <v>-17670.5</v>
      </c>
      <c r="U790" cm="1">
        <f t="array" ref="U790">IFERROR(_xlfn.IFS(tblPedidos[[#This Row],[estado_operativo]]="ENTREGADO",tblPedidos[[#This Row],[ganancia_calc]],tblPedidos[[#This Row],[estado_operativo]]="DEVOLUCION",tblPedidos[[#This Row],[costo_devolucion_estimado]]),0)</f>
        <v>22829.5</v>
      </c>
      <c r="V790">
        <v>136977</v>
      </c>
      <c r="W790">
        <v>54900</v>
      </c>
      <c r="X790">
        <v>17670.5</v>
      </c>
      <c r="Y790">
        <v>14400</v>
      </c>
      <c r="Z790" s="11">
        <v>46035</v>
      </c>
      <c r="AA790">
        <v>9</v>
      </c>
      <c r="AB790" s="12">
        <v>0.84097222222222223</v>
      </c>
      <c r="AC790" t="s">
        <v>720</v>
      </c>
      <c r="AD790" t="s">
        <v>720</v>
      </c>
      <c r="AE790" t="s">
        <v>720</v>
      </c>
    </row>
    <row r="791" spans="1:31">
      <c r="A791" t="s">
        <v>1343</v>
      </c>
      <c r="B791" t="s">
        <v>2946</v>
      </c>
      <c r="C791">
        <v>298</v>
      </c>
      <c r="D791" t="s">
        <v>4567</v>
      </c>
      <c r="E791" s="11">
        <v>46031</v>
      </c>
      <c r="F791" t="s">
        <v>4568</v>
      </c>
      <c r="G791" t="s">
        <v>45</v>
      </c>
      <c r="J791" t="s">
        <v>720</v>
      </c>
      <c r="K791" t="s">
        <v>4569</v>
      </c>
      <c r="L791" t="s">
        <v>328</v>
      </c>
      <c r="M791" t="s">
        <v>4570</v>
      </c>
      <c r="N791" t="s">
        <v>4571</v>
      </c>
      <c r="O791" t="s">
        <v>4572</v>
      </c>
      <c r="P791" s="46" t="str" cm="1">
        <f t="array" aca="1" ref="P791" ca="1">IFERROR(_xlfn.XLOOKUP(tblPedidos[[#This Row],[id_dropi]],tblNotas[[#This Row],[id__dropi]],tblNotas[[#This Row],[Notas Manuales]], “”, 0),"")</f>
        <v/>
      </c>
      <c r="Q791" t="s">
        <v>50</v>
      </c>
      <c r="R791" t="s">
        <v>3200</v>
      </c>
      <c r="S791">
        <v>32079.5</v>
      </c>
      <c r="T791">
        <v>-14020.5</v>
      </c>
      <c r="U791" cm="1">
        <f t="array" ref="U791">IFERROR(_xlfn.IFS(tblPedidos[[#This Row],[estado_operativo]]="ENTREGADO",tblPedidos[[#This Row],[ganancia_calc]],tblPedidos[[#This Row],[estado_operativo]]="DEVOLUCION",tblPedidos[[#This Row],[costo_devolucion_estimado]]),0)</f>
        <v>32079.5</v>
      </c>
      <c r="V791">
        <v>192477</v>
      </c>
      <c r="W791">
        <v>74900</v>
      </c>
      <c r="X791">
        <v>14020.5</v>
      </c>
      <c r="Y791">
        <v>28800</v>
      </c>
      <c r="Z791" s="11">
        <v>46035</v>
      </c>
      <c r="AA791">
        <v>9</v>
      </c>
      <c r="AB791" s="12">
        <v>0.75555555555555554</v>
      </c>
      <c r="AC791" t="s">
        <v>720</v>
      </c>
      <c r="AD791" t="s">
        <v>720</v>
      </c>
      <c r="AE791" t="s">
        <v>720</v>
      </c>
    </row>
    <row r="792" spans="1:31">
      <c r="A792" t="s">
        <v>33</v>
      </c>
      <c r="C792">
        <v>299</v>
      </c>
      <c r="D792" t="s">
        <v>4573</v>
      </c>
      <c r="E792" s="11">
        <v>46031</v>
      </c>
      <c r="F792" t="s">
        <v>4574</v>
      </c>
      <c r="G792" t="s">
        <v>45</v>
      </c>
      <c r="J792" t="s">
        <v>1371</v>
      </c>
      <c r="K792" t="s">
        <v>4575</v>
      </c>
      <c r="L792" t="s">
        <v>54</v>
      </c>
      <c r="M792" t="s">
        <v>4576</v>
      </c>
      <c r="N792" t="s">
        <v>4577</v>
      </c>
      <c r="O792" t="s">
        <v>4578</v>
      </c>
      <c r="P792" s="46" t="str" cm="1">
        <f t="array" aca="1" ref="P792" ca="1">IFERROR(_xlfn.XLOOKUP(tblPedidos[[#This Row],[id_dropi]],tblNotas[[#This Row],[id__dropi]],tblNotas[[#This Row],[Notas Manuales]], “”, 0),"")</f>
        <v/>
      </c>
      <c r="Q792" t="s">
        <v>50</v>
      </c>
      <c r="R792" t="s">
        <v>3200</v>
      </c>
      <c r="S792">
        <v>27529.5</v>
      </c>
      <c r="T792">
        <v>-18570.5</v>
      </c>
      <c r="U792" cm="1">
        <f t="array" ref="U792">IFERROR(_xlfn.IFS(tblPedidos[[#This Row],[estado_operativo]]="ENTREGADO",tblPedidos[[#This Row],[ganancia_calc]],tblPedidos[[#This Row],[estado_operativo]]="DEVOLUCION",tblPedidos[[#This Row],[costo_devolucion_estimado]]),0)</f>
        <v>0</v>
      </c>
      <c r="V792">
        <v>0</v>
      </c>
      <c r="W792">
        <v>74900</v>
      </c>
      <c r="X792">
        <v>18570.5</v>
      </c>
      <c r="Y792">
        <v>28800</v>
      </c>
      <c r="Z792" s="11">
        <v>46043</v>
      </c>
      <c r="AA792">
        <v>1</v>
      </c>
      <c r="AB792" s="12">
        <v>0.43611111111111112</v>
      </c>
      <c r="AC792" t="s">
        <v>982</v>
      </c>
      <c r="AD792" t="s">
        <v>982</v>
      </c>
      <c r="AE792" t="s">
        <v>1371</v>
      </c>
    </row>
    <row r="793" spans="1:31">
      <c r="A793" t="s">
        <v>1343</v>
      </c>
      <c r="B793" t="s">
        <v>2946</v>
      </c>
      <c r="C793">
        <v>304</v>
      </c>
      <c r="D793" t="s">
        <v>4579</v>
      </c>
      <c r="E793" s="11">
        <v>46031</v>
      </c>
      <c r="F793" t="s">
        <v>4580</v>
      </c>
      <c r="G793" t="s">
        <v>45</v>
      </c>
      <c r="J793" t="s">
        <v>1657</v>
      </c>
      <c r="K793" t="s">
        <v>4581</v>
      </c>
      <c r="L793" t="s">
        <v>427</v>
      </c>
      <c r="M793" t="s">
        <v>628</v>
      </c>
      <c r="N793" t="s">
        <v>4582</v>
      </c>
      <c r="O793" t="s">
        <v>4583</v>
      </c>
      <c r="P793" s="46" t="str" cm="1">
        <f t="array" aca="1" ref="P793" ca="1">IFERROR(_xlfn.XLOOKUP(tblPedidos[[#This Row],[id_dropi]],tblNotas[[#This Row],[id__dropi]],tblNotas[[#This Row],[Notas Manuales]], “”, 0),"")</f>
        <v/>
      </c>
      <c r="R793" t="s">
        <v>3027</v>
      </c>
      <c r="S793">
        <v>18654.5</v>
      </c>
      <c r="T793">
        <v>-19245.5</v>
      </c>
      <c r="U793" cm="1">
        <f t="array" ref="U793">IFERROR(_xlfn.IFS(tblPedidos[[#This Row],[estado_operativo]]="ENTREGADO",tblPedidos[[#This Row],[ganancia_calc]],tblPedidos[[#This Row],[estado_operativo]]="DEVOLUCION",tblPedidos[[#This Row],[costo_devolucion_estimado]]),0)</f>
        <v>-19245.5</v>
      </c>
      <c r="V793">
        <v>-115473</v>
      </c>
      <c r="W793">
        <v>89900</v>
      </c>
      <c r="X793">
        <v>19245.5</v>
      </c>
      <c r="Y793">
        <v>52000</v>
      </c>
      <c r="Z793" s="11">
        <v>46036</v>
      </c>
      <c r="AA793">
        <v>8</v>
      </c>
      <c r="AB793" s="12">
        <v>0.61319444444444449</v>
      </c>
      <c r="AC793" t="s">
        <v>1657</v>
      </c>
      <c r="AD793" t="s">
        <v>1657</v>
      </c>
      <c r="AE793" t="s">
        <v>1657</v>
      </c>
    </row>
    <row r="794" spans="1:31">
      <c r="A794" t="s">
        <v>1343</v>
      </c>
      <c r="B794" t="s">
        <v>2946</v>
      </c>
      <c r="C794">
        <v>309</v>
      </c>
      <c r="D794" t="s">
        <v>4584</v>
      </c>
      <c r="E794" s="11">
        <v>46031</v>
      </c>
      <c r="F794" t="s">
        <v>4585</v>
      </c>
      <c r="G794" t="s">
        <v>45</v>
      </c>
      <c r="J794" t="s">
        <v>720</v>
      </c>
      <c r="K794" t="s">
        <v>4586</v>
      </c>
      <c r="L794" t="s">
        <v>74</v>
      </c>
      <c r="M794" t="s">
        <v>3422</v>
      </c>
      <c r="N794" t="s">
        <v>4587</v>
      </c>
      <c r="O794" t="s">
        <v>4588</v>
      </c>
      <c r="P794" s="46" t="str" cm="1">
        <f t="array" aca="1" ref="P794" ca="1">IFERROR(_xlfn.XLOOKUP(tblPedidos[[#This Row],[id_dropi]],tblNotas[[#This Row],[id__dropi]],tblNotas[[#This Row],[Notas Manuales]], “”, 0),"")</f>
        <v/>
      </c>
      <c r="R794" t="s">
        <v>3027</v>
      </c>
      <c r="S794">
        <v>18654.5</v>
      </c>
      <c r="T794">
        <v>-19245.5</v>
      </c>
      <c r="U794" cm="1">
        <f t="array" ref="U794">IFERROR(_xlfn.IFS(tblPedidos[[#This Row],[estado_operativo]]="ENTREGADO",tblPedidos[[#This Row],[ganancia_calc]],tblPedidos[[#This Row],[estado_operativo]]="DEVOLUCION",tblPedidos[[#This Row],[costo_devolucion_estimado]]),0)</f>
        <v>18654.5</v>
      </c>
      <c r="V794">
        <v>93272.5</v>
      </c>
      <c r="W794">
        <v>89900</v>
      </c>
      <c r="X794">
        <v>19245.5</v>
      </c>
      <c r="Y794">
        <v>52000</v>
      </c>
      <c r="Z794" s="11">
        <v>46038</v>
      </c>
      <c r="AA794">
        <v>6</v>
      </c>
      <c r="AB794" s="12">
        <v>0.7583333333333333</v>
      </c>
      <c r="AC794" t="s">
        <v>720</v>
      </c>
      <c r="AD794" t="s">
        <v>720</v>
      </c>
      <c r="AE794" t="s">
        <v>720</v>
      </c>
    </row>
    <row r="795" spans="1:31">
      <c r="A795" t="s">
        <v>1343</v>
      </c>
      <c r="B795" t="s">
        <v>2946</v>
      </c>
      <c r="C795">
        <v>310</v>
      </c>
      <c r="D795" t="s">
        <v>4589</v>
      </c>
      <c r="E795" s="11">
        <v>46031</v>
      </c>
      <c r="F795" t="s">
        <v>4590</v>
      </c>
      <c r="G795" t="s">
        <v>36</v>
      </c>
      <c r="J795" t="s">
        <v>720</v>
      </c>
      <c r="K795" t="s">
        <v>4591</v>
      </c>
      <c r="L795" t="s">
        <v>166</v>
      </c>
      <c r="M795" t="s">
        <v>851</v>
      </c>
      <c r="N795" t="s">
        <v>4592</v>
      </c>
      <c r="O795" t="s">
        <v>4593</v>
      </c>
      <c r="P795" s="46" t="str" cm="1">
        <f t="array" aca="1" ref="P795" ca="1">IFERROR(_xlfn.XLOOKUP(tblPedidos[[#This Row],[id_dropi]],tblNotas[[#This Row],[id__dropi]],tblNotas[[#This Row],[Notas Manuales]], “”, 0),"")</f>
        <v/>
      </c>
      <c r="R795" t="s">
        <v>3014</v>
      </c>
      <c r="S795">
        <v>20736.5</v>
      </c>
      <c r="T795">
        <v>-11810.800000000001</v>
      </c>
      <c r="U795" cm="1">
        <f t="array" ref="U795">IFERROR(_xlfn.IFS(tblPedidos[[#This Row],[estado_operativo]]="ENTREGADO",tblPedidos[[#This Row],[ganancia_calc]],tblPedidos[[#This Row],[estado_operativo]]="DEVOLUCION",tblPedidos[[#This Row],[costo_devolucion_estimado]]),0)</f>
        <v>20736.5</v>
      </c>
      <c r="V795">
        <v>103682.5</v>
      </c>
      <c r="W795">
        <v>49900</v>
      </c>
      <c r="X795">
        <v>14763.5</v>
      </c>
      <c r="Y795">
        <v>14400</v>
      </c>
      <c r="Z795" s="11">
        <v>46032</v>
      </c>
      <c r="AA795">
        <v>12</v>
      </c>
      <c r="AB795" s="12">
        <v>0.6875</v>
      </c>
      <c r="AC795" t="s">
        <v>399</v>
      </c>
      <c r="AD795" t="s">
        <v>720</v>
      </c>
      <c r="AE795" t="s">
        <v>720</v>
      </c>
    </row>
    <row r="796" spans="1:31">
      <c r="A796" t="s">
        <v>1343</v>
      </c>
      <c r="B796" t="s">
        <v>2946</v>
      </c>
      <c r="C796">
        <v>311</v>
      </c>
      <c r="D796" t="s">
        <v>4594</v>
      </c>
      <c r="E796" s="11">
        <v>46031</v>
      </c>
      <c r="F796" t="s">
        <v>4595</v>
      </c>
      <c r="G796" t="s">
        <v>45</v>
      </c>
      <c r="J796" t="s">
        <v>720</v>
      </c>
      <c r="K796" t="s">
        <v>4596</v>
      </c>
      <c r="L796" t="s">
        <v>322</v>
      </c>
      <c r="M796" t="s">
        <v>4128</v>
      </c>
      <c r="N796" t="s">
        <v>4597</v>
      </c>
      <c r="O796" t="s">
        <v>4598</v>
      </c>
      <c r="P796" s="46" t="str" cm="1">
        <f t="array" aca="1" ref="P796" ca="1">IFERROR(_xlfn.XLOOKUP(tblPedidos[[#This Row],[id_dropi]],tblNotas[[#This Row],[id__dropi]],tblNotas[[#This Row],[Notas Manuales]], “”, 0),"")</f>
        <v/>
      </c>
      <c r="Q796" t="s">
        <v>50</v>
      </c>
      <c r="R796" t="s">
        <v>3014</v>
      </c>
      <c r="S796">
        <v>22829.5</v>
      </c>
      <c r="T796">
        <v>-17670.5</v>
      </c>
      <c r="U796" cm="1">
        <f t="array" ref="U796">IFERROR(_xlfn.IFS(tblPedidos[[#This Row],[estado_operativo]]="ENTREGADO",tblPedidos[[#This Row],[ganancia_calc]],tblPedidos[[#This Row],[estado_operativo]]="DEVOLUCION",tblPedidos[[#This Row],[costo_devolucion_estimado]]),0)</f>
        <v>22829.5</v>
      </c>
      <c r="V796">
        <v>114147.5</v>
      </c>
      <c r="W796">
        <v>54900</v>
      </c>
      <c r="X796">
        <v>17670.5</v>
      </c>
      <c r="Y796">
        <v>14400</v>
      </c>
      <c r="Z796" s="11">
        <v>46038</v>
      </c>
      <c r="AA796">
        <v>6</v>
      </c>
      <c r="AB796" s="12">
        <v>0.42777777777777776</v>
      </c>
      <c r="AC796" t="s">
        <v>720</v>
      </c>
      <c r="AD796" t="s">
        <v>720</v>
      </c>
      <c r="AE796" t="s">
        <v>720</v>
      </c>
    </row>
    <row r="797" spans="1:31">
      <c r="A797" t="s">
        <v>1343</v>
      </c>
      <c r="B797" t="s">
        <v>2946</v>
      </c>
      <c r="C797">
        <v>308</v>
      </c>
      <c r="D797" t="s">
        <v>4599</v>
      </c>
      <c r="E797" s="11">
        <v>46031</v>
      </c>
      <c r="F797" t="s">
        <v>4600</v>
      </c>
      <c r="G797" t="s">
        <v>45</v>
      </c>
      <c r="J797" t="s">
        <v>1657</v>
      </c>
      <c r="K797" t="s">
        <v>4601</v>
      </c>
      <c r="L797" t="s">
        <v>46</v>
      </c>
      <c r="M797" t="s">
        <v>100</v>
      </c>
      <c r="N797" t="s">
        <v>4602</v>
      </c>
      <c r="O797" t="s">
        <v>4603</v>
      </c>
      <c r="P797" s="46" t="str" cm="1">
        <f t="array" aca="1" ref="P797" ca="1">IFERROR(_xlfn.XLOOKUP(tblPedidos[[#This Row],[id_dropi]],tblNotas[[#This Row],[id__dropi]],tblNotas[[#This Row],[Notas Manuales]], “”, 0),"")</f>
        <v/>
      </c>
      <c r="R797" t="s">
        <v>3014</v>
      </c>
      <c r="S797">
        <v>28779.5</v>
      </c>
      <c r="T797">
        <v>-11720.5</v>
      </c>
      <c r="U797" cm="1">
        <f t="array" ref="U797">IFERROR(_xlfn.IFS(tblPedidos[[#This Row],[estado_operativo]]="ENTREGADO",tblPedidos[[#This Row],[ganancia_calc]],tblPedidos[[#This Row],[estado_operativo]]="DEVOLUCION",tblPedidos[[#This Row],[costo_devolucion_estimado]]),0)</f>
        <v>-11720.5</v>
      </c>
      <c r="V797">
        <v>-70323</v>
      </c>
      <c r="W797">
        <v>54900</v>
      </c>
      <c r="X797">
        <v>11720.5</v>
      </c>
      <c r="Y797">
        <v>14400</v>
      </c>
      <c r="Z797" s="11">
        <v>46037</v>
      </c>
      <c r="AA797">
        <v>7</v>
      </c>
      <c r="AB797" s="12">
        <v>0.60833333333333328</v>
      </c>
      <c r="AC797" t="s">
        <v>1657</v>
      </c>
      <c r="AD797" t="s">
        <v>1657</v>
      </c>
      <c r="AE797" t="s">
        <v>1657</v>
      </c>
    </row>
    <row r="798" spans="1:31">
      <c r="A798" t="s">
        <v>1343</v>
      </c>
      <c r="B798" t="s">
        <v>2946</v>
      </c>
      <c r="C798">
        <v>305</v>
      </c>
      <c r="D798" t="s">
        <v>4604</v>
      </c>
      <c r="E798" s="11">
        <v>46031</v>
      </c>
      <c r="F798" t="s">
        <v>4605</v>
      </c>
      <c r="G798" t="s">
        <v>36</v>
      </c>
      <c r="J798" t="s">
        <v>720</v>
      </c>
      <c r="K798" t="s">
        <v>4606</v>
      </c>
      <c r="L798" t="s">
        <v>38</v>
      </c>
      <c r="M798" t="s">
        <v>39</v>
      </c>
      <c r="N798" t="s">
        <v>4607</v>
      </c>
      <c r="O798" t="s">
        <v>4608</v>
      </c>
      <c r="P798" s="46" t="str" cm="1">
        <f t="array" aca="1" ref="P798" ca="1">IFERROR(_xlfn.XLOOKUP(tblPedidos[[#This Row],[id_dropi]],tblNotas[[#This Row],[id__dropi]],tblNotas[[#This Row],[Notas Manuales]], “”, 0),"")</f>
        <v/>
      </c>
      <c r="R798" t="s">
        <v>3200</v>
      </c>
      <c r="S798">
        <v>30211.5</v>
      </c>
      <c r="T798">
        <v>-12710.800000000001</v>
      </c>
      <c r="U798" cm="1">
        <f t="array" ref="U798">IFERROR(_xlfn.IFS(tblPedidos[[#This Row],[estado_operativo]]="ENTREGADO",tblPedidos[[#This Row],[ganancia_calc]],tblPedidos[[#This Row],[estado_operativo]]="DEVOLUCION",tblPedidos[[#This Row],[costo_devolucion_estimado]]),0)</f>
        <v>30211.5</v>
      </c>
      <c r="V798">
        <v>151057.5</v>
      </c>
      <c r="W798">
        <v>74900</v>
      </c>
      <c r="X798">
        <v>15888.5</v>
      </c>
      <c r="Y798">
        <v>28800</v>
      </c>
      <c r="Z798" s="11">
        <v>46032</v>
      </c>
      <c r="AA798">
        <v>12</v>
      </c>
      <c r="AB798" s="12">
        <v>0.69722222222222219</v>
      </c>
      <c r="AC798" t="s">
        <v>399</v>
      </c>
      <c r="AD798" t="s">
        <v>720</v>
      </c>
      <c r="AE798" t="s">
        <v>720</v>
      </c>
    </row>
    <row r="799" spans="1:31">
      <c r="A799" t="s">
        <v>1343</v>
      </c>
      <c r="B799" t="s">
        <v>2946</v>
      </c>
      <c r="C799">
        <v>306</v>
      </c>
      <c r="D799" t="s">
        <v>4609</v>
      </c>
      <c r="E799" s="11">
        <v>46031</v>
      </c>
      <c r="F799" t="s">
        <v>4610</v>
      </c>
      <c r="G799" t="s">
        <v>36</v>
      </c>
      <c r="J799" t="s">
        <v>720</v>
      </c>
      <c r="K799" t="s">
        <v>4611</v>
      </c>
      <c r="L799" t="s">
        <v>54</v>
      </c>
      <c r="M799" t="s">
        <v>373</v>
      </c>
      <c r="N799" t="s">
        <v>4612</v>
      </c>
      <c r="O799" t="s">
        <v>4613</v>
      </c>
      <c r="P799" s="46" t="str" cm="1">
        <f t="array" aca="1" ref="P799" ca="1">IFERROR(_xlfn.XLOOKUP(tblPedidos[[#This Row],[id_dropi]],tblNotas[[#This Row],[id__dropi]],tblNotas[[#This Row],[Notas Manuales]], “”, 0),"")</f>
        <v/>
      </c>
      <c r="R799" t="s">
        <v>3008</v>
      </c>
      <c r="S799">
        <v>29461.5</v>
      </c>
      <c r="T799">
        <v>-12350.800000000001</v>
      </c>
      <c r="U799" cm="1">
        <f t="array" ref="U799">IFERROR(_xlfn.IFS(tblPedidos[[#This Row],[estado_operativo]]="ENTREGADO",tblPedidos[[#This Row],[ganancia_calc]],tblPedidos[[#This Row],[estado_operativo]]="DEVOLUCION",tblPedidos[[#This Row],[costo_devolucion_estimado]]),0)</f>
        <v>29461.5</v>
      </c>
      <c r="V799">
        <v>147307.5</v>
      </c>
      <c r="W799">
        <v>64900</v>
      </c>
      <c r="X799">
        <v>15438.5</v>
      </c>
      <c r="Y799">
        <v>20000</v>
      </c>
      <c r="Z799" s="11">
        <v>46033</v>
      </c>
      <c r="AA799">
        <v>11</v>
      </c>
      <c r="AB799" s="12">
        <v>0.56527777777777777</v>
      </c>
      <c r="AC799" t="s">
        <v>788</v>
      </c>
      <c r="AD799" t="s">
        <v>720</v>
      </c>
      <c r="AE799" t="s">
        <v>720</v>
      </c>
    </row>
    <row r="800" spans="1:31">
      <c r="A800" t="s">
        <v>1343</v>
      </c>
      <c r="C800">
        <v>307</v>
      </c>
      <c r="D800" t="s">
        <v>4614</v>
      </c>
      <c r="E800" s="11">
        <v>46031</v>
      </c>
      <c r="F800" t="s">
        <v>4615</v>
      </c>
      <c r="G800" t="s">
        <v>958</v>
      </c>
      <c r="J800" t="s">
        <v>720</v>
      </c>
      <c r="K800" t="s">
        <v>4616</v>
      </c>
      <c r="L800" t="s">
        <v>81</v>
      </c>
      <c r="M800" t="s">
        <v>118</v>
      </c>
      <c r="N800" t="s">
        <v>4617</v>
      </c>
      <c r="O800" t="s">
        <v>4618</v>
      </c>
      <c r="P800" s="46" t="str" cm="1">
        <f t="array" aca="1" ref="P800" ca="1">IFERROR(_xlfn.XLOOKUP(tblPedidos[[#This Row],[id_dropi]],tblNotas[[#This Row],[id__dropi]],tblNotas[[#This Row],[Notas Manuales]], “”, 0),"")</f>
        <v/>
      </c>
      <c r="R800" t="s">
        <v>3267</v>
      </c>
      <c r="S800">
        <v>27400</v>
      </c>
      <c r="T800">
        <v>-10000</v>
      </c>
      <c r="U800" cm="1">
        <f t="array" ref="U800">IFERROR(_xlfn.IFS(tblPedidos[[#This Row],[estado_operativo]]="ENTREGADO",tblPedidos[[#This Row],[ganancia_calc]],tblPedidos[[#This Row],[estado_operativo]]="DEVOLUCION",tblPedidos[[#This Row],[costo_devolucion_estimado]]),0)</f>
        <v>27400</v>
      </c>
      <c r="V800">
        <v>82200</v>
      </c>
      <c r="W800">
        <v>49900</v>
      </c>
      <c r="X800">
        <v>12500</v>
      </c>
      <c r="Y800">
        <v>10000</v>
      </c>
      <c r="Z800" s="11">
        <v>46041</v>
      </c>
      <c r="AA800">
        <v>3</v>
      </c>
      <c r="AB800" s="12">
        <v>0.73402777777777772</v>
      </c>
      <c r="AC800" t="s">
        <v>720</v>
      </c>
      <c r="AD800" t="s">
        <v>720</v>
      </c>
      <c r="AE800" t="s">
        <v>720</v>
      </c>
    </row>
    <row r="801" spans="1:31">
      <c r="A801" t="s">
        <v>33</v>
      </c>
      <c r="C801">
        <v>296</v>
      </c>
      <c r="D801" t="s">
        <v>4619</v>
      </c>
      <c r="E801" s="11">
        <v>46031</v>
      </c>
      <c r="F801" t="s">
        <v>4620</v>
      </c>
      <c r="G801" t="s">
        <v>958</v>
      </c>
      <c r="J801" t="s">
        <v>3550</v>
      </c>
      <c r="K801" t="s">
        <v>4621</v>
      </c>
      <c r="L801" t="s">
        <v>54</v>
      </c>
      <c r="M801" t="s">
        <v>373</v>
      </c>
      <c r="N801" t="s">
        <v>4622</v>
      </c>
      <c r="O801" t="s">
        <v>4623</v>
      </c>
      <c r="P801" s="46" t="str" cm="1">
        <f t="array" aca="1" ref="P801" ca="1">IFERROR(_xlfn.XLOOKUP(tblPedidos[[#This Row],[id_dropi]],tblNotas[[#This Row],[id__dropi]],tblNotas[[#This Row],[Notas Manuales]], “”, 0),"")</f>
        <v/>
      </c>
      <c r="R801" t="s">
        <v>3008</v>
      </c>
      <c r="S801">
        <v>27303.5</v>
      </c>
      <c r="T801">
        <v>-10077.200000000001</v>
      </c>
      <c r="U801" cm="1">
        <f t="array" ref="U801">IFERROR(_xlfn.IFS(tblPedidos[[#This Row],[estado_operativo]]="ENTREGADO",tblPedidos[[#This Row],[ganancia_calc]],tblPedidos[[#This Row],[estado_operativo]]="DEVOLUCION",tblPedidos[[#This Row],[costo_devolucion_estimado]]),0)</f>
        <v>0</v>
      </c>
      <c r="V801">
        <v>0</v>
      </c>
      <c r="W801">
        <v>59900</v>
      </c>
      <c r="X801">
        <v>12596.5</v>
      </c>
      <c r="Y801">
        <v>20000</v>
      </c>
      <c r="Z801" s="11">
        <v>46036</v>
      </c>
      <c r="AA801">
        <v>8</v>
      </c>
      <c r="AB801" s="12">
        <v>0.66805555555555551</v>
      </c>
      <c r="AC801" t="s">
        <v>3550</v>
      </c>
      <c r="AD801" t="s">
        <v>3550</v>
      </c>
      <c r="AE801" t="s">
        <v>3550</v>
      </c>
    </row>
    <row r="802" spans="1:31">
      <c r="A802" t="s">
        <v>1343</v>
      </c>
      <c r="B802" t="s">
        <v>2946</v>
      </c>
      <c r="C802">
        <v>285</v>
      </c>
      <c r="D802" t="s">
        <v>4624</v>
      </c>
      <c r="E802" s="11">
        <v>46031</v>
      </c>
      <c r="F802" t="s">
        <v>4625</v>
      </c>
      <c r="G802" t="s">
        <v>45</v>
      </c>
      <c r="J802" t="s">
        <v>720</v>
      </c>
      <c r="K802" t="s">
        <v>4626</v>
      </c>
      <c r="L802" t="s">
        <v>427</v>
      </c>
      <c r="M802" t="s">
        <v>628</v>
      </c>
      <c r="N802" t="s">
        <v>4627</v>
      </c>
      <c r="O802" t="s">
        <v>4628</v>
      </c>
      <c r="P802" s="46" t="str" cm="1">
        <f t="array" aca="1" ref="P802" ca="1">IFERROR(_xlfn.XLOOKUP(tblPedidos[[#This Row],[id_dropi]],tblNotas[[#This Row],[id__dropi]],tblNotas[[#This Row],[Notas Manuales]], “”, 0),"")</f>
        <v/>
      </c>
      <c r="R802" t="s">
        <v>3267</v>
      </c>
      <c r="S802">
        <v>25751</v>
      </c>
      <c r="T802">
        <v>-14149</v>
      </c>
      <c r="U802" cm="1">
        <f t="array" ref="U802">IFERROR(_xlfn.IFS(tblPedidos[[#This Row],[estado_operativo]]="ENTREGADO",tblPedidos[[#This Row],[ganancia_calc]],tblPedidos[[#This Row],[estado_operativo]]="DEVOLUCION",tblPedidos[[#This Row],[costo_devolucion_estimado]]),0)</f>
        <v>25751</v>
      </c>
      <c r="V802">
        <v>154506</v>
      </c>
      <c r="W802">
        <v>49900</v>
      </c>
      <c r="X802">
        <v>14149</v>
      </c>
      <c r="Y802">
        <v>10000</v>
      </c>
      <c r="Z802" s="11">
        <v>46035</v>
      </c>
      <c r="AA802">
        <v>9</v>
      </c>
      <c r="AB802" s="12">
        <v>0.84861111111111109</v>
      </c>
      <c r="AC802" t="s">
        <v>720</v>
      </c>
      <c r="AD802" t="s">
        <v>720</v>
      </c>
      <c r="AE802" t="s">
        <v>720</v>
      </c>
    </row>
    <row r="803" spans="1:31">
      <c r="A803" t="s">
        <v>1343</v>
      </c>
      <c r="B803" t="s">
        <v>2946</v>
      </c>
      <c r="C803">
        <v>286</v>
      </c>
      <c r="D803" t="s">
        <v>4629</v>
      </c>
      <c r="E803" s="11">
        <v>46031</v>
      </c>
      <c r="F803" t="s">
        <v>4630</v>
      </c>
      <c r="G803" t="s">
        <v>45</v>
      </c>
      <c r="J803" t="s">
        <v>720</v>
      </c>
      <c r="K803" t="s">
        <v>4631</v>
      </c>
      <c r="L803" t="s">
        <v>4632</v>
      </c>
      <c r="M803" t="s">
        <v>4633</v>
      </c>
      <c r="N803" t="s">
        <v>4634</v>
      </c>
      <c r="O803" t="s">
        <v>4635</v>
      </c>
      <c r="P803" s="46" t="str" cm="1">
        <f t="array" aca="1" ref="P803" ca="1">IFERROR(_xlfn.XLOOKUP(tblPedidos[[#This Row],[id_dropi]],tblNotas[[#This Row],[id__dropi]],tblNotas[[#This Row],[Notas Manuales]], “”, 0),"")</f>
        <v/>
      </c>
      <c r="R803" t="s">
        <v>3008</v>
      </c>
      <c r="S803">
        <v>26779.5</v>
      </c>
      <c r="T803">
        <v>-18120.5</v>
      </c>
      <c r="U803" cm="1">
        <f t="array" ref="U803">IFERROR(_xlfn.IFS(tblPedidos[[#This Row],[estado_operativo]]="ENTREGADO",tblPedidos[[#This Row],[ganancia_calc]],tblPedidos[[#This Row],[estado_operativo]]="DEVOLUCION",tblPedidos[[#This Row],[costo_devolucion_estimado]]),0)</f>
        <v>26779.5</v>
      </c>
      <c r="V803">
        <v>160677</v>
      </c>
      <c r="W803">
        <v>64900</v>
      </c>
      <c r="X803">
        <v>18120.5</v>
      </c>
      <c r="Y803">
        <v>20000</v>
      </c>
      <c r="Z803" s="11">
        <v>46035</v>
      </c>
      <c r="AA803">
        <v>9</v>
      </c>
      <c r="AB803" s="12">
        <v>0.7583333333333333</v>
      </c>
      <c r="AC803" t="s">
        <v>720</v>
      </c>
      <c r="AD803" t="s">
        <v>720</v>
      </c>
      <c r="AE803" t="s">
        <v>720</v>
      </c>
    </row>
    <row r="804" spans="1:31">
      <c r="A804" t="s">
        <v>1343</v>
      </c>
      <c r="B804" t="s">
        <v>2946</v>
      </c>
      <c r="C804">
        <v>287</v>
      </c>
      <c r="D804" t="s">
        <v>4636</v>
      </c>
      <c r="E804" s="11">
        <v>46031</v>
      </c>
      <c r="F804" t="s">
        <v>4637</v>
      </c>
      <c r="G804" t="s">
        <v>958</v>
      </c>
      <c r="J804" t="s">
        <v>720</v>
      </c>
      <c r="K804" t="s">
        <v>4638</v>
      </c>
      <c r="L804" t="s">
        <v>81</v>
      </c>
      <c r="M804" t="s">
        <v>118</v>
      </c>
      <c r="N804" t="s">
        <v>4639</v>
      </c>
      <c r="O804" t="s">
        <v>4640</v>
      </c>
      <c r="P804" s="46" t="str" cm="1">
        <f t="array" aca="1" ref="P804" ca="1">IFERROR(_xlfn.XLOOKUP(tblPedidos[[#This Row],[id_dropi]],tblNotas[[#This Row],[id__dropi]],tblNotas[[#This Row],[Notas Manuales]], “”, 0),"")</f>
        <v/>
      </c>
      <c r="R804" t="s">
        <v>3267</v>
      </c>
      <c r="S804">
        <v>27400</v>
      </c>
      <c r="T804">
        <v>-10000</v>
      </c>
      <c r="U804" cm="1">
        <f t="array" ref="U804">IFERROR(_xlfn.IFS(tblPedidos[[#This Row],[estado_operativo]]="ENTREGADO",tblPedidos[[#This Row],[ganancia_calc]],tblPedidos[[#This Row],[estado_operativo]]="DEVOLUCION",tblPedidos[[#This Row],[costo_devolucion_estimado]]),0)</f>
        <v>27400</v>
      </c>
      <c r="V804">
        <v>164400</v>
      </c>
      <c r="W804">
        <v>49900</v>
      </c>
      <c r="X804">
        <v>12500</v>
      </c>
      <c r="Y804">
        <v>10000</v>
      </c>
      <c r="Z804" s="11">
        <v>46037</v>
      </c>
      <c r="AA804">
        <v>7</v>
      </c>
      <c r="AB804" s="12">
        <v>0.60486111111111107</v>
      </c>
      <c r="AC804" t="s">
        <v>720</v>
      </c>
      <c r="AD804" t="s">
        <v>720</v>
      </c>
      <c r="AE804" t="s">
        <v>720</v>
      </c>
    </row>
    <row r="805" spans="1:31">
      <c r="A805" t="s">
        <v>33</v>
      </c>
      <c r="C805">
        <v>284</v>
      </c>
      <c r="D805" t="s">
        <v>4641</v>
      </c>
      <c r="E805" s="11">
        <v>46031</v>
      </c>
      <c r="F805" t="s">
        <v>4642</v>
      </c>
      <c r="G805" t="s">
        <v>45</v>
      </c>
      <c r="J805" t="s">
        <v>1371</v>
      </c>
      <c r="K805" t="s">
        <v>4643</v>
      </c>
      <c r="L805" t="s">
        <v>662</v>
      </c>
      <c r="M805" t="s">
        <v>663</v>
      </c>
      <c r="N805" t="s">
        <v>4644</v>
      </c>
      <c r="O805" t="s">
        <v>4645</v>
      </c>
      <c r="P805" s="46" t="str" cm="1">
        <f t="array" aca="1" ref="P805" ca="1">IFERROR(_xlfn.XLOOKUP(tblPedidos[[#This Row],[id_dropi]],tblNotas[[#This Row],[id__dropi]],tblNotas[[#This Row],[Notas Manuales]], “”, 0),"")</f>
        <v/>
      </c>
      <c r="Q805" t="s">
        <v>50</v>
      </c>
      <c r="R805" t="s">
        <v>3213</v>
      </c>
      <c r="S805">
        <v>17004.5</v>
      </c>
      <c r="T805">
        <v>-17895.5</v>
      </c>
      <c r="U805" cm="1">
        <f t="array" ref="U805">IFERROR(_xlfn.IFS(tblPedidos[[#This Row],[estado_operativo]]="ENTREGADO",tblPedidos[[#This Row],[ganancia_calc]],tblPedidos[[#This Row],[estado_operativo]]="DEVOLUCION",tblPedidos[[#This Row],[costo_devolucion_estimado]]),0)</f>
        <v>0</v>
      </c>
      <c r="V805">
        <v>0</v>
      </c>
      <c r="W805">
        <v>59900</v>
      </c>
      <c r="X805">
        <v>17895.5</v>
      </c>
      <c r="Y805">
        <v>25000</v>
      </c>
      <c r="Z805" s="11">
        <v>46043</v>
      </c>
      <c r="AA805">
        <v>1</v>
      </c>
      <c r="AB805" s="12">
        <v>0.43541666666666667</v>
      </c>
      <c r="AC805" t="s">
        <v>982</v>
      </c>
      <c r="AD805" t="s">
        <v>982</v>
      </c>
      <c r="AE805" t="s">
        <v>1371</v>
      </c>
    </row>
    <row r="806" spans="1:31">
      <c r="A806" t="s">
        <v>1343</v>
      </c>
      <c r="B806" t="s">
        <v>2946</v>
      </c>
      <c r="C806">
        <v>281</v>
      </c>
      <c r="D806" t="s">
        <v>4646</v>
      </c>
      <c r="E806" s="11">
        <v>46031</v>
      </c>
      <c r="F806" t="s">
        <v>4647</v>
      </c>
      <c r="G806" t="s">
        <v>45</v>
      </c>
      <c r="J806" t="s">
        <v>720</v>
      </c>
      <c r="K806" t="s">
        <v>4648</v>
      </c>
      <c r="L806" t="s">
        <v>212</v>
      </c>
      <c r="M806" t="s">
        <v>213</v>
      </c>
      <c r="N806" t="s">
        <v>4649</v>
      </c>
      <c r="O806" t="s">
        <v>4650</v>
      </c>
      <c r="P806" s="46" t="str" cm="1">
        <f t="array" aca="1" ref="P806" ca="1">IFERROR(_xlfn.XLOOKUP(tblPedidos[[#This Row],[id_dropi]],tblNotas[[#This Row],[id__dropi]],tblNotas[[#This Row],[Notas Manuales]], “”, 0),"")</f>
        <v/>
      </c>
      <c r="Q806" t="s">
        <v>50</v>
      </c>
      <c r="R806" t="s">
        <v>3027</v>
      </c>
      <c r="S806">
        <v>18654.5</v>
      </c>
      <c r="T806">
        <v>-19245.5</v>
      </c>
      <c r="U806" cm="1">
        <f t="array" ref="U806">IFERROR(_xlfn.IFS(tblPedidos[[#This Row],[estado_operativo]]="ENTREGADO",tblPedidos[[#This Row],[ganancia_calc]],tblPedidos[[#This Row],[estado_operativo]]="DEVOLUCION",tblPedidos[[#This Row],[costo_devolucion_estimado]]),0)</f>
        <v>18654.5</v>
      </c>
      <c r="V806">
        <v>111927</v>
      </c>
      <c r="W806">
        <v>89900</v>
      </c>
      <c r="X806">
        <v>19245.5</v>
      </c>
      <c r="Y806">
        <v>52000</v>
      </c>
      <c r="Z806" s="11">
        <v>46035</v>
      </c>
      <c r="AA806">
        <v>9</v>
      </c>
      <c r="AB806" s="12">
        <v>0.60486111111111107</v>
      </c>
      <c r="AC806" t="s">
        <v>720</v>
      </c>
      <c r="AD806" t="s">
        <v>720</v>
      </c>
      <c r="AE806" t="s">
        <v>720</v>
      </c>
    </row>
    <row r="807" spans="1:31">
      <c r="A807" t="s">
        <v>1343</v>
      </c>
      <c r="B807" t="s">
        <v>2946</v>
      </c>
      <c r="C807">
        <v>282</v>
      </c>
      <c r="D807" t="s">
        <v>4651</v>
      </c>
      <c r="E807" s="11">
        <v>46031</v>
      </c>
      <c r="F807" t="s">
        <v>4652</v>
      </c>
      <c r="G807" t="s">
        <v>45</v>
      </c>
      <c r="J807" t="s">
        <v>720</v>
      </c>
      <c r="K807" t="s">
        <v>4653</v>
      </c>
      <c r="L807" t="s">
        <v>46</v>
      </c>
      <c r="M807" t="s">
        <v>94</v>
      </c>
      <c r="N807" t="s">
        <v>4654</v>
      </c>
      <c r="O807" t="s">
        <v>4655</v>
      </c>
      <c r="P807" s="46" t="str" cm="1">
        <f t="array" aca="1" ref="P807" ca="1">IFERROR(_xlfn.XLOOKUP(tblPedidos[[#This Row],[id_dropi]],tblNotas[[#This Row],[id__dropi]],tblNotas[[#This Row],[Notas Manuales]], “”, 0),"")</f>
        <v/>
      </c>
      <c r="R807" t="s">
        <v>4182</v>
      </c>
      <c r="S807">
        <v>22954.5</v>
      </c>
      <c r="T807">
        <v>-11945.5</v>
      </c>
      <c r="U807" cm="1">
        <f t="array" ref="U807">IFERROR(_xlfn.IFS(tblPedidos[[#This Row],[estado_operativo]]="ENTREGADO",tblPedidos[[#This Row],[ganancia_calc]],tblPedidos[[#This Row],[estado_operativo]]="DEVOLUCION",tblPedidos[[#This Row],[costo_devolucion_estimado]]),0)</f>
        <v>22954.5</v>
      </c>
      <c r="V807">
        <v>137727</v>
      </c>
      <c r="W807">
        <v>59900</v>
      </c>
      <c r="X807">
        <v>11945.5</v>
      </c>
      <c r="Y807">
        <v>25000</v>
      </c>
      <c r="Z807" s="11">
        <v>46036</v>
      </c>
      <c r="AA807">
        <v>8</v>
      </c>
      <c r="AB807" s="12">
        <v>0.7583333333333333</v>
      </c>
      <c r="AC807" t="s">
        <v>720</v>
      </c>
      <c r="AD807" t="s">
        <v>720</v>
      </c>
      <c r="AE807" t="s">
        <v>720</v>
      </c>
    </row>
    <row r="808" spans="1:31">
      <c r="A808" t="s">
        <v>1343</v>
      </c>
      <c r="B808" t="s">
        <v>2946</v>
      </c>
      <c r="C808">
        <v>283</v>
      </c>
      <c r="D808" t="s">
        <v>4656</v>
      </c>
      <c r="E808" s="11">
        <v>46031</v>
      </c>
      <c r="F808" t="s">
        <v>4657</v>
      </c>
      <c r="G808" t="s">
        <v>45</v>
      </c>
      <c r="J808" t="s">
        <v>720</v>
      </c>
      <c r="K808" t="s">
        <v>4658</v>
      </c>
      <c r="L808" t="s">
        <v>54</v>
      </c>
      <c r="M808" t="s">
        <v>1879</v>
      </c>
      <c r="N808" t="s">
        <v>4659</v>
      </c>
      <c r="O808" t="s">
        <v>4660</v>
      </c>
      <c r="P808" s="46" t="str" cm="1">
        <f t="array" aca="1" ref="P808" ca="1">IFERROR(_xlfn.XLOOKUP(tblPedidos[[#This Row],[id_dropi]],tblNotas[[#This Row],[id__dropi]],tblNotas[[#This Row],[Notas Manuales]], “”, 0),"")</f>
        <v/>
      </c>
      <c r="Q808" t="s">
        <v>4661</v>
      </c>
      <c r="R808" t="s">
        <v>3213</v>
      </c>
      <c r="S808">
        <v>17004.5</v>
      </c>
      <c r="T808">
        <v>-17895.5</v>
      </c>
      <c r="U808" cm="1">
        <f t="array" ref="U808">IFERROR(_xlfn.IFS(tblPedidos[[#This Row],[estado_operativo]]="ENTREGADO",tblPedidos[[#This Row],[ganancia_calc]],tblPedidos[[#This Row],[estado_operativo]]="DEVOLUCION",tblPedidos[[#This Row],[costo_devolucion_estimado]]),0)</f>
        <v>17004.5</v>
      </c>
      <c r="V808">
        <v>85022.5</v>
      </c>
      <c r="W808">
        <v>59900</v>
      </c>
      <c r="X808">
        <v>17895.5</v>
      </c>
      <c r="Y808">
        <v>25000</v>
      </c>
      <c r="Z808" s="11">
        <v>46039</v>
      </c>
      <c r="AA808">
        <v>5</v>
      </c>
      <c r="AB808" s="12">
        <v>0.50902777777777775</v>
      </c>
      <c r="AC808" t="s">
        <v>720</v>
      </c>
      <c r="AD808" t="s">
        <v>720</v>
      </c>
      <c r="AE808" t="s">
        <v>720</v>
      </c>
    </row>
    <row r="809" spans="1:31">
      <c r="A809" t="s">
        <v>1343</v>
      </c>
      <c r="C809">
        <v>288</v>
      </c>
      <c r="D809" t="s">
        <v>4662</v>
      </c>
      <c r="E809" s="11">
        <v>46031</v>
      </c>
      <c r="F809" t="s">
        <v>4663</v>
      </c>
      <c r="G809" t="s">
        <v>45</v>
      </c>
      <c r="J809" t="s">
        <v>1657</v>
      </c>
      <c r="K809" t="s">
        <v>4664</v>
      </c>
      <c r="L809" t="s">
        <v>54</v>
      </c>
      <c r="M809" t="s">
        <v>736</v>
      </c>
      <c r="N809" t="s">
        <v>4665</v>
      </c>
      <c r="O809" t="s">
        <v>4666</v>
      </c>
      <c r="P809" s="46" t="str" cm="1">
        <f t="array" aca="1" ref="P809" ca="1">IFERROR(_xlfn.XLOOKUP(tblPedidos[[#This Row],[id_dropi]],tblNotas[[#This Row],[id__dropi]],tblNotas[[#This Row],[Notas Manuales]], “”, 0),"")</f>
        <v/>
      </c>
      <c r="R809" t="s">
        <v>3213</v>
      </c>
      <c r="S809">
        <v>12229.5</v>
      </c>
      <c r="T809">
        <v>-17670.5</v>
      </c>
      <c r="U809" cm="1">
        <f t="array" ref="U809">IFERROR(_xlfn.IFS(tblPedidos[[#This Row],[estado_operativo]]="ENTREGADO",tblPedidos[[#This Row],[ganancia_calc]],tblPedidos[[#This Row],[estado_operativo]]="DEVOLUCION",tblPedidos[[#This Row],[costo_devolucion_estimado]]),0)</f>
        <v>-17670.5</v>
      </c>
      <c r="V809">
        <v>-17670.5</v>
      </c>
      <c r="W809">
        <v>54900</v>
      </c>
      <c r="X809">
        <v>17670.5</v>
      </c>
      <c r="Y809">
        <v>25000</v>
      </c>
      <c r="Z809" s="11">
        <v>46043</v>
      </c>
      <c r="AA809">
        <v>1</v>
      </c>
      <c r="AB809" s="12">
        <v>0.67152777777777772</v>
      </c>
      <c r="AC809" t="s">
        <v>944</v>
      </c>
      <c r="AD809" t="s">
        <v>1657</v>
      </c>
      <c r="AE809" t="s">
        <v>1657</v>
      </c>
    </row>
    <row r="810" spans="1:31">
      <c r="A810" t="s">
        <v>1343</v>
      </c>
      <c r="B810" t="s">
        <v>2946</v>
      </c>
      <c r="C810">
        <v>293</v>
      </c>
      <c r="D810" t="s">
        <v>4667</v>
      </c>
      <c r="E810" s="11">
        <v>46031</v>
      </c>
      <c r="F810" t="s">
        <v>4668</v>
      </c>
      <c r="G810" t="s">
        <v>45</v>
      </c>
      <c r="J810" t="s">
        <v>720</v>
      </c>
      <c r="K810" t="s">
        <v>4669</v>
      </c>
      <c r="L810" t="s">
        <v>1003</v>
      </c>
      <c r="M810" t="s">
        <v>4670</v>
      </c>
      <c r="N810" t="s">
        <v>4671</v>
      </c>
      <c r="O810" t="s">
        <v>4672</v>
      </c>
      <c r="P810" s="46" t="str" cm="1">
        <f t="array" aca="1" ref="P810" ca="1">IFERROR(_xlfn.XLOOKUP(tblPedidos[[#This Row],[id_dropi]],tblNotas[[#This Row],[id__dropi]],tblNotas[[#This Row],[Notas Manuales]], “”, 0),"")</f>
        <v/>
      </c>
      <c r="R810" t="s">
        <v>3213</v>
      </c>
      <c r="S810">
        <v>21554.5</v>
      </c>
      <c r="T810">
        <v>-13345.5</v>
      </c>
      <c r="U810" cm="1">
        <f t="array" ref="U810">IFERROR(_xlfn.IFS(tblPedidos[[#This Row],[estado_operativo]]="ENTREGADO",tblPedidos[[#This Row],[ganancia_calc]],tblPedidos[[#This Row],[estado_operativo]]="DEVOLUCION",tblPedidos[[#This Row],[costo_devolucion_estimado]]),0)</f>
        <v>21554.5</v>
      </c>
      <c r="V810">
        <v>129327</v>
      </c>
      <c r="W810">
        <v>59900</v>
      </c>
      <c r="X810">
        <v>13345.5</v>
      </c>
      <c r="Y810">
        <v>25000</v>
      </c>
      <c r="Z810" s="11">
        <v>46036</v>
      </c>
      <c r="AA810">
        <v>8</v>
      </c>
      <c r="AB810" s="12">
        <v>0.83819444444444446</v>
      </c>
      <c r="AC810" t="s">
        <v>720</v>
      </c>
      <c r="AD810" t="s">
        <v>720</v>
      </c>
      <c r="AE810" t="s">
        <v>720</v>
      </c>
    </row>
    <row r="811" spans="1:31">
      <c r="A811" t="s">
        <v>33</v>
      </c>
      <c r="C811">
        <v>294</v>
      </c>
      <c r="D811" t="s">
        <v>4673</v>
      </c>
      <c r="E811" s="11">
        <v>46031</v>
      </c>
      <c r="F811" t="s">
        <v>4674</v>
      </c>
      <c r="G811" t="s">
        <v>45</v>
      </c>
      <c r="J811" t="s">
        <v>522</v>
      </c>
      <c r="K811" t="s">
        <v>4675</v>
      </c>
      <c r="L811" t="s">
        <v>328</v>
      </c>
      <c r="M811" t="s">
        <v>2827</v>
      </c>
      <c r="N811" t="s">
        <v>4676</v>
      </c>
      <c r="O811" t="s">
        <v>4677</v>
      </c>
      <c r="P811" s="46" t="str" cm="1">
        <f t="array" aca="1" ref="P811" ca="1">IFERROR(_xlfn.XLOOKUP(tblPedidos[[#This Row],[id_dropi]],tblNotas[[#This Row],[id__dropi]],tblNotas[[#This Row],[Notas Manuales]], “”, 0),"")</f>
        <v/>
      </c>
      <c r="Q811" t="s">
        <v>50</v>
      </c>
      <c r="R811" t="s">
        <v>3213</v>
      </c>
      <c r="S811">
        <v>17004.5</v>
      </c>
      <c r="T811">
        <v>-17895.5</v>
      </c>
      <c r="U811" cm="1">
        <f t="array" ref="U811">IFERROR(_xlfn.IFS(tblPedidos[[#This Row],[estado_operativo]]="ENTREGADO",tblPedidos[[#This Row],[ganancia_calc]],tblPedidos[[#This Row],[estado_operativo]]="DEVOLUCION",tblPedidos[[#This Row],[costo_devolucion_estimado]]),0)</f>
        <v>0</v>
      </c>
      <c r="V811">
        <v>0</v>
      </c>
      <c r="W811">
        <v>59900</v>
      </c>
      <c r="X811">
        <v>17895.5</v>
      </c>
      <c r="Y811">
        <v>25000</v>
      </c>
      <c r="Z811" s="11">
        <v>46043</v>
      </c>
      <c r="AA811">
        <v>1</v>
      </c>
      <c r="AB811" s="12">
        <v>0.43611111111111112</v>
      </c>
      <c r="AC811" t="s">
        <v>716</v>
      </c>
      <c r="AD811" t="s">
        <v>717</v>
      </c>
      <c r="AE811" t="s">
        <v>522</v>
      </c>
    </row>
    <row r="812" spans="1:31">
      <c r="A812" t="s">
        <v>1343</v>
      </c>
      <c r="B812" t="s">
        <v>2946</v>
      </c>
      <c r="C812">
        <v>295</v>
      </c>
      <c r="D812" t="s">
        <v>4678</v>
      </c>
      <c r="E812" s="11">
        <v>46031</v>
      </c>
      <c r="F812" t="s">
        <v>4679</v>
      </c>
      <c r="G812" t="s">
        <v>45</v>
      </c>
      <c r="J812" t="s">
        <v>720</v>
      </c>
      <c r="K812" t="s">
        <v>4680</v>
      </c>
      <c r="L812" t="s">
        <v>46</v>
      </c>
      <c r="M812" t="s">
        <v>100</v>
      </c>
      <c r="N812" t="s">
        <v>4681</v>
      </c>
      <c r="O812" t="s">
        <v>4682</v>
      </c>
      <c r="P812" s="46" t="str" cm="1">
        <f t="array" aca="1" ref="P812" ca="1">IFERROR(_xlfn.XLOOKUP(tblPedidos[[#This Row],[id_dropi]],tblNotas[[#This Row],[id__dropi]],tblNotas[[#This Row],[Notas Manuales]], “”, 0),"")</f>
        <v/>
      </c>
      <c r="R812" t="s">
        <v>3054</v>
      </c>
      <c r="S812">
        <v>19954.5</v>
      </c>
      <c r="T812">
        <v>-11945.5</v>
      </c>
      <c r="U812" cm="1">
        <f t="array" ref="U812">IFERROR(_xlfn.IFS(tblPedidos[[#This Row],[estado_operativo]]="ENTREGADO",tblPedidos[[#This Row],[ganancia_calc]],tblPedidos[[#This Row],[estado_operativo]]="DEVOLUCION",tblPedidos[[#This Row],[costo_devolucion_estimado]]),0)</f>
        <v>19954.5</v>
      </c>
      <c r="V812">
        <v>119727</v>
      </c>
      <c r="W812">
        <v>59900</v>
      </c>
      <c r="X812">
        <v>11945.5</v>
      </c>
      <c r="Y812">
        <v>28000</v>
      </c>
      <c r="Z812" s="11">
        <v>46036</v>
      </c>
      <c r="AA812">
        <v>8</v>
      </c>
      <c r="AB812" s="12">
        <v>0.67361111111111116</v>
      </c>
      <c r="AC812" t="s">
        <v>720</v>
      </c>
      <c r="AD812" t="s">
        <v>720</v>
      </c>
      <c r="AE812" t="s">
        <v>720</v>
      </c>
    </row>
    <row r="813" spans="1:31">
      <c r="A813" t="s">
        <v>1343</v>
      </c>
      <c r="B813" t="s">
        <v>2946</v>
      </c>
      <c r="C813">
        <v>292</v>
      </c>
      <c r="D813" t="s">
        <v>4683</v>
      </c>
      <c r="E813" s="11">
        <v>46031</v>
      </c>
      <c r="F813" t="s">
        <v>4684</v>
      </c>
      <c r="G813" t="s">
        <v>45</v>
      </c>
      <c r="J813" t="s">
        <v>720</v>
      </c>
      <c r="K813" t="s">
        <v>4685</v>
      </c>
      <c r="L813" t="s">
        <v>46</v>
      </c>
      <c r="M813" t="s">
        <v>100</v>
      </c>
      <c r="N813" t="s">
        <v>4686</v>
      </c>
      <c r="O813" t="s">
        <v>4687</v>
      </c>
      <c r="P813" s="46" t="str" cm="1">
        <f t="array" aca="1" ref="P813" ca="1">IFERROR(_xlfn.XLOOKUP(tblPedidos[[#This Row],[id_dropi]],tblNotas[[#This Row],[id__dropi]],tblNotas[[#This Row],[Notas Manuales]], “”, 0),"")</f>
        <v/>
      </c>
      <c r="R813" t="s">
        <v>3213</v>
      </c>
      <c r="S813">
        <v>22954.5</v>
      </c>
      <c r="T813">
        <v>-11945.5</v>
      </c>
      <c r="U813" cm="1">
        <f t="array" ref="U813">IFERROR(_xlfn.IFS(tblPedidos[[#This Row],[estado_operativo]]="ENTREGADO",tblPedidos[[#This Row],[ganancia_calc]],tblPedidos[[#This Row],[estado_operativo]]="DEVOLUCION",tblPedidos[[#This Row],[costo_devolucion_estimado]]),0)</f>
        <v>22954.5</v>
      </c>
      <c r="V813">
        <v>137727</v>
      </c>
      <c r="W813">
        <v>59900</v>
      </c>
      <c r="X813">
        <v>11945.5</v>
      </c>
      <c r="Y813">
        <v>25000</v>
      </c>
      <c r="Z813" s="11">
        <v>46037</v>
      </c>
      <c r="AA813">
        <v>7</v>
      </c>
      <c r="AB813" s="12">
        <v>0.75624999999999998</v>
      </c>
      <c r="AC813" t="s">
        <v>720</v>
      </c>
      <c r="AD813" t="s">
        <v>720</v>
      </c>
      <c r="AE813" t="s">
        <v>720</v>
      </c>
    </row>
    <row r="814" spans="1:31">
      <c r="A814" t="s">
        <v>1343</v>
      </c>
      <c r="B814" t="s">
        <v>2946</v>
      </c>
      <c r="C814">
        <v>289</v>
      </c>
      <c r="D814" t="s">
        <v>4688</v>
      </c>
      <c r="E814" s="11">
        <v>46031</v>
      </c>
      <c r="F814" t="s">
        <v>4689</v>
      </c>
      <c r="G814" t="s">
        <v>958</v>
      </c>
      <c r="J814" t="s">
        <v>720</v>
      </c>
      <c r="K814" t="s">
        <v>4690</v>
      </c>
      <c r="L814" t="s">
        <v>81</v>
      </c>
      <c r="M814" t="s">
        <v>118</v>
      </c>
      <c r="N814" t="s">
        <v>4691</v>
      </c>
      <c r="O814" t="s">
        <v>4692</v>
      </c>
      <c r="P814" s="46" t="str" cm="1">
        <f t="array" aca="1" ref="P814" ca="1">IFERROR(_xlfn.XLOOKUP(tblPedidos[[#This Row],[id_dropi]],tblNotas[[#This Row],[id__dropi]],tblNotas[[#This Row],[Notas Manuales]], “”, 0),"")</f>
        <v/>
      </c>
      <c r="R814" t="s">
        <v>3213</v>
      </c>
      <c r="S814">
        <v>22303.5</v>
      </c>
      <c r="T814">
        <v>-10077.200000000001</v>
      </c>
      <c r="U814" cm="1">
        <f t="array" ref="U814">IFERROR(_xlfn.IFS(tblPedidos[[#This Row],[estado_operativo]]="ENTREGADO",tblPedidos[[#This Row],[ganancia_calc]],tblPedidos[[#This Row],[estado_operativo]]="DEVOLUCION",tblPedidos[[#This Row],[costo_devolucion_estimado]]),0)</f>
        <v>22303.5</v>
      </c>
      <c r="V814">
        <v>133821</v>
      </c>
      <c r="W814">
        <v>59900</v>
      </c>
      <c r="X814">
        <v>12596.5</v>
      </c>
      <c r="Y814">
        <v>25000</v>
      </c>
      <c r="Z814" s="11">
        <v>46036</v>
      </c>
      <c r="AA814">
        <v>8</v>
      </c>
      <c r="AB814" s="12">
        <v>0.75624999999999998</v>
      </c>
      <c r="AC814" t="s">
        <v>720</v>
      </c>
      <c r="AD814" t="s">
        <v>720</v>
      </c>
      <c r="AE814" t="s">
        <v>720</v>
      </c>
    </row>
    <row r="815" spans="1:31">
      <c r="A815" t="s">
        <v>1343</v>
      </c>
      <c r="C815">
        <v>290</v>
      </c>
      <c r="D815" t="s">
        <v>4693</v>
      </c>
      <c r="E815" s="11">
        <v>46031</v>
      </c>
      <c r="F815" t="s">
        <v>4694</v>
      </c>
      <c r="G815" t="s">
        <v>45</v>
      </c>
      <c r="J815" t="s">
        <v>720</v>
      </c>
      <c r="K815" t="s">
        <v>4695</v>
      </c>
      <c r="L815" t="s">
        <v>152</v>
      </c>
      <c r="M815" t="s">
        <v>153</v>
      </c>
      <c r="N815" t="s">
        <v>4696</v>
      </c>
      <c r="O815" t="s">
        <v>4697</v>
      </c>
      <c r="P815" s="46" t="str" cm="1">
        <f t="array" aca="1" ref="P815" ca="1">IFERROR(_xlfn.XLOOKUP(tblPedidos[[#This Row],[id_dropi]],tblNotas[[#This Row],[id__dropi]],tblNotas[[#This Row],[Notas Manuales]], “”, 0),"")</f>
        <v/>
      </c>
      <c r="Q815" t="s">
        <v>148</v>
      </c>
      <c r="R815" t="s">
        <v>3213</v>
      </c>
      <c r="S815">
        <v>17004.5</v>
      </c>
      <c r="T815">
        <v>-17895.5</v>
      </c>
      <c r="U815" cm="1">
        <f t="array" ref="U815">IFERROR(_xlfn.IFS(tblPedidos[[#This Row],[estado_operativo]]="ENTREGADO",tblPedidos[[#This Row],[ganancia_calc]],tblPedidos[[#This Row],[estado_operativo]]="DEVOLUCION",tblPedidos[[#This Row],[costo_devolucion_estimado]]),0)</f>
        <v>17004.5</v>
      </c>
      <c r="V815">
        <v>51013.5</v>
      </c>
      <c r="W815">
        <v>59900</v>
      </c>
      <c r="X815">
        <v>17895.5</v>
      </c>
      <c r="Y815">
        <v>25000</v>
      </c>
      <c r="Z815" s="11">
        <v>46041</v>
      </c>
      <c r="AA815">
        <v>3</v>
      </c>
      <c r="AB815" s="12">
        <v>0.78263888888888888</v>
      </c>
      <c r="AC815" t="s">
        <v>720</v>
      </c>
      <c r="AD815" t="s">
        <v>720</v>
      </c>
      <c r="AE815" t="s">
        <v>720</v>
      </c>
    </row>
    <row r="816" spans="1:31">
      <c r="A816" t="s">
        <v>1343</v>
      </c>
      <c r="B816" t="s">
        <v>2946</v>
      </c>
      <c r="C816">
        <v>291</v>
      </c>
      <c r="D816" t="s">
        <v>4698</v>
      </c>
      <c r="E816" s="11">
        <v>46031</v>
      </c>
      <c r="F816" t="s">
        <v>4699</v>
      </c>
      <c r="G816" t="s">
        <v>45</v>
      </c>
      <c r="J816" t="s">
        <v>720</v>
      </c>
      <c r="K816" t="s">
        <v>4700</v>
      </c>
      <c r="L816" t="s">
        <v>54</v>
      </c>
      <c r="M816" t="s">
        <v>55</v>
      </c>
      <c r="N816" t="s">
        <v>56</v>
      </c>
      <c r="O816" t="s">
        <v>4701</v>
      </c>
      <c r="P816" s="46" t="str" cm="1">
        <f t="array" aca="1" ref="P816" ca="1">IFERROR(_xlfn.XLOOKUP(tblPedidos[[#This Row],[id_dropi]],tblNotas[[#This Row],[id__dropi]],tblNotas[[#This Row],[Notas Manuales]], “”, 0),"")</f>
        <v/>
      </c>
      <c r="Q816" t="s">
        <v>50</v>
      </c>
      <c r="R816" t="s">
        <v>3027</v>
      </c>
      <c r="S816">
        <v>18654.5</v>
      </c>
      <c r="T816">
        <v>-19245.5</v>
      </c>
      <c r="U816" cm="1">
        <f t="array" ref="U816">IFERROR(_xlfn.IFS(tblPedidos[[#This Row],[estado_operativo]]="ENTREGADO",tblPedidos[[#This Row],[ganancia_calc]],tblPedidos[[#This Row],[estado_operativo]]="DEVOLUCION",tblPedidos[[#This Row],[costo_devolucion_estimado]]),0)</f>
        <v>18654.5</v>
      </c>
      <c r="V816">
        <v>93272.5</v>
      </c>
      <c r="W816">
        <v>89900</v>
      </c>
      <c r="X816">
        <v>19245.5</v>
      </c>
      <c r="Y816">
        <v>52000</v>
      </c>
      <c r="Z816" s="11">
        <v>46038</v>
      </c>
      <c r="AA816">
        <v>6</v>
      </c>
      <c r="AB816" s="12">
        <v>0.76388888888888884</v>
      </c>
      <c r="AC816" t="s">
        <v>720</v>
      </c>
      <c r="AD816" t="s">
        <v>720</v>
      </c>
      <c r="AE816" t="s">
        <v>720</v>
      </c>
    </row>
    <row r="817" spans="1:31">
      <c r="A817" t="s">
        <v>1343</v>
      </c>
      <c r="B817" t="s">
        <v>2946</v>
      </c>
      <c r="C817">
        <v>212</v>
      </c>
      <c r="D817" t="s">
        <v>4702</v>
      </c>
      <c r="E817" s="11">
        <v>46030</v>
      </c>
      <c r="F817" t="s">
        <v>4703</v>
      </c>
      <c r="G817" t="s">
        <v>45</v>
      </c>
      <c r="J817" t="s">
        <v>720</v>
      </c>
      <c r="K817" t="s">
        <v>4704</v>
      </c>
      <c r="L817" t="s">
        <v>46</v>
      </c>
      <c r="M817" t="s">
        <v>100</v>
      </c>
      <c r="N817" t="s">
        <v>4705</v>
      </c>
      <c r="O817" t="s">
        <v>4706</v>
      </c>
      <c r="P817" s="46" t="str" cm="1">
        <f t="array" aca="1" ref="P817" ca="1">IFERROR(_xlfn.XLOOKUP(tblPedidos[[#This Row],[id_dropi]],tblNotas[[#This Row],[id__dropi]],tblNotas[[#This Row],[Notas Manuales]], “”, 0),"")</f>
        <v/>
      </c>
      <c r="R817" t="s">
        <v>4707</v>
      </c>
      <c r="S817">
        <v>32604.5</v>
      </c>
      <c r="T817">
        <v>-13295.5</v>
      </c>
      <c r="U817" cm="1">
        <f t="array" ref="U817">IFERROR(_xlfn.IFS(tblPedidos[[#This Row],[estado_operativo]]="ENTREGADO",tblPedidos[[#This Row],[ganancia_calc]],tblPedidos[[#This Row],[estado_operativo]]="DEVOLUCION",tblPedidos[[#This Row],[costo_devolucion_estimado]]),0)</f>
        <v>32604.5</v>
      </c>
      <c r="V817">
        <v>195627</v>
      </c>
      <c r="W817">
        <v>89900</v>
      </c>
      <c r="X817">
        <v>13295.5</v>
      </c>
      <c r="Y817">
        <v>44000</v>
      </c>
      <c r="Z817" s="11">
        <v>46037</v>
      </c>
      <c r="AA817">
        <v>7</v>
      </c>
      <c r="AB817" s="12">
        <v>0.75624999999999998</v>
      </c>
      <c r="AC817" t="s">
        <v>720</v>
      </c>
      <c r="AD817" t="s">
        <v>720</v>
      </c>
      <c r="AE817" t="s">
        <v>720</v>
      </c>
    </row>
    <row r="818" spans="1:31">
      <c r="A818" t="s">
        <v>1343</v>
      </c>
      <c r="B818" t="s">
        <v>2946</v>
      </c>
      <c r="C818">
        <v>213</v>
      </c>
      <c r="D818" t="s">
        <v>4708</v>
      </c>
      <c r="E818" s="11">
        <v>46030</v>
      </c>
      <c r="F818" t="s">
        <v>4709</v>
      </c>
      <c r="G818" t="s">
        <v>36</v>
      </c>
      <c r="J818" t="s">
        <v>720</v>
      </c>
      <c r="K818" t="s">
        <v>4710</v>
      </c>
      <c r="L818" t="s">
        <v>322</v>
      </c>
      <c r="M818" t="s">
        <v>323</v>
      </c>
      <c r="N818" t="s">
        <v>4711</v>
      </c>
      <c r="O818" t="s">
        <v>4712</v>
      </c>
      <c r="P818" s="46" t="str" cm="1">
        <f t="array" aca="1" ref="P818" ca="1">IFERROR(_xlfn.XLOOKUP(tblPedidos[[#This Row],[id_dropi]],tblNotas[[#This Row],[id__dropi]],tblNotas[[#This Row],[Notas Manuales]], “”, 0),"")</f>
        <v/>
      </c>
      <c r="R818" t="s">
        <v>3137</v>
      </c>
      <c r="S818">
        <v>19961.5</v>
      </c>
      <c r="T818">
        <v>-11990.800000000001</v>
      </c>
      <c r="U818" cm="1">
        <f t="array" ref="U818">IFERROR(_xlfn.IFS(tblPedidos[[#This Row],[estado_operativo]]="ENTREGADO",tblPedidos[[#This Row],[ganancia_calc]],tblPedidos[[#This Row],[estado_operativo]]="DEVOLUCION",tblPedidos[[#This Row],[costo_devolucion_estimado]]),0)</f>
        <v>19961.5</v>
      </c>
      <c r="V818">
        <v>119769</v>
      </c>
      <c r="W818">
        <v>54900</v>
      </c>
      <c r="X818">
        <v>14988.5</v>
      </c>
      <c r="Y818">
        <v>19950</v>
      </c>
      <c r="Z818" s="11">
        <v>46031</v>
      </c>
      <c r="AA818">
        <v>13</v>
      </c>
      <c r="AB818" s="12">
        <v>0.86944444444444446</v>
      </c>
      <c r="AC818" t="s">
        <v>399</v>
      </c>
      <c r="AD818" t="s">
        <v>720</v>
      </c>
      <c r="AE818" t="s">
        <v>720</v>
      </c>
    </row>
    <row r="819" spans="1:31">
      <c r="A819" t="s">
        <v>1343</v>
      </c>
      <c r="B819" t="s">
        <v>2946</v>
      </c>
      <c r="C819">
        <v>214</v>
      </c>
      <c r="D819" t="s">
        <v>4713</v>
      </c>
      <c r="E819" s="11">
        <v>46030</v>
      </c>
      <c r="F819" t="s">
        <v>4714</v>
      </c>
      <c r="G819" t="s">
        <v>36</v>
      </c>
      <c r="J819" t="s">
        <v>720</v>
      </c>
      <c r="K819" t="s">
        <v>4715</v>
      </c>
      <c r="L819" t="s">
        <v>322</v>
      </c>
      <c r="M819" t="s">
        <v>323</v>
      </c>
      <c r="N819" t="s">
        <v>4716</v>
      </c>
      <c r="O819" t="s">
        <v>4717</v>
      </c>
      <c r="P819" s="46" t="str" cm="1">
        <f t="array" aca="1" ref="P819" ca="1">IFERROR(_xlfn.XLOOKUP(tblPedidos[[#This Row],[id_dropi]],tblNotas[[#This Row],[id__dropi]],tblNotas[[#This Row],[Notas Manuales]], “”, 0),"")</f>
        <v/>
      </c>
      <c r="R819" t="s">
        <v>3014</v>
      </c>
      <c r="S819">
        <v>25511.5</v>
      </c>
      <c r="T819">
        <v>-11990.800000000001</v>
      </c>
      <c r="U819" cm="1">
        <f t="array" ref="U819">IFERROR(_xlfn.IFS(tblPedidos[[#This Row],[estado_operativo]]="ENTREGADO",tblPedidos[[#This Row],[ganancia_calc]],tblPedidos[[#This Row],[estado_operativo]]="DEVOLUCION",tblPedidos[[#This Row],[costo_devolucion_estimado]]),0)</f>
        <v>25511.5</v>
      </c>
      <c r="V819">
        <v>153069</v>
      </c>
      <c r="W819">
        <v>54900</v>
      </c>
      <c r="X819">
        <v>14988.5</v>
      </c>
      <c r="Y819">
        <v>14400</v>
      </c>
      <c r="Z819" s="11">
        <v>46031</v>
      </c>
      <c r="AA819">
        <v>13</v>
      </c>
      <c r="AB819" s="12">
        <v>0.75486111111111109</v>
      </c>
      <c r="AC819" t="s">
        <v>399</v>
      </c>
      <c r="AD819" t="s">
        <v>720</v>
      </c>
      <c r="AE819" t="s">
        <v>720</v>
      </c>
    </row>
    <row r="820" spans="1:31">
      <c r="A820" t="s">
        <v>1343</v>
      </c>
      <c r="B820" t="s">
        <v>2946</v>
      </c>
      <c r="C820">
        <v>211</v>
      </c>
      <c r="D820" t="s">
        <v>4718</v>
      </c>
      <c r="E820" s="11">
        <v>46030</v>
      </c>
      <c r="F820" t="s">
        <v>4719</v>
      </c>
      <c r="G820" t="s">
        <v>45</v>
      </c>
      <c r="J820" t="s">
        <v>720</v>
      </c>
      <c r="K820" t="s">
        <v>4720</v>
      </c>
      <c r="L820" t="s">
        <v>46</v>
      </c>
      <c r="M820" t="s">
        <v>388</v>
      </c>
      <c r="N820" t="s">
        <v>4721</v>
      </c>
      <c r="O820" t="s">
        <v>4722</v>
      </c>
      <c r="P820" s="46" t="str" cm="1">
        <f t="array" aca="1" ref="P820" ca="1">IFERROR(_xlfn.XLOOKUP(tblPedidos[[#This Row],[id_dropi]],tblNotas[[#This Row],[id__dropi]],tblNotas[[#This Row],[Notas Manuales]], “”, 0),"")</f>
        <v/>
      </c>
      <c r="R820" t="s">
        <v>4707</v>
      </c>
      <c r="S820">
        <v>32604.5</v>
      </c>
      <c r="T820">
        <v>-13295.5</v>
      </c>
      <c r="U820" cm="1">
        <f t="array" ref="U820">IFERROR(_xlfn.IFS(tblPedidos[[#This Row],[estado_operativo]]="ENTREGADO",tblPedidos[[#This Row],[ganancia_calc]],tblPedidos[[#This Row],[estado_operativo]]="DEVOLUCION",tblPedidos[[#This Row],[costo_devolucion_estimado]]),0)</f>
        <v>32604.5</v>
      </c>
      <c r="V820">
        <v>195627</v>
      </c>
      <c r="W820">
        <v>89900</v>
      </c>
      <c r="X820">
        <v>13295.5</v>
      </c>
      <c r="Y820">
        <v>44000</v>
      </c>
      <c r="Z820" s="11">
        <v>46032</v>
      </c>
      <c r="AA820">
        <v>12</v>
      </c>
      <c r="AB820" s="12">
        <v>0.60486111111111107</v>
      </c>
      <c r="AC820" t="s">
        <v>720</v>
      </c>
      <c r="AD820" t="s">
        <v>720</v>
      </c>
      <c r="AE820" t="s">
        <v>720</v>
      </c>
    </row>
    <row r="821" spans="1:31">
      <c r="A821" t="s">
        <v>33</v>
      </c>
      <c r="C821">
        <v>208</v>
      </c>
      <c r="D821" t="s">
        <v>4723</v>
      </c>
      <c r="E821" s="11">
        <v>46030</v>
      </c>
      <c r="F821" t="s">
        <v>4724</v>
      </c>
      <c r="G821" t="s">
        <v>45</v>
      </c>
      <c r="J821" t="s">
        <v>1371</v>
      </c>
      <c r="K821" t="s">
        <v>4725</v>
      </c>
      <c r="L821" t="s">
        <v>87</v>
      </c>
      <c r="M821" t="s">
        <v>4726</v>
      </c>
      <c r="N821" t="s">
        <v>4727</v>
      </c>
      <c r="O821" t="s">
        <v>4728</v>
      </c>
      <c r="P821" s="46" t="str" cm="1">
        <f t="array" aca="1" ref="P821" ca="1">IFERROR(_xlfn.XLOOKUP(tblPedidos[[#This Row],[id_dropi]],tblNotas[[#This Row],[id__dropi]],tblNotas[[#This Row],[Notas Manuales]], “”, 0),"")</f>
        <v/>
      </c>
      <c r="Q821" t="s">
        <v>50</v>
      </c>
      <c r="R821" t="s">
        <v>4707</v>
      </c>
      <c r="S821">
        <v>26654.5</v>
      </c>
      <c r="T821">
        <v>-19245.5</v>
      </c>
      <c r="U821" cm="1">
        <f t="array" ref="U821">IFERROR(_xlfn.IFS(tblPedidos[[#This Row],[estado_operativo]]="ENTREGADO",tblPedidos[[#This Row],[ganancia_calc]],tblPedidos[[#This Row],[estado_operativo]]="DEVOLUCION",tblPedidos[[#This Row],[costo_devolucion_estimado]]),0)</f>
        <v>0</v>
      </c>
      <c r="V821">
        <v>0</v>
      </c>
      <c r="W821">
        <v>89900</v>
      </c>
      <c r="X821">
        <v>19245.5</v>
      </c>
      <c r="Y821">
        <v>44000</v>
      </c>
      <c r="Z821" s="11">
        <v>46043</v>
      </c>
      <c r="AA821">
        <v>1</v>
      </c>
      <c r="AB821" s="12">
        <v>0.43680555555555556</v>
      </c>
      <c r="AC821" t="s">
        <v>982</v>
      </c>
      <c r="AD821" t="s">
        <v>982</v>
      </c>
      <c r="AE821" t="s">
        <v>1371</v>
      </c>
    </row>
    <row r="822" spans="1:31">
      <c r="A822" t="s">
        <v>1343</v>
      </c>
      <c r="B822" t="s">
        <v>2946</v>
      </c>
      <c r="C822">
        <v>209</v>
      </c>
      <c r="D822" t="s">
        <v>4729</v>
      </c>
      <c r="E822" s="11">
        <v>46030</v>
      </c>
      <c r="F822" t="s">
        <v>4730</v>
      </c>
      <c r="G822" t="s">
        <v>45</v>
      </c>
      <c r="J822" t="s">
        <v>720</v>
      </c>
      <c r="K822" t="s">
        <v>4731</v>
      </c>
      <c r="L822" t="s">
        <v>1003</v>
      </c>
      <c r="M822" t="s">
        <v>1823</v>
      </c>
      <c r="N822" t="s">
        <v>4732</v>
      </c>
      <c r="O822" t="s">
        <v>4733</v>
      </c>
      <c r="P822" s="46" t="str" cm="1">
        <f t="array" aca="1" ref="P822" ca="1">IFERROR(_xlfn.XLOOKUP(tblPedidos[[#This Row],[id_dropi]],tblNotas[[#This Row],[id__dropi]],tblNotas[[#This Row],[Notas Manuales]], “”, 0),"")</f>
        <v/>
      </c>
      <c r="R822" t="s">
        <v>4707</v>
      </c>
      <c r="S822">
        <v>26654.5</v>
      </c>
      <c r="T822">
        <v>-19245.5</v>
      </c>
      <c r="U822" cm="1">
        <f t="array" ref="U822">IFERROR(_xlfn.IFS(tblPedidos[[#This Row],[estado_operativo]]="ENTREGADO",tblPedidos[[#This Row],[ganancia_calc]],tblPedidos[[#This Row],[estado_operativo]]="DEVOLUCION",tblPedidos[[#This Row],[costo_devolucion_estimado]]),0)</f>
        <v>26654.5</v>
      </c>
      <c r="V822">
        <v>159927</v>
      </c>
      <c r="W822">
        <v>89900</v>
      </c>
      <c r="X822">
        <v>19245.5</v>
      </c>
      <c r="Y822">
        <v>44000</v>
      </c>
      <c r="Z822" s="11">
        <v>46032</v>
      </c>
      <c r="AA822">
        <v>12</v>
      </c>
      <c r="AB822" s="12">
        <v>0.60486111111111107</v>
      </c>
      <c r="AC822" t="s">
        <v>720</v>
      </c>
      <c r="AD822" t="s">
        <v>720</v>
      </c>
      <c r="AE822" t="s">
        <v>720</v>
      </c>
    </row>
    <row r="823" spans="1:31">
      <c r="A823" t="s">
        <v>1343</v>
      </c>
      <c r="B823" t="s">
        <v>2946</v>
      </c>
      <c r="C823">
        <v>210</v>
      </c>
      <c r="D823" t="s">
        <v>4734</v>
      </c>
      <c r="E823" s="11">
        <v>46030</v>
      </c>
      <c r="F823" t="s">
        <v>4735</v>
      </c>
      <c r="G823" t="s">
        <v>45</v>
      </c>
      <c r="J823" t="s">
        <v>720</v>
      </c>
      <c r="K823" t="s">
        <v>4736</v>
      </c>
      <c r="L823" t="s">
        <v>166</v>
      </c>
      <c r="M823" t="s">
        <v>4737</v>
      </c>
      <c r="N823" t="s">
        <v>4738</v>
      </c>
      <c r="O823" t="s">
        <v>4739</v>
      </c>
      <c r="P823" s="46" t="str" cm="1">
        <f t="array" aca="1" ref="P823" ca="1">IFERROR(_xlfn.XLOOKUP(tblPedidos[[#This Row],[id_dropi]],tblNotas[[#This Row],[id__dropi]],tblNotas[[#This Row],[Notas Manuales]], “”, 0),"")</f>
        <v/>
      </c>
      <c r="R823" t="s">
        <v>4707</v>
      </c>
      <c r="S823">
        <v>26654.5</v>
      </c>
      <c r="T823">
        <v>-19245.5</v>
      </c>
      <c r="U823" cm="1">
        <f t="array" ref="U823">IFERROR(_xlfn.IFS(tblPedidos[[#This Row],[estado_operativo]]="ENTREGADO",tblPedidos[[#This Row],[ganancia_calc]],tblPedidos[[#This Row],[estado_operativo]]="DEVOLUCION",tblPedidos[[#This Row],[costo_devolucion_estimado]]),0)</f>
        <v>26654.5</v>
      </c>
      <c r="V823">
        <v>159927</v>
      </c>
      <c r="W823">
        <v>89900</v>
      </c>
      <c r="X823">
        <v>19245.5</v>
      </c>
      <c r="Y823">
        <v>44000</v>
      </c>
      <c r="Z823" s="11">
        <v>46035</v>
      </c>
      <c r="AA823">
        <v>9</v>
      </c>
      <c r="AB823" s="12">
        <v>0.75972222222222219</v>
      </c>
      <c r="AC823" t="s">
        <v>720</v>
      </c>
      <c r="AD823" t="s">
        <v>720</v>
      </c>
      <c r="AE823" t="s">
        <v>720</v>
      </c>
    </row>
    <row r="824" spans="1:31">
      <c r="A824" t="s">
        <v>1343</v>
      </c>
      <c r="B824" t="s">
        <v>2946</v>
      </c>
      <c r="C824">
        <v>219</v>
      </c>
      <c r="D824" t="s">
        <v>4740</v>
      </c>
      <c r="E824" s="11">
        <v>46030</v>
      </c>
      <c r="F824" t="s">
        <v>4741</v>
      </c>
      <c r="G824" t="s">
        <v>45</v>
      </c>
      <c r="J824" t="s">
        <v>720</v>
      </c>
      <c r="K824" t="s">
        <v>4742</v>
      </c>
      <c r="L824" t="s">
        <v>212</v>
      </c>
      <c r="M824" t="s">
        <v>1561</v>
      </c>
      <c r="N824" t="s">
        <v>4743</v>
      </c>
      <c r="O824" t="s">
        <v>4744</v>
      </c>
      <c r="P824" s="46" t="str" cm="1">
        <f t="array" aca="1" ref="P824" ca="1">IFERROR(_xlfn.XLOOKUP(tblPedidos[[#This Row],[id_dropi]],tblNotas[[#This Row],[id__dropi]],tblNotas[[#This Row],[Notas Manuales]], “”, 0),"")</f>
        <v/>
      </c>
      <c r="R824" t="s">
        <v>4707</v>
      </c>
      <c r="S824">
        <v>31204.5</v>
      </c>
      <c r="T824">
        <v>-14695.5</v>
      </c>
      <c r="U824" cm="1">
        <f t="array" ref="U824">IFERROR(_xlfn.IFS(tblPedidos[[#This Row],[estado_operativo]]="ENTREGADO",tblPedidos[[#This Row],[ganancia_calc]],tblPedidos[[#This Row],[estado_operativo]]="DEVOLUCION",tblPedidos[[#This Row],[costo_devolucion_estimado]]),0)</f>
        <v>31204.5</v>
      </c>
      <c r="V824">
        <v>187227</v>
      </c>
      <c r="W824">
        <v>89900</v>
      </c>
      <c r="X824">
        <v>14695.5</v>
      </c>
      <c r="Y824">
        <v>44000</v>
      </c>
      <c r="Z824" s="11">
        <v>46032</v>
      </c>
      <c r="AA824">
        <v>12</v>
      </c>
      <c r="AB824" s="12">
        <v>0.60486111111111107</v>
      </c>
      <c r="AC824" t="s">
        <v>720</v>
      </c>
      <c r="AD824" t="s">
        <v>720</v>
      </c>
      <c r="AE824" t="s">
        <v>720</v>
      </c>
    </row>
    <row r="825" spans="1:31">
      <c r="A825" t="s">
        <v>1343</v>
      </c>
      <c r="B825" t="s">
        <v>2946</v>
      </c>
      <c r="C825">
        <v>220</v>
      </c>
      <c r="D825" t="s">
        <v>4745</v>
      </c>
      <c r="E825" s="11">
        <v>46030</v>
      </c>
      <c r="F825" t="s">
        <v>4746</v>
      </c>
      <c r="G825" t="s">
        <v>36</v>
      </c>
      <c r="J825" t="s">
        <v>720</v>
      </c>
      <c r="K825" t="s">
        <v>4747</v>
      </c>
      <c r="L825" t="s">
        <v>81</v>
      </c>
      <c r="M825" t="s">
        <v>1300</v>
      </c>
      <c r="N825" t="s">
        <v>4748</v>
      </c>
      <c r="O825" t="s">
        <v>4749</v>
      </c>
      <c r="P825" s="46" t="str" cm="1">
        <f t="array" aca="1" ref="P825" ca="1">IFERROR(_xlfn.XLOOKUP(tblPedidos[[#This Row],[id_dropi]],tblNotas[[#This Row],[id__dropi]],tblNotas[[#This Row],[Notas Manuales]], “”, 0),"")</f>
        <v/>
      </c>
      <c r="R825" t="s">
        <v>2983</v>
      </c>
      <c r="S825">
        <v>32946.5</v>
      </c>
      <c r="T825">
        <v>-10802.800000000001</v>
      </c>
      <c r="U825" cm="1">
        <f t="array" ref="U825">IFERROR(_xlfn.IFS(tblPedidos[[#This Row],[estado_operativo]]="ENTREGADO",tblPedidos[[#This Row],[ganancia_calc]],tblPedidos[[#This Row],[estado_operativo]]="DEVOLUCION",tblPedidos[[#This Row],[costo_devolucion_estimado]]),0)</f>
        <v>32946.5</v>
      </c>
      <c r="V825">
        <v>197679</v>
      </c>
      <c r="W825">
        <v>69900</v>
      </c>
      <c r="X825">
        <v>13503.5</v>
      </c>
      <c r="Y825">
        <v>23450</v>
      </c>
      <c r="Z825" s="11">
        <v>46031</v>
      </c>
      <c r="AA825">
        <v>13</v>
      </c>
      <c r="AB825" s="12">
        <v>0.86944444444444446</v>
      </c>
      <c r="AC825" t="s">
        <v>399</v>
      </c>
      <c r="AD825" t="s">
        <v>720</v>
      </c>
      <c r="AE825" t="s">
        <v>720</v>
      </c>
    </row>
    <row r="826" spans="1:31">
      <c r="A826" t="s">
        <v>33</v>
      </c>
      <c r="C826">
        <v>221</v>
      </c>
      <c r="D826" t="s">
        <v>4750</v>
      </c>
      <c r="E826" s="11">
        <v>46030</v>
      </c>
      <c r="F826" t="s">
        <v>4751</v>
      </c>
      <c r="G826" t="s">
        <v>45</v>
      </c>
      <c r="J826" t="s">
        <v>1371</v>
      </c>
      <c r="K826" t="s">
        <v>4752</v>
      </c>
      <c r="L826" t="s">
        <v>125</v>
      </c>
      <c r="M826" t="s">
        <v>4753</v>
      </c>
      <c r="N826" t="s">
        <v>4754</v>
      </c>
      <c r="O826" t="s">
        <v>4755</v>
      </c>
      <c r="P826" s="46" t="str" cm="1">
        <f t="array" aca="1" ref="P826" ca="1">IFERROR(_xlfn.XLOOKUP(tblPedidos[[#This Row],[id_dropi]],tblNotas[[#This Row],[id__dropi]],tblNotas[[#This Row],[Notas Manuales]], “”, 0),"")</f>
        <v/>
      </c>
      <c r="Q826" t="s">
        <v>50</v>
      </c>
      <c r="R826" t="s">
        <v>2983</v>
      </c>
      <c r="S826">
        <v>28104.5</v>
      </c>
      <c r="T826">
        <v>-18345.5</v>
      </c>
      <c r="U826" cm="1">
        <f t="array" ref="U826">IFERROR(_xlfn.IFS(tblPedidos[[#This Row],[estado_operativo]]="ENTREGADO",tblPedidos[[#This Row],[ganancia_calc]],tblPedidos[[#This Row],[estado_operativo]]="DEVOLUCION",tblPedidos[[#This Row],[costo_devolucion_estimado]]),0)</f>
        <v>0</v>
      </c>
      <c r="V826">
        <v>0</v>
      </c>
      <c r="W826">
        <v>69900</v>
      </c>
      <c r="X826">
        <v>18345.5</v>
      </c>
      <c r="Y826">
        <v>23450</v>
      </c>
      <c r="Z826" s="11">
        <v>46043</v>
      </c>
      <c r="AA826">
        <v>1</v>
      </c>
      <c r="AB826" s="12">
        <v>0.43611111111111112</v>
      </c>
      <c r="AC826" t="s">
        <v>982</v>
      </c>
      <c r="AD826" t="s">
        <v>982</v>
      </c>
      <c r="AE826" t="s">
        <v>1371</v>
      </c>
    </row>
    <row r="827" spans="1:31">
      <c r="A827" t="s">
        <v>1343</v>
      </c>
      <c r="B827" t="s">
        <v>2946</v>
      </c>
      <c r="C827">
        <v>218</v>
      </c>
      <c r="D827" t="s">
        <v>4756</v>
      </c>
      <c r="E827" s="11">
        <v>46030</v>
      </c>
      <c r="F827" t="s">
        <v>4757</v>
      </c>
      <c r="G827" t="s">
        <v>45</v>
      </c>
      <c r="J827" t="s">
        <v>720</v>
      </c>
      <c r="K827" t="s">
        <v>4758</v>
      </c>
      <c r="L827" t="s">
        <v>46</v>
      </c>
      <c r="M827" t="s">
        <v>100</v>
      </c>
      <c r="N827" t="s">
        <v>4759</v>
      </c>
      <c r="O827" t="s">
        <v>4760</v>
      </c>
      <c r="P827" s="46" t="str" cm="1">
        <f t="array" aca="1" ref="P827" ca="1">IFERROR(_xlfn.XLOOKUP(tblPedidos[[#This Row],[id_dropi]],tblNotas[[#This Row],[id__dropi]],tblNotas[[#This Row],[Notas Manuales]], “”, 0),"")</f>
        <v/>
      </c>
      <c r="R827" t="s">
        <v>3213</v>
      </c>
      <c r="S827">
        <v>22954.5</v>
      </c>
      <c r="T827">
        <v>-11945.5</v>
      </c>
      <c r="U827" cm="1">
        <f t="array" ref="U827">IFERROR(_xlfn.IFS(tblPedidos[[#This Row],[estado_operativo]]="ENTREGADO",tblPedidos[[#This Row],[ganancia_calc]],tblPedidos[[#This Row],[estado_operativo]]="DEVOLUCION",tblPedidos[[#This Row],[costo_devolucion_estimado]]),0)</f>
        <v>22954.5</v>
      </c>
      <c r="V827">
        <v>137727</v>
      </c>
      <c r="W827">
        <v>59900</v>
      </c>
      <c r="X827">
        <v>11945.5</v>
      </c>
      <c r="Y827">
        <v>25000</v>
      </c>
      <c r="Z827" s="11">
        <v>46032</v>
      </c>
      <c r="AA827">
        <v>12</v>
      </c>
      <c r="AB827" s="12">
        <v>0.60486111111111107</v>
      </c>
      <c r="AC827" t="s">
        <v>720</v>
      </c>
      <c r="AD827" t="s">
        <v>720</v>
      </c>
      <c r="AE827" t="s">
        <v>720</v>
      </c>
    </row>
    <row r="828" spans="1:31">
      <c r="A828" t="s">
        <v>33</v>
      </c>
      <c r="C828">
        <v>215</v>
      </c>
      <c r="D828" t="s">
        <v>4761</v>
      </c>
      <c r="E828" s="11">
        <v>46030</v>
      </c>
      <c r="F828" t="s">
        <v>4762</v>
      </c>
      <c r="G828" t="s">
        <v>36</v>
      </c>
      <c r="J828" t="s">
        <v>939</v>
      </c>
      <c r="K828" t="s">
        <v>4763</v>
      </c>
      <c r="L828" t="s">
        <v>81</v>
      </c>
      <c r="M828" t="s">
        <v>495</v>
      </c>
      <c r="N828" t="s">
        <v>4764</v>
      </c>
      <c r="O828" t="s">
        <v>4765</v>
      </c>
      <c r="P828" s="46" t="str" cm="1">
        <f t="array" aca="1" ref="P828" ca="1">IFERROR(_xlfn.XLOOKUP(tblPedidos[[#This Row],[id_dropi]],tblNotas[[#This Row],[id__dropi]],tblNotas[[#This Row],[Notas Manuales]], “”, 0),"")</f>
        <v/>
      </c>
      <c r="R828" t="s">
        <v>2983</v>
      </c>
      <c r="S828">
        <v>32946.5</v>
      </c>
      <c r="T828">
        <v>-10802.800000000001</v>
      </c>
      <c r="U828" cm="1">
        <f t="array" ref="U828">IFERROR(_xlfn.IFS(tblPedidos[[#This Row],[estado_operativo]]="ENTREGADO",tblPedidos[[#This Row],[ganancia_calc]],tblPedidos[[#This Row],[estado_operativo]]="DEVOLUCION",tblPedidos[[#This Row],[costo_devolucion_estimado]]),0)</f>
        <v>0</v>
      </c>
      <c r="V828">
        <v>0</v>
      </c>
      <c r="W828">
        <v>69900</v>
      </c>
      <c r="X828">
        <v>13503.5</v>
      </c>
      <c r="Y828">
        <v>23450</v>
      </c>
      <c r="Z828" s="11">
        <v>46031</v>
      </c>
      <c r="AA828">
        <v>13</v>
      </c>
      <c r="AB828" s="12">
        <v>0.86944444444444446</v>
      </c>
      <c r="AC828" t="s">
        <v>399</v>
      </c>
      <c r="AD828" t="s">
        <v>939</v>
      </c>
      <c r="AE828" t="s">
        <v>939</v>
      </c>
    </row>
    <row r="829" spans="1:31">
      <c r="A829" t="s">
        <v>1343</v>
      </c>
      <c r="B829" t="s">
        <v>2946</v>
      </c>
      <c r="C829">
        <v>216</v>
      </c>
      <c r="D829" t="s">
        <v>4766</v>
      </c>
      <c r="E829" s="11">
        <v>46030</v>
      </c>
      <c r="F829" t="s">
        <v>4767</v>
      </c>
      <c r="G829" t="s">
        <v>45</v>
      </c>
      <c r="J829" t="s">
        <v>720</v>
      </c>
      <c r="K829" t="s">
        <v>4768</v>
      </c>
      <c r="L829" t="s">
        <v>545</v>
      </c>
      <c r="M829" t="s">
        <v>4769</v>
      </c>
      <c r="N829" t="s">
        <v>4770</v>
      </c>
      <c r="O829" t="s">
        <v>4771</v>
      </c>
      <c r="P829" s="46" t="str" cm="1">
        <f t="array" aca="1" ref="P829" ca="1">IFERROR(_xlfn.XLOOKUP(tblPedidos[[#This Row],[id_dropi]],tblNotas[[#This Row],[id__dropi]],tblNotas[[#This Row],[Notas Manuales]], “”, 0),"")</f>
        <v/>
      </c>
      <c r="R829" t="s">
        <v>2983</v>
      </c>
      <c r="S829">
        <v>28104.5</v>
      </c>
      <c r="T829">
        <v>-18345.5</v>
      </c>
      <c r="U829" cm="1">
        <f t="array" ref="U829">IFERROR(_xlfn.IFS(tblPedidos[[#This Row],[estado_operativo]]="ENTREGADO",tblPedidos[[#This Row],[ganancia_calc]],tblPedidos[[#This Row],[estado_operativo]]="DEVOLUCION",tblPedidos[[#This Row],[costo_devolucion_estimado]]),0)</f>
        <v>28104.5</v>
      </c>
      <c r="V829">
        <v>168627</v>
      </c>
      <c r="W829">
        <v>69900</v>
      </c>
      <c r="X829">
        <v>18345.5</v>
      </c>
      <c r="Y829">
        <v>23450</v>
      </c>
      <c r="Z829" s="11">
        <v>46035</v>
      </c>
      <c r="AA829">
        <v>9</v>
      </c>
      <c r="AB829" s="12">
        <v>0.75972222222222219</v>
      </c>
      <c r="AC829" t="s">
        <v>720</v>
      </c>
      <c r="AD829" t="s">
        <v>720</v>
      </c>
      <c r="AE829" t="s">
        <v>720</v>
      </c>
    </row>
    <row r="830" spans="1:31">
      <c r="A830" t="s">
        <v>1343</v>
      </c>
      <c r="B830" t="s">
        <v>2946</v>
      </c>
      <c r="C830">
        <v>217</v>
      </c>
      <c r="D830" t="s">
        <v>4772</v>
      </c>
      <c r="E830" s="11">
        <v>46030</v>
      </c>
      <c r="F830" t="s">
        <v>4773</v>
      </c>
      <c r="G830" t="s">
        <v>45</v>
      </c>
      <c r="J830" t="s">
        <v>720</v>
      </c>
      <c r="K830" t="s">
        <v>4774</v>
      </c>
      <c r="L830" t="s">
        <v>1003</v>
      </c>
      <c r="M830" t="s">
        <v>2834</v>
      </c>
      <c r="N830" t="s">
        <v>4775</v>
      </c>
      <c r="O830" t="s">
        <v>4776</v>
      </c>
      <c r="P830" s="46" t="str" cm="1">
        <f t="array" aca="1" ref="P830" ca="1">IFERROR(_xlfn.XLOOKUP(tblPedidos[[#This Row],[id_dropi]],tblNotas[[#This Row],[id__dropi]],tblNotas[[#This Row],[Notas Manuales]], “”, 0),"")</f>
        <v/>
      </c>
      <c r="Q830" t="s">
        <v>50</v>
      </c>
      <c r="R830" t="s">
        <v>3213</v>
      </c>
      <c r="S830">
        <v>17004.5</v>
      </c>
      <c r="T830">
        <v>-17895.5</v>
      </c>
      <c r="U830" cm="1">
        <f t="array" ref="U830">IFERROR(_xlfn.IFS(tblPedidos[[#This Row],[estado_operativo]]="ENTREGADO",tblPedidos[[#This Row],[ganancia_calc]],tblPedidos[[#This Row],[estado_operativo]]="DEVOLUCION",tblPedidos[[#This Row],[costo_devolucion_estimado]]),0)</f>
        <v>17004.5</v>
      </c>
      <c r="V830">
        <v>102027</v>
      </c>
      <c r="W830">
        <v>59900</v>
      </c>
      <c r="X830">
        <v>17895.5</v>
      </c>
      <c r="Y830">
        <v>25000</v>
      </c>
      <c r="Z830" s="11">
        <v>46035</v>
      </c>
      <c r="AA830">
        <v>9</v>
      </c>
      <c r="AB830" s="12">
        <v>0.85277777777777775</v>
      </c>
      <c r="AC830" t="s">
        <v>720</v>
      </c>
      <c r="AD830" t="s">
        <v>720</v>
      </c>
      <c r="AE830" t="s">
        <v>720</v>
      </c>
    </row>
    <row r="831" spans="1:31">
      <c r="A831" t="s">
        <v>1343</v>
      </c>
      <c r="C831">
        <v>198</v>
      </c>
      <c r="D831" t="s">
        <v>4777</v>
      </c>
      <c r="E831" s="11">
        <v>46030</v>
      </c>
      <c r="F831" t="s">
        <v>4778</v>
      </c>
      <c r="G831" t="s">
        <v>45</v>
      </c>
      <c r="J831" t="s">
        <v>720</v>
      </c>
      <c r="K831" t="s">
        <v>4779</v>
      </c>
      <c r="L831" t="s">
        <v>46</v>
      </c>
      <c r="M831" t="s">
        <v>100</v>
      </c>
      <c r="N831" t="s">
        <v>4780</v>
      </c>
      <c r="O831" t="s">
        <v>4781</v>
      </c>
      <c r="P831" s="46" t="str" cm="1">
        <f t="array" aca="1" ref="P831" ca="1">IFERROR(_xlfn.XLOOKUP(tblPedidos[[#This Row],[id_dropi]],tblNotas[[#This Row],[id__dropi]],tblNotas[[#This Row],[Notas Manuales]], “”, 0),"")</f>
        <v/>
      </c>
      <c r="R831" t="s">
        <v>3137</v>
      </c>
      <c r="S831">
        <v>22054.5</v>
      </c>
      <c r="T831">
        <v>-17895.5</v>
      </c>
      <c r="U831" cm="1">
        <f t="array" ref="U831">IFERROR(_xlfn.IFS(tblPedidos[[#This Row],[estado_operativo]]="ENTREGADO",tblPedidos[[#This Row],[ganancia_calc]],tblPedidos[[#This Row],[estado_operativo]]="DEVOLUCION",tblPedidos[[#This Row],[costo_devolucion_estimado]]),0)</f>
        <v>22054.5</v>
      </c>
      <c r="V831">
        <v>66163.5</v>
      </c>
      <c r="W831">
        <v>59900</v>
      </c>
      <c r="X831">
        <v>17895.5</v>
      </c>
      <c r="Y831">
        <v>19950</v>
      </c>
      <c r="Z831" s="11">
        <v>46041</v>
      </c>
      <c r="AA831">
        <v>3</v>
      </c>
      <c r="AB831" s="12">
        <v>0.77430555555555558</v>
      </c>
      <c r="AC831" t="s">
        <v>720</v>
      </c>
      <c r="AD831" t="s">
        <v>720</v>
      </c>
      <c r="AE831" t="s">
        <v>720</v>
      </c>
    </row>
    <row r="832" spans="1:31">
      <c r="A832" t="s">
        <v>1343</v>
      </c>
      <c r="B832" t="s">
        <v>2946</v>
      </c>
      <c r="C832">
        <v>199</v>
      </c>
      <c r="D832" t="s">
        <v>4782</v>
      </c>
      <c r="E832" s="11">
        <v>46030</v>
      </c>
      <c r="F832" t="s">
        <v>4783</v>
      </c>
      <c r="G832" t="s">
        <v>45</v>
      </c>
      <c r="J832" t="s">
        <v>720</v>
      </c>
      <c r="K832" t="s">
        <v>4784</v>
      </c>
      <c r="L832" t="s">
        <v>212</v>
      </c>
      <c r="M832" t="s">
        <v>4785</v>
      </c>
      <c r="N832" t="s">
        <v>4786</v>
      </c>
      <c r="O832" t="s">
        <v>4787</v>
      </c>
      <c r="P832" s="46" t="str" cm="1">
        <f t="array" aca="1" ref="P832" ca="1">IFERROR(_xlfn.XLOOKUP(tblPedidos[[#This Row],[id_dropi]],tblNotas[[#This Row],[id__dropi]],tblNotas[[#This Row],[Notas Manuales]], “”, 0),"")</f>
        <v/>
      </c>
      <c r="R832" t="s">
        <v>4788</v>
      </c>
      <c r="S832">
        <v>35204.5</v>
      </c>
      <c r="T832">
        <v>-19695.5</v>
      </c>
      <c r="U832" cm="1">
        <f t="array" ref="U832">IFERROR(_xlfn.IFS(tblPedidos[[#This Row],[estado_operativo]]="ENTREGADO",tblPedidos[[#This Row],[ganancia_calc]],tblPedidos[[#This Row],[estado_operativo]]="DEVOLUCION",tblPedidos[[#This Row],[costo_devolucion_estimado]]),0)</f>
        <v>35204.5</v>
      </c>
      <c r="V832">
        <v>211227</v>
      </c>
      <c r="W832">
        <v>99900</v>
      </c>
      <c r="X832">
        <v>19695.5</v>
      </c>
      <c r="Y832">
        <v>45000</v>
      </c>
      <c r="Z832" s="11">
        <v>46035</v>
      </c>
      <c r="AA832">
        <v>9</v>
      </c>
      <c r="AB832" s="12">
        <v>0.7583333333333333</v>
      </c>
      <c r="AC832" t="s">
        <v>720</v>
      </c>
      <c r="AD832" t="s">
        <v>720</v>
      </c>
      <c r="AE832" t="s">
        <v>720</v>
      </c>
    </row>
    <row r="833" spans="1:31">
      <c r="A833" t="s">
        <v>1343</v>
      </c>
      <c r="B833" t="s">
        <v>2946</v>
      </c>
      <c r="C833">
        <v>200</v>
      </c>
      <c r="D833" t="s">
        <v>4789</v>
      </c>
      <c r="E833" s="11">
        <v>46030</v>
      </c>
      <c r="F833" t="s">
        <v>4790</v>
      </c>
      <c r="G833" t="s">
        <v>45</v>
      </c>
      <c r="J833" t="s">
        <v>720</v>
      </c>
      <c r="K833" t="s">
        <v>4791</v>
      </c>
      <c r="L833" t="s">
        <v>46</v>
      </c>
      <c r="M833" t="s">
        <v>100</v>
      </c>
      <c r="N833" t="s">
        <v>4792</v>
      </c>
      <c r="O833" t="s">
        <v>4793</v>
      </c>
      <c r="P833" s="46" t="str" cm="1">
        <f t="array" aca="1" ref="P833" ca="1">IFERROR(_xlfn.XLOOKUP(tblPedidos[[#This Row],[id_dropi]],tblNotas[[#This Row],[id__dropi]],tblNotas[[#This Row],[Notas Manuales]], “”, 0),"")</f>
        <v/>
      </c>
      <c r="R833" t="s">
        <v>2983</v>
      </c>
      <c r="S833">
        <v>23329.5</v>
      </c>
      <c r="T833">
        <v>-18120.5</v>
      </c>
      <c r="U833" cm="1">
        <f t="array" ref="U833">IFERROR(_xlfn.IFS(tblPedidos[[#This Row],[estado_operativo]]="ENTREGADO",tblPedidos[[#This Row],[ganancia_calc]],tblPedidos[[#This Row],[estado_operativo]]="DEVOLUCION",tblPedidos[[#This Row],[costo_devolucion_estimado]]),0)</f>
        <v>23329.5</v>
      </c>
      <c r="V833">
        <v>139977</v>
      </c>
      <c r="W833">
        <v>64900</v>
      </c>
      <c r="X833">
        <v>18120.5</v>
      </c>
      <c r="Y833">
        <v>23450</v>
      </c>
      <c r="Z833" s="11">
        <v>46035</v>
      </c>
      <c r="AA833">
        <v>9</v>
      </c>
      <c r="AB833" s="12">
        <v>0.75763888888888886</v>
      </c>
      <c r="AC833" t="s">
        <v>720</v>
      </c>
      <c r="AD833" t="s">
        <v>720</v>
      </c>
      <c r="AE833" t="s">
        <v>720</v>
      </c>
    </row>
    <row r="834" spans="1:31">
      <c r="A834" t="s">
        <v>1343</v>
      </c>
      <c r="B834" t="s">
        <v>2946</v>
      </c>
      <c r="C834">
        <v>197</v>
      </c>
      <c r="D834" t="s">
        <v>4794</v>
      </c>
      <c r="E834" s="11">
        <v>46030</v>
      </c>
      <c r="F834" t="s">
        <v>4795</v>
      </c>
      <c r="G834" t="s">
        <v>45</v>
      </c>
      <c r="J834" t="s">
        <v>720</v>
      </c>
      <c r="K834" t="s">
        <v>4796</v>
      </c>
      <c r="L834" t="s">
        <v>159</v>
      </c>
      <c r="M834" t="s">
        <v>4797</v>
      </c>
      <c r="N834" t="s">
        <v>4798</v>
      </c>
      <c r="O834" t="s">
        <v>4799</v>
      </c>
      <c r="P834" s="46" t="str" cm="1">
        <f t="array" aca="1" ref="P834" ca="1">IFERROR(_xlfn.XLOOKUP(tblPedidos[[#This Row],[id_dropi]],tblNotas[[#This Row],[id__dropi]],tblNotas[[#This Row],[Notas Manuales]], “”, 0),"")</f>
        <v/>
      </c>
      <c r="R834" t="s">
        <v>4800</v>
      </c>
      <c r="S834">
        <v>21004.5</v>
      </c>
      <c r="T834">
        <v>-17895.5</v>
      </c>
      <c r="U834" cm="1">
        <f t="array" ref="U834">IFERROR(_xlfn.IFS(tblPedidos[[#This Row],[estado_operativo]]="ENTREGADO",tblPedidos[[#This Row],[ganancia_calc]],tblPedidos[[#This Row],[estado_operativo]]="DEVOLUCION",tblPedidos[[#This Row],[costo_devolucion_estimado]]),0)</f>
        <v>21004.5</v>
      </c>
      <c r="V834">
        <v>126027</v>
      </c>
      <c r="W834">
        <v>59900</v>
      </c>
      <c r="X834">
        <v>17895.5</v>
      </c>
      <c r="Y834">
        <v>21000</v>
      </c>
      <c r="Z834" s="11">
        <v>46032</v>
      </c>
      <c r="AA834">
        <v>12</v>
      </c>
      <c r="AB834" s="12">
        <v>0.83888888888888891</v>
      </c>
      <c r="AC834" t="s">
        <v>720</v>
      </c>
      <c r="AD834" t="s">
        <v>720</v>
      </c>
      <c r="AE834" t="s">
        <v>720</v>
      </c>
    </row>
    <row r="835" spans="1:31">
      <c r="A835" t="s">
        <v>1343</v>
      </c>
      <c r="B835" t="s">
        <v>2946</v>
      </c>
      <c r="C835">
        <v>194</v>
      </c>
      <c r="D835" t="s">
        <v>4801</v>
      </c>
      <c r="E835" s="11">
        <v>46030</v>
      </c>
      <c r="F835" t="s">
        <v>4802</v>
      </c>
      <c r="G835" t="s">
        <v>36</v>
      </c>
      <c r="J835" t="s">
        <v>720</v>
      </c>
      <c r="K835" t="s">
        <v>4803</v>
      </c>
      <c r="L835" t="s">
        <v>54</v>
      </c>
      <c r="M835" t="s">
        <v>224</v>
      </c>
      <c r="N835" t="s">
        <v>4804</v>
      </c>
      <c r="O835" t="s">
        <v>4805</v>
      </c>
      <c r="P835" s="46" t="str" cm="1">
        <f t="array" aca="1" ref="P835" ca="1">IFERROR(_xlfn.XLOOKUP(tblPedidos[[#This Row],[id_dropi]],tblNotas[[#This Row],[id__dropi]],tblNotas[[#This Row],[Notas Manuales]], “”, 0),"")</f>
        <v/>
      </c>
      <c r="R835" t="s">
        <v>2983</v>
      </c>
      <c r="S835">
        <v>32946.5</v>
      </c>
      <c r="T835">
        <v>-10802.800000000001</v>
      </c>
      <c r="U835" cm="1">
        <f t="array" ref="U835">IFERROR(_xlfn.IFS(tblPedidos[[#This Row],[estado_operativo]]="ENTREGADO",tblPedidos[[#This Row],[ganancia_calc]],tblPedidos[[#This Row],[estado_operativo]]="DEVOLUCION",tblPedidos[[#This Row],[costo_devolucion_estimado]]),0)</f>
        <v>32946.5</v>
      </c>
      <c r="V835">
        <v>197679</v>
      </c>
      <c r="W835">
        <v>69900</v>
      </c>
      <c r="X835">
        <v>13503.5</v>
      </c>
      <c r="Y835">
        <v>23450</v>
      </c>
      <c r="Z835" s="11">
        <v>46031</v>
      </c>
      <c r="AA835">
        <v>13</v>
      </c>
      <c r="AB835" s="12">
        <v>0.86944444444444446</v>
      </c>
      <c r="AC835" t="s">
        <v>399</v>
      </c>
      <c r="AD835" t="s">
        <v>720</v>
      </c>
      <c r="AE835" t="s">
        <v>720</v>
      </c>
    </row>
    <row r="836" spans="1:31">
      <c r="A836" t="s">
        <v>1343</v>
      </c>
      <c r="B836" t="s">
        <v>2946</v>
      </c>
      <c r="C836">
        <v>195</v>
      </c>
      <c r="D836" t="s">
        <v>4806</v>
      </c>
      <c r="E836" s="11">
        <v>46030</v>
      </c>
      <c r="F836" t="s">
        <v>4807</v>
      </c>
      <c r="G836" t="s">
        <v>45</v>
      </c>
      <c r="J836" t="s">
        <v>1657</v>
      </c>
      <c r="K836" t="s">
        <v>4808</v>
      </c>
      <c r="L836" t="s">
        <v>54</v>
      </c>
      <c r="M836" t="s">
        <v>373</v>
      </c>
      <c r="N836" t="s">
        <v>4809</v>
      </c>
      <c r="O836" t="s">
        <v>4810</v>
      </c>
      <c r="P836" s="46" t="str" cm="1">
        <f t="array" aca="1" ref="P836" ca="1">IFERROR(_xlfn.XLOOKUP(tblPedidos[[#This Row],[id_dropi]],tblNotas[[#This Row],[id__dropi]],tblNotas[[#This Row],[Notas Manuales]], “”, 0),"")</f>
        <v/>
      </c>
      <c r="Q836" t="s">
        <v>50</v>
      </c>
      <c r="R836" t="s">
        <v>3213</v>
      </c>
      <c r="S836">
        <v>12229.5</v>
      </c>
      <c r="T836">
        <v>-17670.5</v>
      </c>
      <c r="U836" cm="1">
        <f t="array" ref="U836">IFERROR(_xlfn.IFS(tblPedidos[[#This Row],[estado_operativo]]="ENTREGADO",tblPedidos[[#This Row],[ganancia_calc]],tblPedidos[[#This Row],[estado_operativo]]="DEVOLUCION",tblPedidos[[#This Row],[costo_devolucion_estimado]]),0)</f>
        <v>-17670.5</v>
      </c>
      <c r="V836">
        <v>-106023</v>
      </c>
      <c r="W836">
        <v>54900</v>
      </c>
      <c r="X836">
        <v>17670.5</v>
      </c>
      <c r="Y836">
        <v>25000</v>
      </c>
      <c r="Z836" s="11">
        <v>46038</v>
      </c>
      <c r="AA836">
        <v>6</v>
      </c>
      <c r="AB836" s="12">
        <v>0.43125000000000002</v>
      </c>
      <c r="AC836" t="s">
        <v>1657</v>
      </c>
      <c r="AD836" t="s">
        <v>1657</v>
      </c>
      <c r="AE836" t="s">
        <v>1657</v>
      </c>
    </row>
    <row r="837" spans="1:31">
      <c r="A837" t="s">
        <v>1343</v>
      </c>
      <c r="B837" t="s">
        <v>2946</v>
      </c>
      <c r="C837">
        <v>196</v>
      </c>
      <c r="D837" t="s">
        <v>4811</v>
      </c>
      <c r="E837" s="11">
        <v>46030</v>
      </c>
      <c r="F837" t="s">
        <v>4812</v>
      </c>
      <c r="G837" t="s">
        <v>36</v>
      </c>
      <c r="J837" t="s">
        <v>720</v>
      </c>
      <c r="K837" t="s">
        <v>4813</v>
      </c>
      <c r="L837" t="s">
        <v>81</v>
      </c>
      <c r="M837" t="s">
        <v>118</v>
      </c>
      <c r="N837" t="s">
        <v>4814</v>
      </c>
      <c r="O837" t="s">
        <v>4815</v>
      </c>
      <c r="P837" s="46" t="str" cm="1">
        <f t="array" aca="1" ref="P837" ca="1">IFERROR(_xlfn.XLOOKUP(tblPedidos[[#This Row],[id_dropi]],tblNotas[[#This Row],[id__dropi]],tblNotas[[#This Row],[Notas Manuales]], “”, 0),"")</f>
        <v/>
      </c>
      <c r="R837" t="s">
        <v>2983</v>
      </c>
      <c r="S837">
        <v>32946.5</v>
      </c>
      <c r="T837">
        <v>-10802.800000000001</v>
      </c>
      <c r="U837" cm="1">
        <f t="array" ref="U837">IFERROR(_xlfn.IFS(tblPedidos[[#This Row],[estado_operativo]]="ENTREGADO",tblPedidos[[#This Row],[ganancia_calc]],tblPedidos[[#This Row],[estado_operativo]]="DEVOLUCION",tblPedidos[[#This Row],[costo_devolucion_estimado]]),0)</f>
        <v>32946.5</v>
      </c>
      <c r="V837">
        <v>197679</v>
      </c>
      <c r="W837">
        <v>69900</v>
      </c>
      <c r="X837">
        <v>13503.5</v>
      </c>
      <c r="Y837">
        <v>23450</v>
      </c>
      <c r="Z837" s="11">
        <v>46031</v>
      </c>
      <c r="AA837">
        <v>13</v>
      </c>
      <c r="AB837" s="12">
        <v>0.87013888888888891</v>
      </c>
      <c r="AC837" t="s">
        <v>399</v>
      </c>
      <c r="AD837" t="s">
        <v>720</v>
      </c>
      <c r="AE837" t="s">
        <v>720</v>
      </c>
    </row>
    <row r="838" spans="1:31">
      <c r="A838" t="s">
        <v>1343</v>
      </c>
      <c r="B838" t="s">
        <v>2946</v>
      </c>
      <c r="C838">
        <v>205</v>
      </c>
      <c r="D838" t="s">
        <v>4816</v>
      </c>
      <c r="E838" s="11">
        <v>46030</v>
      </c>
      <c r="F838" t="s">
        <v>4817</v>
      </c>
      <c r="G838" t="s">
        <v>45</v>
      </c>
      <c r="J838" t="s">
        <v>720</v>
      </c>
      <c r="K838" t="s">
        <v>4818</v>
      </c>
      <c r="L838" t="s">
        <v>54</v>
      </c>
      <c r="M838" t="s">
        <v>2919</v>
      </c>
      <c r="N838" t="s">
        <v>4819</v>
      </c>
      <c r="O838" t="s">
        <v>4820</v>
      </c>
      <c r="P838" s="46" t="str" cm="1">
        <f t="array" aca="1" ref="P838" ca="1">IFERROR(_xlfn.XLOOKUP(tblPedidos[[#This Row],[id_dropi]],tblNotas[[#This Row],[id__dropi]],tblNotas[[#This Row],[Notas Manuales]], “”, 0),"")</f>
        <v/>
      </c>
      <c r="Q838" t="s">
        <v>50</v>
      </c>
      <c r="R838" t="s">
        <v>4194</v>
      </c>
      <c r="S838">
        <v>15002.589999999997</v>
      </c>
      <c r="T838">
        <v>-17895.41</v>
      </c>
      <c r="U838" cm="1">
        <f t="array" ref="U838">IFERROR(_xlfn.IFS(tblPedidos[[#This Row],[estado_operativo]]="ENTREGADO",tblPedidos[[#This Row],[ganancia_calc]],tblPedidos[[#This Row],[estado_operativo]]="DEVOLUCION",tblPedidos[[#This Row],[costo_devolucion_estimado]]),0)</f>
        <v>15002.589999999997</v>
      </c>
      <c r="V838">
        <v>90015.54</v>
      </c>
      <c r="W838">
        <v>59898</v>
      </c>
      <c r="X838">
        <v>17895.41</v>
      </c>
      <c r="Y838">
        <v>27000</v>
      </c>
      <c r="Z838" s="11">
        <v>46037</v>
      </c>
      <c r="AA838">
        <v>7</v>
      </c>
      <c r="AB838" s="12">
        <v>0.76666666666666672</v>
      </c>
      <c r="AC838" t="s">
        <v>720</v>
      </c>
      <c r="AD838" t="s">
        <v>720</v>
      </c>
      <c r="AE838" t="s">
        <v>720</v>
      </c>
    </row>
    <row r="839" spans="1:31">
      <c r="A839" t="s">
        <v>1343</v>
      </c>
      <c r="B839" t="s">
        <v>2946</v>
      </c>
      <c r="C839">
        <v>206</v>
      </c>
      <c r="D839" t="s">
        <v>4821</v>
      </c>
      <c r="E839" s="11">
        <v>46030</v>
      </c>
      <c r="F839" t="s">
        <v>4822</v>
      </c>
      <c r="G839" t="s">
        <v>45</v>
      </c>
      <c r="J839" t="s">
        <v>720</v>
      </c>
      <c r="K839" t="s">
        <v>4823</v>
      </c>
      <c r="L839" t="s">
        <v>38</v>
      </c>
      <c r="M839" t="s">
        <v>4824</v>
      </c>
      <c r="N839" t="s">
        <v>4825</v>
      </c>
      <c r="O839" t="s">
        <v>4826</v>
      </c>
      <c r="P839" s="46" t="str" cm="1">
        <f t="array" aca="1" ref="P839" ca="1">IFERROR(_xlfn.XLOOKUP(tblPedidos[[#This Row],[id_dropi]],tblNotas[[#This Row],[id__dropi]],tblNotas[[#This Row],[Notas Manuales]], “”, 0),"")</f>
        <v/>
      </c>
      <c r="R839" t="s">
        <v>2983</v>
      </c>
      <c r="S839">
        <v>28104.5</v>
      </c>
      <c r="T839">
        <v>-18345.5</v>
      </c>
      <c r="U839" cm="1">
        <f t="array" ref="U839">IFERROR(_xlfn.IFS(tblPedidos[[#This Row],[estado_operativo]]="ENTREGADO",tblPedidos[[#This Row],[ganancia_calc]],tblPedidos[[#This Row],[estado_operativo]]="DEVOLUCION",tblPedidos[[#This Row],[costo_devolucion_estimado]]),0)</f>
        <v>28104.5</v>
      </c>
      <c r="V839">
        <v>168627</v>
      </c>
      <c r="W839">
        <v>69900</v>
      </c>
      <c r="X839">
        <v>18345.5</v>
      </c>
      <c r="Y839">
        <v>23450</v>
      </c>
      <c r="Z839" s="11">
        <v>46035</v>
      </c>
      <c r="AA839">
        <v>9</v>
      </c>
      <c r="AB839" s="12">
        <v>0.75972222222222219</v>
      </c>
      <c r="AC839" t="s">
        <v>720</v>
      </c>
      <c r="AD839" t="s">
        <v>720</v>
      </c>
      <c r="AE839" t="s">
        <v>720</v>
      </c>
    </row>
    <row r="840" spans="1:31">
      <c r="A840" t="s">
        <v>1343</v>
      </c>
      <c r="B840" t="s">
        <v>2946</v>
      </c>
      <c r="C840">
        <v>207</v>
      </c>
      <c r="D840" t="s">
        <v>4827</v>
      </c>
      <c r="E840" s="11">
        <v>46030</v>
      </c>
      <c r="F840" t="s">
        <v>4828</v>
      </c>
      <c r="G840" t="s">
        <v>958</v>
      </c>
      <c r="J840" t="s">
        <v>720</v>
      </c>
      <c r="K840" t="s">
        <v>4829</v>
      </c>
      <c r="L840" t="s">
        <v>81</v>
      </c>
      <c r="M840" t="s">
        <v>118</v>
      </c>
      <c r="N840" t="s">
        <v>4830</v>
      </c>
      <c r="O840" t="s">
        <v>4831</v>
      </c>
      <c r="P840" s="46" t="str" cm="1">
        <f t="array" aca="1" ref="P840" ca="1">IFERROR(_xlfn.XLOOKUP(tblPedidos[[#This Row],[id_dropi]],tblNotas[[#This Row],[id__dropi]],tblNotas[[#This Row],[Notas Manuales]], “”, 0),"")</f>
        <v/>
      </c>
      <c r="R840" t="s">
        <v>3213</v>
      </c>
      <c r="S840">
        <v>22303.5</v>
      </c>
      <c r="T840">
        <v>-10077.200000000001</v>
      </c>
      <c r="U840" cm="1">
        <f t="array" ref="U840">IFERROR(_xlfn.IFS(tblPedidos[[#This Row],[estado_operativo]]="ENTREGADO",tblPedidos[[#This Row],[ganancia_calc]],tblPedidos[[#This Row],[estado_operativo]]="DEVOLUCION",tblPedidos[[#This Row],[costo_devolucion_estimado]]),0)</f>
        <v>22303.5</v>
      </c>
      <c r="V840">
        <v>133821</v>
      </c>
      <c r="W840">
        <v>59900</v>
      </c>
      <c r="X840">
        <v>12596.5</v>
      </c>
      <c r="Y840">
        <v>25000</v>
      </c>
      <c r="Z840" s="11">
        <v>46037</v>
      </c>
      <c r="AA840">
        <v>7</v>
      </c>
      <c r="AB840" s="12">
        <v>0.76944444444444449</v>
      </c>
      <c r="AC840" t="s">
        <v>3818</v>
      </c>
      <c r="AD840" t="s">
        <v>720</v>
      </c>
      <c r="AE840" t="s">
        <v>720</v>
      </c>
    </row>
    <row r="841" spans="1:31">
      <c r="A841" t="s">
        <v>1343</v>
      </c>
      <c r="B841" t="s">
        <v>2946</v>
      </c>
      <c r="C841">
        <v>204</v>
      </c>
      <c r="D841" t="s">
        <v>4832</v>
      </c>
      <c r="E841" s="11">
        <v>46030</v>
      </c>
      <c r="F841" t="s">
        <v>4833</v>
      </c>
      <c r="G841" t="s">
        <v>45</v>
      </c>
      <c r="J841" t="s">
        <v>720</v>
      </c>
      <c r="K841" t="s">
        <v>4834</v>
      </c>
      <c r="L841" t="s">
        <v>136</v>
      </c>
      <c r="M841" t="s">
        <v>4835</v>
      </c>
      <c r="N841" t="s">
        <v>4836</v>
      </c>
      <c r="O841" t="s">
        <v>4837</v>
      </c>
      <c r="P841" s="46" t="str" cm="1">
        <f t="array" aca="1" ref="P841" ca="1">IFERROR(_xlfn.XLOOKUP(tblPedidos[[#This Row],[id_dropi]],tblNotas[[#This Row],[id__dropi]],tblNotas[[#This Row],[Notas Manuales]], “”, 0),"")</f>
        <v/>
      </c>
      <c r="R841" t="s">
        <v>3137</v>
      </c>
      <c r="S841">
        <v>22054.5</v>
      </c>
      <c r="T841">
        <v>-17895.5</v>
      </c>
      <c r="U841" cm="1">
        <f t="array" ref="U841">IFERROR(_xlfn.IFS(tblPedidos[[#This Row],[estado_operativo]]="ENTREGADO",tblPedidos[[#This Row],[ganancia_calc]],tblPedidos[[#This Row],[estado_operativo]]="DEVOLUCION",tblPedidos[[#This Row],[costo_devolucion_estimado]]),0)</f>
        <v>22054.5</v>
      </c>
      <c r="V841">
        <v>132327</v>
      </c>
      <c r="W841">
        <v>59900</v>
      </c>
      <c r="X841">
        <v>17895.5</v>
      </c>
      <c r="Y841">
        <v>19950</v>
      </c>
      <c r="Z841" s="11">
        <v>46035</v>
      </c>
      <c r="AA841">
        <v>9</v>
      </c>
      <c r="AB841" s="12">
        <v>0.75694444444444442</v>
      </c>
      <c r="AC841" t="s">
        <v>720</v>
      </c>
      <c r="AD841" t="s">
        <v>720</v>
      </c>
      <c r="AE841" t="s">
        <v>720</v>
      </c>
    </row>
    <row r="842" spans="1:31">
      <c r="A842" t="s">
        <v>1343</v>
      </c>
      <c r="B842" t="s">
        <v>2946</v>
      </c>
      <c r="C842">
        <v>201</v>
      </c>
      <c r="D842" t="s">
        <v>4838</v>
      </c>
      <c r="E842" s="11">
        <v>46030</v>
      </c>
      <c r="F842" t="s">
        <v>4839</v>
      </c>
      <c r="G842" t="s">
        <v>45</v>
      </c>
      <c r="J842" t="s">
        <v>720</v>
      </c>
      <c r="K842" t="s">
        <v>4840</v>
      </c>
      <c r="L842" t="s">
        <v>74</v>
      </c>
      <c r="M842" t="s">
        <v>1680</v>
      </c>
      <c r="N842" t="s">
        <v>4841</v>
      </c>
      <c r="O842" t="s">
        <v>4842</v>
      </c>
      <c r="P842" s="46" t="str" cm="1">
        <f t="array" aca="1" ref="P842" ca="1">IFERROR(_xlfn.XLOOKUP(tblPedidos[[#This Row],[id_dropi]],tblNotas[[#This Row],[id__dropi]],tblNotas[[#This Row],[Notas Manuales]], “”, 0),"")</f>
        <v/>
      </c>
      <c r="R842" t="s">
        <v>2983</v>
      </c>
      <c r="S842">
        <v>28104.5</v>
      </c>
      <c r="T842">
        <v>-18345.5</v>
      </c>
      <c r="U842" cm="1">
        <f t="array" ref="U842">IFERROR(_xlfn.IFS(tblPedidos[[#This Row],[estado_operativo]]="ENTREGADO",tblPedidos[[#This Row],[ganancia_calc]],tblPedidos[[#This Row],[estado_operativo]]="DEVOLUCION",tblPedidos[[#This Row],[costo_devolucion_estimado]]),0)</f>
        <v>28104.5</v>
      </c>
      <c r="V842">
        <v>168627</v>
      </c>
      <c r="W842">
        <v>69900</v>
      </c>
      <c r="X842">
        <v>18345.5</v>
      </c>
      <c r="Y842">
        <v>23450</v>
      </c>
      <c r="Z842" s="11">
        <v>46035</v>
      </c>
      <c r="AA842">
        <v>9</v>
      </c>
      <c r="AB842" s="12">
        <v>0.76736111111111116</v>
      </c>
      <c r="AC842" t="s">
        <v>720</v>
      </c>
      <c r="AD842" t="s">
        <v>720</v>
      </c>
      <c r="AE842" t="s">
        <v>720</v>
      </c>
    </row>
    <row r="843" spans="1:31">
      <c r="A843" t="s">
        <v>1343</v>
      </c>
      <c r="B843" t="s">
        <v>2946</v>
      </c>
      <c r="C843">
        <v>202</v>
      </c>
      <c r="D843" t="s">
        <v>4843</v>
      </c>
      <c r="E843" s="11">
        <v>46030</v>
      </c>
      <c r="F843" t="s">
        <v>4844</v>
      </c>
      <c r="G843" t="s">
        <v>45</v>
      </c>
      <c r="J843" t="s">
        <v>720</v>
      </c>
      <c r="K843" t="s">
        <v>4845</v>
      </c>
      <c r="L843" t="s">
        <v>166</v>
      </c>
      <c r="M843" t="s">
        <v>199</v>
      </c>
      <c r="N843" t="s">
        <v>4846</v>
      </c>
      <c r="O843" t="s">
        <v>4847</v>
      </c>
      <c r="P843" s="46" t="str" cm="1">
        <f t="array" aca="1" ref="P843" ca="1">IFERROR(_xlfn.XLOOKUP(tblPedidos[[#This Row],[id_dropi]],tblNotas[[#This Row],[id__dropi]],tblNotas[[#This Row],[Notas Manuales]], “”, 0),"")</f>
        <v/>
      </c>
      <c r="R843" t="s">
        <v>3213</v>
      </c>
      <c r="S843">
        <v>17004.5</v>
      </c>
      <c r="T843">
        <v>-17895.5</v>
      </c>
      <c r="U843" cm="1">
        <f t="array" ref="U843">IFERROR(_xlfn.IFS(tblPedidos[[#This Row],[estado_operativo]]="ENTREGADO",tblPedidos[[#This Row],[ganancia_calc]],tblPedidos[[#This Row],[estado_operativo]]="DEVOLUCION",tblPedidos[[#This Row],[costo_devolucion_estimado]]),0)</f>
        <v>17004.5</v>
      </c>
      <c r="V843">
        <v>102027</v>
      </c>
      <c r="W843">
        <v>59900</v>
      </c>
      <c r="X843">
        <v>17895.5</v>
      </c>
      <c r="Y843">
        <v>25000</v>
      </c>
      <c r="Z843" s="11">
        <v>46035</v>
      </c>
      <c r="AA843">
        <v>9</v>
      </c>
      <c r="AB843" s="12">
        <v>0.50486111111111109</v>
      </c>
      <c r="AC843" t="s">
        <v>720</v>
      </c>
      <c r="AD843" t="s">
        <v>720</v>
      </c>
      <c r="AE843" t="s">
        <v>720</v>
      </c>
    </row>
    <row r="844" spans="1:31">
      <c r="A844" t="s">
        <v>1343</v>
      </c>
      <c r="B844" t="s">
        <v>2946</v>
      </c>
      <c r="C844">
        <v>203</v>
      </c>
      <c r="D844" t="s">
        <v>4848</v>
      </c>
      <c r="E844" s="11">
        <v>46030</v>
      </c>
      <c r="F844" t="s">
        <v>4849</v>
      </c>
      <c r="G844" t="s">
        <v>45</v>
      </c>
      <c r="J844" t="s">
        <v>720</v>
      </c>
      <c r="K844" t="s">
        <v>4850</v>
      </c>
      <c r="L844" t="s">
        <v>152</v>
      </c>
      <c r="M844" t="s">
        <v>153</v>
      </c>
      <c r="N844" t="s">
        <v>2163</v>
      </c>
      <c r="O844" t="s">
        <v>4851</v>
      </c>
      <c r="P844" s="46" t="str" cm="1">
        <f t="array" aca="1" ref="P844" ca="1">IFERROR(_xlfn.XLOOKUP(tblPedidos[[#This Row],[id_dropi]],tblNotas[[#This Row],[id__dropi]],tblNotas[[#This Row],[Notas Manuales]], “”, 0),"")</f>
        <v/>
      </c>
      <c r="Q844" t="s">
        <v>50</v>
      </c>
      <c r="R844" t="s">
        <v>2983</v>
      </c>
      <c r="S844">
        <v>28104.5</v>
      </c>
      <c r="T844">
        <v>-18345.5</v>
      </c>
      <c r="U844" cm="1">
        <f t="array" ref="U844">IFERROR(_xlfn.IFS(tblPedidos[[#This Row],[estado_operativo]]="ENTREGADO",tblPedidos[[#This Row],[ganancia_calc]],tblPedidos[[#This Row],[estado_operativo]]="DEVOLUCION",tblPedidos[[#This Row],[costo_devolucion_estimado]]),0)</f>
        <v>28104.5</v>
      </c>
      <c r="V844">
        <v>168627</v>
      </c>
      <c r="W844">
        <v>69900</v>
      </c>
      <c r="X844">
        <v>18345.5</v>
      </c>
      <c r="Y844">
        <v>23450</v>
      </c>
      <c r="Z844" s="11">
        <v>46037</v>
      </c>
      <c r="AA844">
        <v>7</v>
      </c>
      <c r="AB844" s="12">
        <v>0.05</v>
      </c>
      <c r="AC844" t="s">
        <v>720</v>
      </c>
      <c r="AD844" t="s">
        <v>720</v>
      </c>
      <c r="AE844" t="s">
        <v>720</v>
      </c>
    </row>
    <row r="845" spans="1:31">
      <c r="A845" t="s">
        <v>1343</v>
      </c>
      <c r="B845" t="s">
        <v>2946</v>
      </c>
      <c r="C845">
        <v>240</v>
      </c>
      <c r="D845" t="s">
        <v>4852</v>
      </c>
      <c r="E845" s="11">
        <v>46030</v>
      </c>
      <c r="F845" t="s">
        <v>4853</v>
      </c>
      <c r="G845" t="s">
        <v>45</v>
      </c>
      <c r="J845" t="s">
        <v>720</v>
      </c>
      <c r="K845" t="s">
        <v>4854</v>
      </c>
      <c r="L845" t="s">
        <v>87</v>
      </c>
      <c r="M845" t="s">
        <v>4855</v>
      </c>
      <c r="N845" t="s">
        <v>4856</v>
      </c>
      <c r="O845" t="s">
        <v>4857</v>
      </c>
      <c r="P845" s="46" t="str" cm="1">
        <f t="array" aca="1" ref="P845" ca="1">IFERROR(_xlfn.XLOOKUP(tblPedidos[[#This Row],[id_dropi]],tblNotas[[#This Row],[id__dropi]],tblNotas[[#This Row],[Notas Manuales]], “”, 0),"")</f>
        <v/>
      </c>
      <c r="Q845" t="s">
        <v>4858</v>
      </c>
      <c r="R845" t="s">
        <v>4859</v>
      </c>
      <c r="S845">
        <v>15554.5</v>
      </c>
      <c r="T845">
        <v>-18345.5</v>
      </c>
      <c r="U845" cm="1">
        <f t="array" ref="U845">IFERROR(_xlfn.IFS(tblPedidos[[#This Row],[estado_operativo]]="ENTREGADO",tblPedidos[[#This Row],[ganancia_calc]],tblPedidos[[#This Row],[estado_operativo]]="DEVOLUCION",tblPedidos[[#This Row],[costo_devolucion_estimado]]),0)</f>
        <v>15554.5</v>
      </c>
      <c r="V845">
        <v>93327</v>
      </c>
      <c r="W845">
        <v>69900</v>
      </c>
      <c r="X845">
        <v>18345.5</v>
      </c>
      <c r="Y845">
        <v>36000</v>
      </c>
      <c r="Z845" s="11">
        <v>46036</v>
      </c>
      <c r="AA845">
        <v>8</v>
      </c>
      <c r="AB845" s="12">
        <v>0.76111111111111107</v>
      </c>
      <c r="AC845" t="s">
        <v>720</v>
      </c>
      <c r="AD845" t="s">
        <v>720</v>
      </c>
      <c r="AE845" t="s">
        <v>720</v>
      </c>
    </row>
    <row r="846" spans="1:31">
      <c r="A846" t="s">
        <v>1343</v>
      </c>
      <c r="B846" t="s">
        <v>2946</v>
      </c>
      <c r="C846">
        <v>241</v>
      </c>
      <c r="D846" t="s">
        <v>4860</v>
      </c>
      <c r="E846" s="11">
        <v>46030</v>
      </c>
      <c r="F846" t="s">
        <v>4861</v>
      </c>
      <c r="G846" t="s">
        <v>36</v>
      </c>
      <c r="J846" t="s">
        <v>720</v>
      </c>
      <c r="K846" t="s">
        <v>4862</v>
      </c>
      <c r="L846" t="s">
        <v>81</v>
      </c>
      <c r="M846" t="s">
        <v>3134</v>
      </c>
      <c r="N846" t="s">
        <v>4863</v>
      </c>
      <c r="O846" t="s">
        <v>4864</v>
      </c>
      <c r="P846" s="46" t="str" cm="1">
        <f t="array" aca="1" ref="P846" ca="1">IFERROR(_xlfn.XLOOKUP(tblPedidos[[#This Row],[id_dropi]],tblNotas[[#This Row],[id__dropi]],tblNotas[[#This Row],[Notas Manuales]], “”, 0),"")</f>
        <v/>
      </c>
      <c r="R846" t="s">
        <v>3213</v>
      </c>
      <c r="S846">
        <v>19686.5</v>
      </c>
      <c r="T846">
        <v>-12170.800000000001</v>
      </c>
      <c r="U846" cm="1">
        <f t="array" ref="U846">IFERROR(_xlfn.IFS(tblPedidos[[#This Row],[estado_operativo]]="ENTREGADO",tblPedidos[[#This Row],[ganancia_calc]],tblPedidos[[#This Row],[estado_operativo]]="DEVOLUCION",tblPedidos[[#This Row],[costo_devolucion_estimado]]),0)</f>
        <v>19686.5</v>
      </c>
      <c r="V846">
        <v>118119</v>
      </c>
      <c r="W846">
        <v>59900</v>
      </c>
      <c r="X846">
        <v>15213.5</v>
      </c>
      <c r="Y846">
        <v>25000</v>
      </c>
      <c r="Z846" s="11">
        <v>46032</v>
      </c>
      <c r="AA846">
        <v>12</v>
      </c>
      <c r="AB846" s="12">
        <v>0.56944444444444442</v>
      </c>
      <c r="AC846" t="s">
        <v>2990</v>
      </c>
      <c r="AD846" t="s">
        <v>720</v>
      </c>
      <c r="AE846" t="s">
        <v>720</v>
      </c>
    </row>
    <row r="847" spans="1:31">
      <c r="A847" t="s">
        <v>1343</v>
      </c>
      <c r="B847" t="s">
        <v>2946</v>
      </c>
      <c r="C847">
        <v>242</v>
      </c>
      <c r="D847" t="s">
        <v>4865</v>
      </c>
      <c r="E847" s="11">
        <v>46030</v>
      </c>
      <c r="F847" t="s">
        <v>4866</v>
      </c>
      <c r="G847" t="s">
        <v>36</v>
      </c>
      <c r="J847" t="s">
        <v>720</v>
      </c>
      <c r="K847" t="s">
        <v>4867</v>
      </c>
      <c r="L847" t="s">
        <v>87</v>
      </c>
      <c r="M847" t="s">
        <v>743</v>
      </c>
      <c r="N847" t="s">
        <v>4868</v>
      </c>
      <c r="O847" t="s">
        <v>4869</v>
      </c>
      <c r="P847" s="46" t="str" cm="1">
        <f t="array" aca="1" ref="P847" ca="1">IFERROR(_xlfn.XLOOKUP(tblPedidos[[#This Row],[id_dropi]],tblNotas[[#This Row],[id__dropi]],tblNotas[[#This Row],[Notas Manuales]], “”, 0),"")</f>
        <v/>
      </c>
      <c r="R847" t="s">
        <v>2983</v>
      </c>
      <c r="S847">
        <v>26011.5</v>
      </c>
      <c r="T847">
        <v>-12350.800000000001</v>
      </c>
      <c r="U847" cm="1">
        <f t="array" ref="U847">IFERROR(_xlfn.IFS(tblPedidos[[#This Row],[estado_operativo]]="ENTREGADO",tblPedidos[[#This Row],[ganancia_calc]],tblPedidos[[#This Row],[estado_operativo]]="DEVOLUCION",tblPedidos[[#This Row],[costo_devolucion_estimado]]),0)</f>
        <v>26011.5</v>
      </c>
      <c r="V847">
        <v>156069</v>
      </c>
      <c r="W847">
        <v>64900</v>
      </c>
      <c r="X847">
        <v>15438.5</v>
      </c>
      <c r="Y847">
        <v>23450</v>
      </c>
      <c r="Z847" s="11">
        <v>46031</v>
      </c>
      <c r="AA847">
        <v>13</v>
      </c>
      <c r="AB847" s="12">
        <v>0.87013888888888891</v>
      </c>
      <c r="AC847" t="s">
        <v>399</v>
      </c>
      <c r="AD847" t="s">
        <v>720</v>
      </c>
      <c r="AE847" t="s">
        <v>720</v>
      </c>
    </row>
    <row r="848" spans="1:31">
      <c r="A848" t="s">
        <v>1343</v>
      </c>
      <c r="B848" t="s">
        <v>2946</v>
      </c>
      <c r="C848">
        <v>239</v>
      </c>
      <c r="D848" t="s">
        <v>4870</v>
      </c>
      <c r="E848" s="11">
        <v>46030</v>
      </c>
      <c r="F848" t="s">
        <v>4871</v>
      </c>
      <c r="G848" t="s">
        <v>45</v>
      </c>
      <c r="J848" t="s">
        <v>720</v>
      </c>
      <c r="K848" t="s">
        <v>4872</v>
      </c>
      <c r="L848" t="s">
        <v>46</v>
      </c>
      <c r="M848" t="s">
        <v>100</v>
      </c>
      <c r="N848" t="s">
        <v>4873</v>
      </c>
      <c r="O848" t="s">
        <v>4874</v>
      </c>
      <c r="P848" s="46" t="str" cm="1">
        <f t="array" aca="1" ref="P848" ca="1">IFERROR(_xlfn.XLOOKUP(tblPedidos[[#This Row],[id_dropi]],tblNotas[[#This Row],[id__dropi]],tblNotas[[#This Row],[Notas Manuales]], “”, 0),"")</f>
        <v/>
      </c>
      <c r="R848" t="s">
        <v>3213</v>
      </c>
      <c r="S848">
        <v>22954.5</v>
      </c>
      <c r="T848">
        <v>-11945.5</v>
      </c>
      <c r="U848" cm="1">
        <f t="array" ref="U848">IFERROR(_xlfn.IFS(tblPedidos[[#This Row],[estado_operativo]]="ENTREGADO",tblPedidos[[#This Row],[ganancia_calc]],tblPedidos[[#This Row],[estado_operativo]]="DEVOLUCION",tblPedidos[[#This Row],[costo_devolucion_estimado]]),0)</f>
        <v>22954.5</v>
      </c>
      <c r="V848">
        <v>137727</v>
      </c>
      <c r="W848">
        <v>59900</v>
      </c>
      <c r="X848">
        <v>11945.5</v>
      </c>
      <c r="Y848">
        <v>25000</v>
      </c>
      <c r="Z848" s="11">
        <v>46037</v>
      </c>
      <c r="AA848">
        <v>7</v>
      </c>
      <c r="AB848" s="12">
        <v>0.75555555555555554</v>
      </c>
      <c r="AC848" t="s">
        <v>720</v>
      </c>
      <c r="AD848" t="s">
        <v>720</v>
      </c>
      <c r="AE848" t="s">
        <v>720</v>
      </c>
    </row>
    <row r="849" spans="1:31">
      <c r="A849" t="s">
        <v>1343</v>
      </c>
      <c r="B849" t="s">
        <v>2946</v>
      </c>
      <c r="C849">
        <v>236</v>
      </c>
      <c r="D849" t="s">
        <v>4875</v>
      </c>
      <c r="E849" s="11">
        <v>46030</v>
      </c>
      <c r="F849" t="s">
        <v>4876</v>
      </c>
      <c r="G849" t="s">
        <v>45</v>
      </c>
      <c r="J849" t="s">
        <v>720</v>
      </c>
      <c r="K849" t="s">
        <v>4877</v>
      </c>
      <c r="L849" t="s">
        <v>68</v>
      </c>
      <c r="M849" t="s">
        <v>69</v>
      </c>
      <c r="N849" t="s">
        <v>1261</v>
      </c>
      <c r="O849" t="s">
        <v>4878</v>
      </c>
      <c r="P849" s="46" t="str" cm="1">
        <f t="array" aca="1" ref="P849" ca="1">IFERROR(_xlfn.XLOOKUP(tblPedidos[[#This Row],[id_dropi]],tblNotas[[#This Row],[id__dropi]],tblNotas[[#This Row],[Notas Manuales]], “”, 0),"")</f>
        <v/>
      </c>
      <c r="Q849" t="s">
        <v>50</v>
      </c>
      <c r="R849" t="s">
        <v>2983</v>
      </c>
      <c r="S849">
        <v>32654.5</v>
      </c>
      <c r="T849">
        <v>-13795.5</v>
      </c>
      <c r="U849" cm="1">
        <f t="array" ref="U849">IFERROR(_xlfn.IFS(tblPedidos[[#This Row],[estado_operativo]]="ENTREGADO",tblPedidos[[#This Row],[ganancia_calc]],tblPedidos[[#This Row],[estado_operativo]]="DEVOLUCION",tblPedidos[[#This Row],[costo_devolucion_estimado]]),0)</f>
        <v>32654.5</v>
      </c>
      <c r="V849">
        <v>195927</v>
      </c>
      <c r="W849">
        <v>69900</v>
      </c>
      <c r="X849">
        <v>13795.5</v>
      </c>
      <c r="Y849">
        <v>23450</v>
      </c>
      <c r="Z849" s="11">
        <v>46036</v>
      </c>
      <c r="AA849">
        <v>8</v>
      </c>
      <c r="AB849" s="12">
        <v>0.43263888888888891</v>
      </c>
      <c r="AC849" t="s">
        <v>720</v>
      </c>
      <c r="AD849" t="s">
        <v>720</v>
      </c>
      <c r="AE849" t="s">
        <v>720</v>
      </c>
    </row>
    <row r="850" spans="1:31">
      <c r="A850" t="s">
        <v>1343</v>
      </c>
      <c r="B850" t="s">
        <v>2946</v>
      </c>
      <c r="C850">
        <v>237</v>
      </c>
      <c r="D850" t="s">
        <v>4879</v>
      </c>
      <c r="E850" s="11">
        <v>46030</v>
      </c>
      <c r="F850" t="s">
        <v>4880</v>
      </c>
      <c r="G850" t="s">
        <v>45</v>
      </c>
      <c r="J850" t="s">
        <v>720</v>
      </c>
      <c r="K850" t="s">
        <v>4881</v>
      </c>
      <c r="L850" t="s">
        <v>46</v>
      </c>
      <c r="M850" t="s">
        <v>2361</v>
      </c>
      <c r="N850" t="s">
        <v>4882</v>
      </c>
      <c r="O850" t="s">
        <v>4883</v>
      </c>
      <c r="P850" s="46" t="str" cm="1">
        <f t="array" aca="1" ref="P850" ca="1">IFERROR(_xlfn.XLOOKUP(tblPedidos[[#This Row],[id_dropi]],tblNotas[[#This Row],[id__dropi]],tblNotas[[#This Row],[Notas Manuales]], “”, 0),"")</f>
        <v/>
      </c>
      <c r="R850" t="s">
        <v>2983</v>
      </c>
      <c r="S850">
        <v>28104.5</v>
      </c>
      <c r="T850">
        <v>-18345.5</v>
      </c>
      <c r="U850" cm="1">
        <f t="array" ref="U850">IFERROR(_xlfn.IFS(tblPedidos[[#This Row],[estado_operativo]]="ENTREGADO",tblPedidos[[#This Row],[ganancia_calc]],tblPedidos[[#This Row],[estado_operativo]]="DEVOLUCION",tblPedidos[[#This Row],[costo_devolucion_estimado]]),0)</f>
        <v>28104.5</v>
      </c>
      <c r="V850">
        <v>168627</v>
      </c>
      <c r="W850">
        <v>69900</v>
      </c>
      <c r="X850">
        <v>18345.5</v>
      </c>
      <c r="Y850">
        <v>23450</v>
      </c>
      <c r="Z850" s="11">
        <v>46035</v>
      </c>
      <c r="AA850">
        <v>9</v>
      </c>
      <c r="AB850" s="12">
        <v>0.84583333333333333</v>
      </c>
      <c r="AC850" t="s">
        <v>720</v>
      </c>
      <c r="AD850" t="s">
        <v>720</v>
      </c>
      <c r="AE850" t="s">
        <v>720</v>
      </c>
    </row>
    <row r="851" spans="1:31">
      <c r="A851" t="s">
        <v>1343</v>
      </c>
      <c r="B851" t="s">
        <v>2946</v>
      </c>
      <c r="C851">
        <v>238</v>
      </c>
      <c r="D851" t="s">
        <v>4884</v>
      </c>
      <c r="E851" s="11">
        <v>46030</v>
      </c>
      <c r="F851" t="s">
        <v>4885</v>
      </c>
      <c r="G851" t="s">
        <v>45</v>
      </c>
      <c r="J851" t="s">
        <v>720</v>
      </c>
      <c r="K851" t="s">
        <v>4886</v>
      </c>
      <c r="L851" t="s">
        <v>46</v>
      </c>
      <c r="M851" t="s">
        <v>100</v>
      </c>
      <c r="N851" t="s">
        <v>4887</v>
      </c>
      <c r="O851" t="s">
        <v>4888</v>
      </c>
      <c r="P851" s="46" t="str" cm="1">
        <f t="array" aca="1" ref="P851" ca="1">IFERROR(_xlfn.XLOOKUP(tblPedidos[[#This Row],[id_dropi]],tblNotas[[#This Row],[id__dropi]],tblNotas[[#This Row],[Notas Manuales]], “”, 0),"")</f>
        <v/>
      </c>
      <c r="R851" t="s">
        <v>4194</v>
      </c>
      <c r="S851">
        <v>20952.589999999997</v>
      </c>
      <c r="T851">
        <v>-11945.41</v>
      </c>
      <c r="U851" cm="1">
        <f t="array" ref="U851">IFERROR(_xlfn.IFS(tblPedidos[[#This Row],[estado_operativo]]="ENTREGADO",tblPedidos[[#This Row],[ganancia_calc]],tblPedidos[[#This Row],[estado_operativo]]="DEVOLUCION",tblPedidos[[#This Row],[costo_devolucion_estimado]]),0)</f>
        <v>20952.589999999997</v>
      </c>
      <c r="V851">
        <v>125715.54</v>
      </c>
      <c r="W851">
        <v>59898</v>
      </c>
      <c r="X851">
        <v>11945.41</v>
      </c>
      <c r="Y851">
        <v>27000</v>
      </c>
      <c r="Z851" s="11">
        <v>46035</v>
      </c>
      <c r="AA851">
        <v>9</v>
      </c>
      <c r="AB851" s="12">
        <v>0.66666666666666663</v>
      </c>
      <c r="AC851" t="s">
        <v>720</v>
      </c>
      <c r="AD851" t="s">
        <v>720</v>
      </c>
      <c r="AE851" t="s">
        <v>720</v>
      </c>
    </row>
    <row r="852" spans="1:31">
      <c r="A852" t="s">
        <v>1343</v>
      </c>
      <c r="B852" t="s">
        <v>2946</v>
      </c>
      <c r="C852">
        <v>247</v>
      </c>
      <c r="D852" t="s">
        <v>4889</v>
      </c>
      <c r="E852" s="11">
        <v>46030</v>
      </c>
      <c r="F852" t="s">
        <v>4890</v>
      </c>
      <c r="G852" t="s">
        <v>958</v>
      </c>
      <c r="J852" t="s">
        <v>720</v>
      </c>
      <c r="K852" t="s">
        <v>4891</v>
      </c>
      <c r="L852" t="s">
        <v>81</v>
      </c>
      <c r="M852" t="s">
        <v>118</v>
      </c>
      <c r="N852" t="s">
        <v>4892</v>
      </c>
      <c r="O852" t="s">
        <v>4893</v>
      </c>
      <c r="P852" s="46" t="str" cm="1">
        <f t="array" aca="1" ref="P852" ca="1">IFERROR(_xlfn.XLOOKUP(tblPedidos[[#This Row],[id_dropi]],tblNotas[[#This Row],[id__dropi]],tblNotas[[#This Row],[Notas Manuales]], “”, 0),"")</f>
        <v/>
      </c>
      <c r="R852" t="s">
        <v>4194</v>
      </c>
      <c r="S852">
        <v>20301.57</v>
      </c>
      <c r="T852">
        <v>-10077.144</v>
      </c>
      <c r="U852" cm="1">
        <f t="array" ref="U852">IFERROR(_xlfn.IFS(tblPedidos[[#This Row],[estado_operativo]]="ENTREGADO",tblPedidos[[#This Row],[ganancia_calc]],tblPedidos[[#This Row],[estado_operativo]]="DEVOLUCION",tblPedidos[[#This Row],[costo_devolucion_estimado]]),0)</f>
        <v>20301.57</v>
      </c>
      <c r="V852">
        <v>121809.42</v>
      </c>
      <c r="W852">
        <v>59898</v>
      </c>
      <c r="X852">
        <v>12596.43</v>
      </c>
      <c r="Y852">
        <v>27000</v>
      </c>
      <c r="Z852" s="11">
        <v>46036</v>
      </c>
      <c r="AA852">
        <v>8</v>
      </c>
      <c r="AB852" s="12">
        <v>0.46597222222222223</v>
      </c>
      <c r="AC852" t="s">
        <v>720</v>
      </c>
      <c r="AD852" t="s">
        <v>720</v>
      </c>
      <c r="AE852" t="s">
        <v>720</v>
      </c>
    </row>
    <row r="853" spans="1:31">
      <c r="A853" t="s">
        <v>1343</v>
      </c>
      <c r="B853" t="s">
        <v>2946</v>
      </c>
      <c r="C853">
        <v>248</v>
      </c>
      <c r="D853" t="s">
        <v>4894</v>
      </c>
      <c r="E853" s="11">
        <v>46030</v>
      </c>
      <c r="F853" t="s">
        <v>4895</v>
      </c>
      <c r="G853" t="s">
        <v>36</v>
      </c>
      <c r="J853" t="s">
        <v>720</v>
      </c>
      <c r="K853" t="s">
        <v>4896</v>
      </c>
      <c r="L853" t="s">
        <v>81</v>
      </c>
      <c r="M853" t="s">
        <v>914</v>
      </c>
      <c r="N853" t="s">
        <v>4897</v>
      </c>
      <c r="O853" t="s">
        <v>4898</v>
      </c>
      <c r="P853" s="46" t="str" cm="1">
        <f t="array" aca="1" ref="P853" ca="1">IFERROR(_xlfn.XLOOKUP(tblPedidos[[#This Row],[id_dropi]],tblNotas[[#This Row],[id__dropi]],tblNotas[[#This Row],[Notas Manuales]], “”, 0),"")</f>
        <v/>
      </c>
      <c r="R853" t="s">
        <v>3008</v>
      </c>
      <c r="S853">
        <v>29461.5</v>
      </c>
      <c r="T853">
        <v>-12350.800000000001</v>
      </c>
      <c r="U853" cm="1">
        <f t="array" ref="U853">IFERROR(_xlfn.IFS(tblPedidos[[#This Row],[estado_operativo]]="ENTREGADO",tblPedidos[[#This Row],[ganancia_calc]],tblPedidos[[#This Row],[estado_operativo]]="DEVOLUCION",tblPedidos[[#This Row],[costo_devolucion_estimado]]),0)</f>
        <v>29461.5</v>
      </c>
      <c r="V853">
        <v>176769</v>
      </c>
      <c r="W853">
        <v>64900</v>
      </c>
      <c r="X853">
        <v>15438.5</v>
      </c>
      <c r="Y853">
        <v>20000</v>
      </c>
      <c r="Z853" s="11">
        <v>46032</v>
      </c>
      <c r="AA853">
        <v>12</v>
      </c>
      <c r="AB853" s="12">
        <v>0.56944444444444442</v>
      </c>
      <c r="AC853" t="s">
        <v>788</v>
      </c>
      <c r="AD853" t="s">
        <v>720</v>
      </c>
      <c r="AE853" t="s">
        <v>720</v>
      </c>
    </row>
    <row r="854" spans="1:31">
      <c r="A854" t="s">
        <v>1343</v>
      </c>
      <c r="B854" t="s">
        <v>2946</v>
      </c>
      <c r="C854">
        <v>249</v>
      </c>
      <c r="D854" t="s">
        <v>4899</v>
      </c>
      <c r="E854" s="11">
        <v>46030</v>
      </c>
      <c r="F854" t="s">
        <v>4900</v>
      </c>
      <c r="G854" t="s">
        <v>36</v>
      </c>
      <c r="J854" t="s">
        <v>720</v>
      </c>
      <c r="K854" t="s">
        <v>4901</v>
      </c>
      <c r="L854" t="s">
        <v>662</v>
      </c>
      <c r="M854" t="s">
        <v>2747</v>
      </c>
      <c r="N854" t="s">
        <v>4902</v>
      </c>
      <c r="O854" t="s">
        <v>4903</v>
      </c>
      <c r="P854" s="46" t="str" cm="1">
        <f t="array" aca="1" ref="P854" ca="1">IFERROR(_xlfn.XLOOKUP(tblPedidos[[#This Row],[id_dropi]],tblNotas[[#This Row],[id__dropi]],tblNotas[[#This Row],[Notas Manuales]], “”, 0),"")</f>
        <v/>
      </c>
      <c r="R854" t="s">
        <v>3200</v>
      </c>
      <c r="S854">
        <v>30211.5</v>
      </c>
      <c r="T854">
        <v>-12710.800000000001</v>
      </c>
      <c r="U854" cm="1">
        <f t="array" ref="U854">IFERROR(_xlfn.IFS(tblPedidos[[#This Row],[estado_operativo]]="ENTREGADO",tblPedidos[[#This Row],[ganancia_calc]],tblPedidos[[#This Row],[estado_operativo]]="DEVOLUCION",tblPedidos[[#This Row],[costo_devolucion_estimado]]),0)</f>
        <v>30211.5</v>
      </c>
      <c r="V854">
        <v>181269</v>
      </c>
      <c r="W854">
        <v>74900</v>
      </c>
      <c r="X854">
        <v>15888.5</v>
      </c>
      <c r="Y854">
        <v>28800</v>
      </c>
      <c r="Z854" s="11">
        <v>46031</v>
      </c>
      <c r="AA854">
        <v>13</v>
      </c>
      <c r="AB854" s="12">
        <v>0.75486111111111109</v>
      </c>
      <c r="AC854" t="s">
        <v>399</v>
      </c>
      <c r="AD854" t="s">
        <v>720</v>
      </c>
      <c r="AE854" t="s">
        <v>720</v>
      </c>
    </row>
    <row r="855" spans="1:31">
      <c r="A855" t="s">
        <v>1343</v>
      </c>
      <c r="B855" t="s">
        <v>2946</v>
      </c>
      <c r="C855">
        <v>246</v>
      </c>
      <c r="D855" t="s">
        <v>4904</v>
      </c>
      <c r="E855" s="11">
        <v>46030</v>
      </c>
      <c r="F855" t="s">
        <v>4905</v>
      </c>
      <c r="G855" t="s">
        <v>45</v>
      </c>
      <c r="J855" t="s">
        <v>720</v>
      </c>
      <c r="K855" t="s">
        <v>4906</v>
      </c>
      <c r="L855" t="s">
        <v>54</v>
      </c>
      <c r="M855" t="s">
        <v>538</v>
      </c>
      <c r="N855" t="s">
        <v>4907</v>
      </c>
      <c r="O855" t="s">
        <v>4908</v>
      </c>
      <c r="P855" s="46" t="str" cm="1">
        <f t="array" aca="1" ref="P855" ca="1">IFERROR(_xlfn.XLOOKUP(tblPedidos[[#This Row],[id_dropi]],tblNotas[[#This Row],[id__dropi]],tblNotas[[#This Row],[Notas Manuales]], “”, 0),"")</f>
        <v/>
      </c>
      <c r="Q855" t="s">
        <v>4909</v>
      </c>
      <c r="R855" t="s">
        <v>3014</v>
      </c>
      <c r="S855">
        <v>16801</v>
      </c>
      <c r="T855">
        <v>-18699</v>
      </c>
      <c r="U855" cm="1">
        <f t="array" ref="U855">IFERROR(_xlfn.IFS(tblPedidos[[#This Row],[estado_operativo]]="ENTREGADO",tblPedidos[[#This Row],[ganancia_calc]],tblPedidos[[#This Row],[estado_operativo]]="DEVOLUCION",tblPedidos[[#This Row],[costo_devolucion_estimado]]),0)</f>
        <v>16801</v>
      </c>
      <c r="V855">
        <v>84005</v>
      </c>
      <c r="W855">
        <v>49900</v>
      </c>
      <c r="X855">
        <v>18699</v>
      </c>
      <c r="Y855">
        <v>14400</v>
      </c>
      <c r="Z855" s="11">
        <v>46038</v>
      </c>
      <c r="AA855">
        <v>6</v>
      </c>
      <c r="AB855" s="12">
        <v>0.35138888888888886</v>
      </c>
      <c r="AC855" t="s">
        <v>720</v>
      </c>
      <c r="AD855" t="s">
        <v>720</v>
      </c>
      <c r="AE855" t="s">
        <v>720</v>
      </c>
    </row>
    <row r="856" spans="1:31">
      <c r="A856" t="s">
        <v>1343</v>
      </c>
      <c r="B856" t="s">
        <v>2946</v>
      </c>
      <c r="C856">
        <v>243</v>
      </c>
      <c r="D856" t="s">
        <v>4910</v>
      </c>
      <c r="E856" s="11">
        <v>46030</v>
      </c>
      <c r="F856" t="s">
        <v>4911</v>
      </c>
      <c r="G856" t="s">
        <v>45</v>
      </c>
      <c r="J856" t="s">
        <v>720</v>
      </c>
      <c r="K856" t="s">
        <v>4912</v>
      </c>
      <c r="L856" t="s">
        <v>74</v>
      </c>
      <c r="M856" t="s">
        <v>1278</v>
      </c>
      <c r="N856" t="s">
        <v>1279</v>
      </c>
      <c r="O856" t="s">
        <v>4913</v>
      </c>
      <c r="P856" s="46" t="str" cm="1">
        <f t="array" aca="1" ref="P856" ca="1">IFERROR(_xlfn.XLOOKUP(tblPedidos[[#This Row],[id_dropi]],tblNotas[[#This Row],[id__dropi]],tblNotas[[#This Row],[Notas Manuales]], “”, 0),"")</f>
        <v/>
      </c>
      <c r="Q856" t="s">
        <v>50</v>
      </c>
      <c r="R856" t="s">
        <v>3267</v>
      </c>
      <c r="S856">
        <v>21201</v>
      </c>
      <c r="T856">
        <v>-18699</v>
      </c>
      <c r="U856" cm="1">
        <f t="array" ref="U856">IFERROR(_xlfn.IFS(tblPedidos[[#This Row],[estado_operativo]]="ENTREGADO",tblPedidos[[#This Row],[ganancia_calc]],tblPedidos[[#This Row],[estado_operativo]]="DEVOLUCION",tblPedidos[[#This Row],[costo_devolucion_estimado]]),0)</f>
        <v>21201</v>
      </c>
      <c r="V856">
        <v>127206</v>
      </c>
      <c r="W856">
        <v>49900</v>
      </c>
      <c r="X856">
        <v>18699</v>
      </c>
      <c r="Y856">
        <v>10000</v>
      </c>
      <c r="Z856" s="11">
        <v>46037</v>
      </c>
      <c r="AA856">
        <v>7</v>
      </c>
      <c r="AB856" s="12">
        <v>0.34305555555555556</v>
      </c>
      <c r="AC856" t="s">
        <v>720</v>
      </c>
      <c r="AD856" t="s">
        <v>720</v>
      </c>
      <c r="AE856" t="s">
        <v>720</v>
      </c>
    </row>
    <row r="857" spans="1:31">
      <c r="A857" t="s">
        <v>1343</v>
      </c>
      <c r="B857" t="s">
        <v>2946</v>
      </c>
      <c r="C857">
        <v>244</v>
      </c>
      <c r="D857" t="s">
        <v>4914</v>
      </c>
      <c r="E857" s="11">
        <v>46030</v>
      </c>
      <c r="F857" t="s">
        <v>4915</v>
      </c>
      <c r="G857" t="s">
        <v>45</v>
      </c>
      <c r="J857" t="s">
        <v>720</v>
      </c>
      <c r="K857" t="s">
        <v>4916</v>
      </c>
      <c r="L857" t="s">
        <v>61</v>
      </c>
      <c r="M857" t="s">
        <v>583</v>
      </c>
      <c r="N857" t="s">
        <v>4917</v>
      </c>
      <c r="O857" t="s">
        <v>4918</v>
      </c>
      <c r="P857" s="46" t="str" cm="1">
        <f t="array" aca="1" ref="P857" ca="1">IFERROR(_xlfn.XLOOKUP(tblPedidos[[#This Row],[id_dropi]],tblNotas[[#This Row],[id__dropi]],tblNotas[[#This Row],[Notas Manuales]], “”, 0),"")</f>
        <v/>
      </c>
      <c r="Q857" t="s">
        <v>148</v>
      </c>
      <c r="R857" t="s">
        <v>3014</v>
      </c>
      <c r="S857">
        <v>22829.5</v>
      </c>
      <c r="T857">
        <v>-17670.5</v>
      </c>
      <c r="U857" cm="1">
        <f t="array" ref="U857">IFERROR(_xlfn.IFS(tblPedidos[[#This Row],[estado_operativo]]="ENTREGADO",tblPedidos[[#This Row],[ganancia_calc]],tblPedidos[[#This Row],[estado_operativo]]="DEVOLUCION",tblPedidos[[#This Row],[costo_devolucion_estimado]]),0)</f>
        <v>22829.5</v>
      </c>
      <c r="V857">
        <v>136977</v>
      </c>
      <c r="W857">
        <v>54900</v>
      </c>
      <c r="X857">
        <v>17670.5</v>
      </c>
      <c r="Y857">
        <v>14400</v>
      </c>
      <c r="Z857" s="11">
        <v>46035</v>
      </c>
      <c r="AA857">
        <v>9</v>
      </c>
      <c r="AB857" s="12">
        <v>0.83888888888888891</v>
      </c>
      <c r="AC857" t="s">
        <v>720</v>
      </c>
      <c r="AD857" t="s">
        <v>720</v>
      </c>
      <c r="AE857" t="s">
        <v>720</v>
      </c>
    </row>
    <row r="858" spans="1:31">
      <c r="A858" t="s">
        <v>1343</v>
      </c>
      <c r="C858">
        <v>245</v>
      </c>
      <c r="D858" t="s">
        <v>4919</v>
      </c>
      <c r="E858" s="11">
        <v>46030</v>
      </c>
      <c r="F858" t="s">
        <v>4920</v>
      </c>
      <c r="G858" t="s">
        <v>45</v>
      </c>
      <c r="J858" t="s">
        <v>1657</v>
      </c>
      <c r="K858" t="s">
        <v>4921</v>
      </c>
      <c r="L858" t="s">
        <v>87</v>
      </c>
      <c r="M858" t="s">
        <v>4922</v>
      </c>
      <c r="N858" t="s">
        <v>4923</v>
      </c>
      <c r="O858" t="s">
        <v>4924</v>
      </c>
      <c r="P858" s="46" t="str" cm="1">
        <f t="array" aca="1" ref="P858" ca="1">IFERROR(_xlfn.XLOOKUP(tblPedidos[[#This Row],[id_dropi]],tblNotas[[#This Row],[id__dropi]],tblNotas[[#This Row],[Notas Manuales]], “”, 0),"")</f>
        <v/>
      </c>
      <c r="Q858" t="s">
        <v>4925</v>
      </c>
      <c r="R858" t="s">
        <v>3200</v>
      </c>
      <c r="S858">
        <v>27529.5</v>
      </c>
      <c r="T858">
        <v>-18570.5</v>
      </c>
      <c r="U858" cm="1">
        <f t="array" ref="U858">IFERROR(_xlfn.IFS(tblPedidos[[#This Row],[estado_operativo]]="ENTREGADO",tblPedidos[[#This Row],[ganancia_calc]],tblPedidos[[#This Row],[estado_operativo]]="DEVOLUCION",tblPedidos[[#This Row],[costo_devolucion_estimado]]),0)</f>
        <v>-18570.5</v>
      </c>
      <c r="V858">
        <v>-55711.5</v>
      </c>
      <c r="W858">
        <v>74900</v>
      </c>
      <c r="X858">
        <v>18570.5</v>
      </c>
      <c r="Y858">
        <v>28800</v>
      </c>
      <c r="Z858" s="11">
        <v>46041</v>
      </c>
      <c r="AA858">
        <v>3</v>
      </c>
      <c r="AB858" s="12">
        <v>0.73750000000000004</v>
      </c>
      <c r="AC858" t="s">
        <v>1657</v>
      </c>
      <c r="AD858" t="s">
        <v>1657</v>
      </c>
      <c r="AE858" t="s">
        <v>1657</v>
      </c>
    </row>
    <row r="859" spans="1:31">
      <c r="A859" t="s">
        <v>1343</v>
      </c>
      <c r="B859" t="s">
        <v>2946</v>
      </c>
      <c r="C859">
        <v>226</v>
      </c>
      <c r="D859" t="s">
        <v>4926</v>
      </c>
      <c r="E859" s="11">
        <v>46030</v>
      </c>
      <c r="F859" t="s">
        <v>4927</v>
      </c>
      <c r="G859" t="s">
        <v>45</v>
      </c>
      <c r="J859" t="s">
        <v>1657</v>
      </c>
      <c r="K859" t="s">
        <v>4928</v>
      </c>
      <c r="L859" t="s">
        <v>46</v>
      </c>
      <c r="M859" t="s">
        <v>100</v>
      </c>
      <c r="N859" t="s">
        <v>4929</v>
      </c>
      <c r="O859" t="s">
        <v>4930</v>
      </c>
      <c r="P859" s="46" t="str" cm="1">
        <f t="array" aca="1" ref="P859" ca="1">IFERROR(_xlfn.XLOOKUP(tblPedidos[[#This Row],[id_dropi]],tblNotas[[#This Row],[id__dropi]],tblNotas[[#This Row],[Notas Manuales]], “”, 0),"")</f>
        <v/>
      </c>
      <c r="Q859" t="s">
        <v>50</v>
      </c>
      <c r="R859" t="s">
        <v>3014</v>
      </c>
      <c r="S859">
        <v>28779.5</v>
      </c>
      <c r="T859">
        <v>-11720.5</v>
      </c>
      <c r="U859" cm="1">
        <f t="array" ref="U859">IFERROR(_xlfn.IFS(tblPedidos[[#This Row],[estado_operativo]]="ENTREGADO",tblPedidos[[#This Row],[ganancia_calc]],tblPedidos[[#This Row],[estado_operativo]]="DEVOLUCION",tblPedidos[[#This Row],[costo_devolucion_estimado]]),0)</f>
        <v>-11720.5</v>
      </c>
      <c r="V859">
        <v>-70323</v>
      </c>
      <c r="W859">
        <v>54900</v>
      </c>
      <c r="X859">
        <v>11720.5</v>
      </c>
      <c r="Y859">
        <v>14400</v>
      </c>
      <c r="Z859" s="11">
        <v>46035</v>
      </c>
      <c r="AA859">
        <v>9</v>
      </c>
      <c r="AB859" s="12">
        <v>0.75555555555555554</v>
      </c>
      <c r="AC859" t="s">
        <v>1657</v>
      </c>
      <c r="AD859" t="s">
        <v>1657</v>
      </c>
      <c r="AE859" t="s">
        <v>1657</v>
      </c>
    </row>
    <row r="860" spans="1:31">
      <c r="A860" t="s">
        <v>1343</v>
      </c>
      <c r="B860" t="s">
        <v>2946</v>
      </c>
      <c r="C860">
        <v>227</v>
      </c>
      <c r="D860" t="s">
        <v>4931</v>
      </c>
      <c r="E860" s="11">
        <v>46030</v>
      </c>
      <c r="F860" t="s">
        <v>4932</v>
      </c>
      <c r="G860" t="s">
        <v>45</v>
      </c>
      <c r="J860" t="s">
        <v>720</v>
      </c>
      <c r="K860" t="s">
        <v>4933</v>
      </c>
      <c r="L860" t="s">
        <v>46</v>
      </c>
      <c r="M860" t="s">
        <v>100</v>
      </c>
      <c r="N860" t="s">
        <v>4934</v>
      </c>
      <c r="O860" t="s">
        <v>4935</v>
      </c>
      <c r="P860" s="46" t="str" cm="1">
        <f t="array" aca="1" ref="P860" ca="1">IFERROR(_xlfn.XLOOKUP(tblPedidos[[#This Row],[id_dropi]],tblNotas[[#This Row],[id__dropi]],tblNotas[[#This Row],[Notas Manuales]], “”, 0),"")</f>
        <v/>
      </c>
      <c r="R860" t="s">
        <v>3008</v>
      </c>
      <c r="S860">
        <v>32729.5</v>
      </c>
      <c r="T860">
        <v>-12170.5</v>
      </c>
      <c r="U860" cm="1">
        <f t="array" ref="U860">IFERROR(_xlfn.IFS(tblPedidos[[#This Row],[estado_operativo]]="ENTREGADO",tblPedidos[[#This Row],[ganancia_calc]],tblPedidos[[#This Row],[estado_operativo]]="DEVOLUCION",tblPedidos[[#This Row],[costo_devolucion_estimado]]),0)</f>
        <v>32729.5</v>
      </c>
      <c r="V860">
        <v>196377</v>
      </c>
      <c r="W860">
        <v>64900</v>
      </c>
      <c r="X860">
        <v>12170.5</v>
      </c>
      <c r="Y860">
        <v>20000</v>
      </c>
      <c r="Z860" s="11">
        <v>46032</v>
      </c>
      <c r="AA860">
        <v>12</v>
      </c>
      <c r="AB860" s="12">
        <v>0.60555555555555551</v>
      </c>
      <c r="AC860" t="s">
        <v>720</v>
      </c>
      <c r="AD860" t="s">
        <v>720</v>
      </c>
      <c r="AE860" t="s">
        <v>720</v>
      </c>
    </row>
    <row r="861" spans="1:31">
      <c r="A861" t="s">
        <v>1343</v>
      </c>
      <c r="B861" t="s">
        <v>2946</v>
      </c>
      <c r="C861">
        <v>228</v>
      </c>
      <c r="D861" t="s">
        <v>4936</v>
      </c>
      <c r="E861" s="11">
        <v>46030</v>
      </c>
      <c r="F861" t="s">
        <v>4937</v>
      </c>
      <c r="G861" t="s">
        <v>45</v>
      </c>
      <c r="J861" t="s">
        <v>1657</v>
      </c>
      <c r="K861" t="s">
        <v>4938</v>
      </c>
      <c r="L861" t="s">
        <v>545</v>
      </c>
      <c r="M861" t="s">
        <v>546</v>
      </c>
      <c r="N861" t="s">
        <v>4939</v>
      </c>
      <c r="O861" t="s">
        <v>4940</v>
      </c>
      <c r="P861" s="46" t="str" cm="1">
        <f t="array" aca="1" ref="P861" ca="1">IFERROR(_xlfn.XLOOKUP(tblPedidos[[#This Row],[id_dropi]],tblNotas[[#This Row],[id__dropi]],tblNotas[[#This Row],[Notas Manuales]], “”, 0),"")</f>
        <v/>
      </c>
      <c r="R861" t="s">
        <v>3008</v>
      </c>
      <c r="S861">
        <v>26779.5</v>
      </c>
      <c r="T861">
        <v>-18120.5</v>
      </c>
      <c r="U861" cm="1">
        <f t="array" ref="U861">IFERROR(_xlfn.IFS(tblPedidos[[#This Row],[estado_operativo]]="ENTREGADO",tblPedidos[[#This Row],[ganancia_calc]],tblPedidos[[#This Row],[estado_operativo]]="DEVOLUCION",tblPedidos[[#This Row],[costo_devolucion_estimado]]),0)</f>
        <v>-18120.5</v>
      </c>
      <c r="V861">
        <v>-108723</v>
      </c>
      <c r="W861">
        <v>64900</v>
      </c>
      <c r="X861">
        <v>18120.5</v>
      </c>
      <c r="Y861">
        <v>20000</v>
      </c>
      <c r="Z861" s="11">
        <v>46036</v>
      </c>
      <c r="AA861">
        <v>8</v>
      </c>
      <c r="AB861" s="12">
        <v>0.61319444444444449</v>
      </c>
      <c r="AC861" t="s">
        <v>1657</v>
      </c>
      <c r="AD861" t="s">
        <v>1657</v>
      </c>
      <c r="AE861" t="s">
        <v>1657</v>
      </c>
    </row>
    <row r="862" spans="1:31">
      <c r="A862" t="s">
        <v>1343</v>
      </c>
      <c r="B862" t="s">
        <v>2946</v>
      </c>
      <c r="C862">
        <v>225</v>
      </c>
      <c r="D862" t="s">
        <v>4941</v>
      </c>
      <c r="E862" s="11">
        <v>46030</v>
      </c>
      <c r="F862" t="s">
        <v>4942</v>
      </c>
      <c r="G862" t="s">
        <v>45</v>
      </c>
      <c r="J862" t="s">
        <v>720</v>
      </c>
      <c r="K862" t="s">
        <v>4943</v>
      </c>
      <c r="L862" t="s">
        <v>166</v>
      </c>
      <c r="M862" t="s">
        <v>468</v>
      </c>
      <c r="N862" t="s">
        <v>4944</v>
      </c>
      <c r="O862" t="s">
        <v>4945</v>
      </c>
      <c r="P862" s="46" t="str" cm="1">
        <f t="array" aca="1" ref="P862" ca="1">IFERROR(_xlfn.XLOOKUP(tblPedidos[[#This Row],[id_dropi]],tblNotas[[#This Row],[id__dropi]],tblNotas[[#This Row],[Notas Manuales]], “”, 0),"")</f>
        <v/>
      </c>
      <c r="R862" t="s">
        <v>3200</v>
      </c>
      <c r="S862">
        <v>27529.5</v>
      </c>
      <c r="T862">
        <v>-18570.5</v>
      </c>
      <c r="U862" cm="1">
        <f t="array" ref="U862">IFERROR(_xlfn.IFS(tblPedidos[[#This Row],[estado_operativo]]="ENTREGADO",tblPedidos[[#This Row],[ganancia_calc]],tblPedidos[[#This Row],[estado_operativo]]="DEVOLUCION",tblPedidos[[#This Row],[costo_devolucion_estimado]]),0)</f>
        <v>27529.5</v>
      </c>
      <c r="V862">
        <v>165177</v>
      </c>
      <c r="W862">
        <v>74900</v>
      </c>
      <c r="X862">
        <v>18570.5</v>
      </c>
      <c r="Y862">
        <v>28800</v>
      </c>
      <c r="Z862" s="11">
        <v>46032</v>
      </c>
      <c r="AA862">
        <v>12</v>
      </c>
      <c r="AB862" s="12">
        <v>0.75763888888888886</v>
      </c>
      <c r="AC862" t="s">
        <v>720</v>
      </c>
      <c r="AD862" t="s">
        <v>720</v>
      </c>
      <c r="AE862" t="s">
        <v>720</v>
      </c>
    </row>
    <row r="863" spans="1:31">
      <c r="A863" t="s">
        <v>33</v>
      </c>
      <c r="C863">
        <v>222</v>
      </c>
      <c r="D863" t="s">
        <v>4946</v>
      </c>
      <c r="E863" s="11">
        <v>46030</v>
      </c>
      <c r="F863" t="s">
        <v>4947</v>
      </c>
      <c r="G863" t="s">
        <v>45</v>
      </c>
      <c r="J863" t="s">
        <v>1090</v>
      </c>
      <c r="L863" t="s">
        <v>38</v>
      </c>
      <c r="M863" t="s">
        <v>812</v>
      </c>
      <c r="N863" t="s">
        <v>4948</v>
      </c>
      <c r="O863" t="s">
        <v>4949</v>
      </c>
      <c r="P863" s="46" t="str" cm="1">
        <f t="array" aca="1" ref="P863" ca="1">IFERROR(_xlfn.XLOOKUP(tblPedidos[[#This Row],[id_dropi]],tblNotas[[#This Row],[id__dropi]],tblNotas[[#This Row],[Notas Manuales]], “”, 0),"")</f>
        <v/>
      </c>
      <c r="Q863" t="s">
        <v>50</v>
      </c>
      <c r="R863" t="s">
        <v>3014</v>
      </c>
      <c r="S863">
        <v>22829.5</v>
      </c>
      <c r="T863">
        <v>-17670.5</v>
      </c>
      <c r="U863" cm="1">
        <f t="array" ref="U863">IFERROR(_xlfn.IFS(tblPedidos[[#This Row],[estado_operativo]]="ENTREGADO",tblPedidos[[#This Row],[ganancia_calc]],tblPedidos[[#This Row],[estado_operativo]]="DEVOLUCION",tblPedidos[[#This Row],[costo_devolucion_estimado]]),0)</f>
        <v>0</v>
      </c>
      <c r="V863">
        <v>0</v>
      </c>
      <c r="W863">
        <v>54900</v>
      </c>
      <c r="X863">
        <v>17670.5</v>
      </c>
      <c r="Y863">
        <v>14400</v>
      </c>
      <c r="Z863" s="11">
        <v>46031</v>
      </c>
      <c r="AA863">
        <v>13</v>
      </c>
      <c r="AB863" s="12">
        <v>0.43680555555555556</v>
      </c>
      <c r="AC863" t="s">
        <v>1090</v>
      </c>
      <c r="AD863" t="s">
        <v>1090</v>
      </c>
      <c r="AE863" t="s">
        <v>1090</v>
      </c>
    </row>
    <row r="864" spans="1:31">
      <c r="A864" t="s">
        <v>1343</v>
      </c>
      <c r="B864" t="s">
        <v>2946</v>
      </c>
      <c r="C864">
        <v>223</v>
      </c>
      <c r="D864" t="s">
        <v>4950</v>
      </c>
      <c r="E864" s="11">
        <v>46030</v>
      </c>
      <c r="F864" t="s">
        <v>4951</v>
      </c>
      <c r="G864" t="s">
        <v>45</v>
      </c>
      <c r="J864" t="s">
        <v>720</v>
      </c>
      <c r="K864" t="s">
        <v>4952</v>
      </c>
      <c r="L864" t="s">
        <v>159</v>
      </c>
      <c r="M864" t="s">
        <v>4797</v>
      </c>
      <c r="N864" t="s">
        <v>4953</v>
      </c>
      <c r="O864" t="s">
        <v>4954</v>
      </c>
      <c r="P864" s="46" t="str" cm="1">
        <f t="array" aca="1" ref="P864" ca="1">IFERROR(_xlfn.XLOOKUP(tblPedidos[[#This Row],[id_dropi]],tblNotas[[#This Row],[id__dropi]],tblNotas[[#This Row],[Notas Manuales]], “”, 0),"")</f>
        <v/>
      </c>
      <c r="Q864" t="s">
        <v>50</v>
      </c>
      <c r="R864" t="s">
        <v>3014</v>
      </c>
      <c r="S864">
        <v>22829.5</v>
      </c>
      <c r="T864">
        <v>-17670.5</v>
      </c>
      <c r="U864" cm="1">
        <f t="array" ref="U864">IFERROR(_xlfn.IFS(tblPedidos[[#This Row],[estado_operativo]]="ENTREGADO",tblPedidos[[#This Row],[ganancia_calc]],tblPedidos[[#This Row],[estado_operativo]]="DEVOLUCION",tblPedidos[[#This Row],[costo_devolucion_estimado]]),0)</f>
        <v>22829.5</v>
      </c>
      <c r="V864">
        <v>136977</v>
      </c>
      <c r="W864">
        <v>54900</v>
      </c>
      <c r="X864">
        <v>17670.5</v>
      </c>
      <c r="Y864">
        <v>14400</v>
      </c>
      <c r="Z864" s="11">
        <v>46035</v>
      </c>
      <c r="AA864">
        <v>9</v>
      </c>
      <c r="AB864" s="12">
        <v>0.61250000000000004</v>
      </c>
      <c r="AC864" t="s">
        <v>720</v>
      </c>
      <c r="AD864" t="s">
        <v>720</v>
      </c>
      <c r="AE864" t="s">
        <v>720</v>
      </c>
    </row>
    <row r="865" spans="1:31">
      <c r="A865" t="s">
        <v>1343</v>
      </c>
      <c r="B865" t="s">
        <v>2946</v>
      </c>
      <c r="C865">
        <v>224</v>
      </c>
      <c r="D865" t="s">
        <v>4955</v>
      </c>
      <c r="E865" s="11">
        <v>46030</v>
      </c>
      <c r="F865" t="s">
        <v>4956</v>
      </c>
      <c r="G865" t="s">
        <v>45</v>
      </c>
      <c r="J865" t="s">
        <v>720</v>
      </c>
      <c r="K865" t="s">
        <v>4957</v>
      </c>
      <c r="L865" t="s">
        <v>46</v>
      </c>
      <c r="M865" t="s">
        <v>4958</v>
      </c>
      <c r="N865" t="s">
        <v>4959</v>
      </c>
      <c r="O865" t="s">
        <v>4960</v>
      </c>
      <c r="P865" s="46" t="str" cm="1">
        <f t="array" aca="1" ref="P865" ca="1">IFERROR(_xlfn.XLOOKUP(tblPedidos[[#This Row],[id_dropi]],tblNotas[[#This Row],[id__dropi]],tblNotas[[#This Row],[Notas Manuales]], “”, 0),"")</f>
        <v/>
      </c>
      <c r="Q865" t="s">
        <v>50</v>
      </c>
      <c r="R865" t="s">
        <v>3014</v>
      </c>
      <c r="S865">
        <v>27379.5</v>
      </c>
      <c r="T865">
        <v>-13120.5</v>
      </c>
      <c r="U865" cm="1">
        <f t="array" ref="U865">IFERROR(_xlfn.IFS(tblPedidos[[#This Row],[estado_operativo]]="ENTREGADO",tblPedidos[[#This Row],[ganancia_calc]],tblPedidos[[#This Row],[estado_operativo]]="DEVOLUCION",tblPedidos[[#This Row],[costo_devolucion_estimado]]),0)</f>
        <v>27379.5</v>
      </c>
      <c r="V865">
        <v>164277</v>
      </c>
      <c r="W865">
        <v>54900</v>
      </c>
      <c r="X865">
        <v>13120.5</v>
      </c>
      <c r="Y865">
        <v>14400</v>
      </c>
      <c r="Z865" s="11">
        <v>46035</v>
      </c>
      <c r="AA865">
        <v>9</v>
      </c>
      <c r="AB865" s="12">
        <v>0.67777777777777781</v>
      </c>
      <c r="AC865" t="s">
        <v>720</v>
      </c>
      <c r="AD865" t="s">
        <v>720</v>
      </c>
      <c r="AE865" t="s">
        <v>720</v>
      </c>
    </row>
    <row r="866" spans="1:31">
      <c r="A866" t="s">
        <v>1343</v>
      </c>
      <c r="B866" t="s">
        <v>2946</v>
      </c>
      <c r="C866">
        <v>233</v>
      </c>
      <c r="D866" t="s">
        <v>4961</v>
      </c>
      <c r="E866" s="11">
        <v>46030</v>
      </c>
      <c r="F866" t="s">
        <v>4962</v>
      </c>
      <c r="G866" t="s">
        <v>45</v>
      </c>
      <c r="J866" t="s">
        <v>720</v>
      </c>
      <c r="K866" t="s">
        <v>4963</v>
      </c>
      <c r="L866" t="s">
        <v>322</v>
      </c>
      <c r="M866" t="s">
        <v>4964</v>
      </c>
      <c r="N866" t="s">
        <v>4965</v>
      </c>
      <c r="O866" t="s">
        <v>4966</v>
      </c>
      <c r="P866" s="46" t="str" cm="1">
        <f t="array" aca="1" ref="P866" ca="1">IFERROR(_xlfn.XLOOKUP(tblPedidos[[#This Row],[id_dropi]],tblNotas[[#This Row],[id__dropi]],tblNotas[[#This Row],[Notas Manuales]], “”, 0),"")</f>
        <v/>
      </c>
      <c r="R866" t="s">
        <v>3200</v>
      </c>
      <c r="S866">
        <v>27529.5</v>
      </c>
      <c r="T866">
        <v>-18570.5</v>
      </c>
      <c r="U866" cm="1">
        <f t="array" ref="U866">IFERROR(_xlfn.IFS(tblPedidos[[#This Row],[estado_operativo]]="ENTREGADO",tblPedidos[[#This Row],[ganancia_calc]],tblPedidos[[#This Row],[estado_operativo]]="DEVOLUCION",tblPedidos[[#This Row],[costo_devolucion_estimado]]),0)</f>
        <v>27529.5</v>
      </c>
      <c r="V866">
        <v>165177</v>
      </c>
      <c r="W866">
        <v>74900</v>
      </c>
      <c r="X866">
        <v>18570.5</v>
      </c>
      <c r="Y866">
        <v>28800</v>
      </c>
      <c r="Z866" s="11">
        <v>46035</v>
      </c>
      <c r="AA866">
        <v>9</v>
      </c>
      <c r="AB866" s="12">
        <v>0.75555555555555554</v>
      </c>
      <c r="AC866" t="s">
        <v>720</v>
      </c>
      <c r="AD866" t="s">
        <v>720</v>
      </c>
      <c r="AE866" t="s">
        <v>720</v>
      </c>
    </row>
    <row r="867" spans="1:31">
      <c r="A867" t="s">
        <v>1343</v>
      </c>
      <c r="B867" t="s">
        <v>2946</v>
      </c>
      <c r="C867">
        <v>234</v>
      </c>
      <c r="D867" t="s">
        <v>4967</v>
      </c>
      <c r="E867" s="11">
        <v>46030</v>
      </c>
      <c r="F867" t="s">
        <v>4968</v>
      </c>
      <c r="G867" t="s">
        <v>45</v>
      </c>
      <c r="J867" t="s">
        <v>720</v>
      </c>
      <c r="K867" t="s">
        <v>4969</v>
      </c>
      <c r="L867" t="s">
        <v>159</v>
      </c>
      <c r="M867" t="s">
        <v>4797</v>
      </c>
      <c r="N867" t="s">
        <v>4970</v>
      </c>
      <c r="O867" t="s">
        <v>4971</v>
      </c>
      <c r="P867" s="46" t="str" cm="1">
        <f t="array" aca="1" ref="P867" ca="1">IFERROR(_xlfn.XLOOKUP(tblPedidos[[#This Row],[id_dropi]],tblNotas[[#This Row],[id__dropi]],tblNotas[[#This Row],[Notas Manuales]], “”, 0),"")</f>
        <v/>
      </c>
      <c r="Q867" t="s">
        <v>4972</v>
      </c>
      <c r="R867" t="s">
        <v>3014</v>
      </c>
      <c r="S867">
        <v>22829.5</v>
      </c>
      <c r="T867">
        <v>-17670.5</v>
      </c>
      <c r="U867" cm="1">
        <f t="array" ref="U867">IFERROR(_xlfn.IFS(tblPedidos[[#This Row],[estado_operativo]]="ENTREGADO",tblPedidos[[#This Row],[ganancia_calc]],tblPedidos[[#This Row],[estado_operativo]]="DEVOLUCION",tblPedidos[[#This Row],[costo_devolucion_estimado]]),0)</f>
        <v>22829.5</v>
      </c>
      <c r="V867">
        <v>136977</v>
      </c>
      <c r="W867">
        <v>54900</v>
      </c>
      <c r="X867">
        <v>17670.5</v>
      </c>
      <c r="Y867">
        <v>14400</v>
      </c>
      <c r="Z867" s="11">
        <v>46035</v>
      </c>
      <c r="AA867">
        <v>9</v>
      </c>
      <c r="AB867" s="12">
        <v>0.50972222222222219</v>
      </c>
      <c r="AC867" t="s">
        <v>720</v>
      </c>
      <c r="AD867" t="s">
        <v>720</v>
      </c>
      <c r="AE867" t="s">
        <v>720</v>
      </c>
    </row>
    <row r="868" spans="1:31">
      <c r="A868" t="s">
        <v>1343</v>
      </c>
      <c r="B868" t="s">
        <v>2946</v>
      </c>
      <c r="C868">
        <v>235</v>
      </c>
      <c r="D868" t="s">
        <v>4973</v>
      </c>
      <c r="E868" s="11">
        <v>46030</v>
      </c>
      <c r="F868" t="s">
        <v>4974</v>
      </c>
      <c r="G868" t="s">
        <v>45</v>
      </c>
      <c r="J868" t="s">
        <v>720</v>
      </c>
      <c r="K868" t="s">
        <v>4975</v>
      </c>
      <c r="L868" t="s">
        <v>590</v>
      </c>
      <c r="M868" t="s">
        <v>4976</v>
      </c>
      <c r="N868" t="s">
        <v>4977</v>
      </c>
      <c r="O868" t="s">
        <v>4978</v>
      </c>
      <c r="P868" s="46" t="str" cm="1">
        <f t="array" aca="1" ref="P868" ca="1">IFERROR(_xlfn.XLOOKUP(tblPedidos[[#This Row],[id_dropi]],tblNotas[[#This Row],[id__dropi]],tblNotas[[#This Row],[Notas Manuales]], “”, 0),"")</f>
        <v/>
      </c>
      <c r="Q868" t="s">
        <v>4979</v>
      </c>
      <c r="R868" t="s">
        <v>3200</v>
      </c>
      <c r="S868">
        <v>27529.5</v>
      </c>
      <c r="T868">
        <v>-18570.5</v>
      </c>
      <c r="U868" cm="1">
        <f t="array" ref="U868">IFERROR(_xlfn.IFS(tblPedidos[[#This Row],[estado_operativo]]="ENTREGADO",tblPedidos[[#This Row],[ganancia_calc]],tblPedidos[[#This Row],[estado_operativo]]="DEVOLUCION",tblPedidos[[#This Row],[costo_devolucion_estimado]]),0)</f>
        <v>27529.5</v>
      </c>
      <c r="V868">
        <v>165177</v>
      </c>
      <c r="W868">
        <v>74900</v>
      </c>
      <c r="X868">
        <v>18570.5</v>
      </c>
      <c r="Y868">
        <v>28800</v>
      </c>
      <c r="Z868" s="11">
        <v>46036</v>
      </c>
      <c r="AA868">
        <v>8</v>
      </c>
      <c r="AB868" s="12">
        <v>0.67708333333333337</v>
      </c>
      <c r="AC868" t="s">
        <v>720</v>
      </c>
      <c r="AD868" t="s">
        <v>720</v>
      </c>
      <c r="AE868" t="s">
        <v>720</v>
      </c>
    </row>
    <row r="869" spans="1:31">
      <c r="A869" t="s">
        <v>1343</v>
      </c>
      <c r="B869" t="s">
        <v>2946</v>
      </c>
      <c r="C869">
        <v>232</v>
      </c>
      <c r="D869" t="s">
        <v>4980</v>
      </c>
      <c r="E869" s="11">
        <v>46030</v>
      </c>
      <c r="F869" t="s">
        <v>4981</v>
      </c>
      <c r="G869" t="s">
        <v>45</v>
      </c>
      <c r="J869" t="s">
        <v>720</v>
      </c>
      <c r="K869" t="s">
        <v>4982</v>
      </c>
      <c r="L869" t="s">
        <v>166</v>
      </c>
      <c r="M869" t="s">
        <v>4983</v>
      </c>
      <c r="N869" t="s">
        <v>4984</v>
      </c>
      <c r="O869" t="s">
        <v>4985</v>
      </c>
      <c r="P869" s="46" t="str" cm="1">
        <f t="array" aca="1" ref="P869" ca="1">IFERROR(_xlfn.XLOOKUP(tblPedidos[[#This Row],[id_dropi]],tblNotas[[#This Row],[id__dropi]],tblNotas[[#This Row],[Notas Manuales]], “”, 0),"")</f>
        <v/>
      </c>
      <c r="R869" t="s">
        <v>3014</v>
      </c>
      <c r="S869">
        <v>22829.5</v>
      </c>
      <c r="T869">
        <v>-17670.5</v>
      </c>
      <c r="U869" cm="1">
        <f t="array" ref="U869">IFERROR(_xlfn.IFS(tblPedidos[[#This Row],[estado_operativo]]="ENTREGADO",tblPedidos[[#This Row],[ganancia_calc]],tblPedidos[[#This Row],[estado_operativo]]="DEVOLUCION",tblPedidos[[#This Row],[costo_devolucion_estimado]]),0)</f>
        <v>22829.5</v>
      </c>
      <c r="V869">
        <v>136977</v>
      </c>
      <c r="W869">
        <v>54900</v>
      </c>
      <c r="X869">
        <v>17670.5</v>
      </c>
      <c r="Y869">
        <v>14400</v>
      </c>
      <c r="Z869" s="11">
        <v>46032</v>
      </c>
      <c r="AA869">
        <v>12</v>
      </c>
      <c r="AB869" s="12">
        <v>0.75555555555555554</v>
      </c>
      <c r="AC869" t="s">
        <v>720</v>
      </c>
      <c r="AD869" t="s">
        <v>720</v>
      </c>
      <c r="AE869" t="s">
        <v>720</v>
      </c>
    </row>
    <row r="870" spans="1:31">
      <c r="A870" t="s">
        <v>1343</v>
      </c>
      <c r="B870" t="s">
        <v>2946</v>
      </c>
      <c r="C870">
        <v>229</v>
      </c>
      <c r="D870" t="s">
        <v>4986</v>
      </c>
      <c r="E870" s="11">
        <v>46030</v>
      </c>
      <c r="F870" t="s">
        <v>4987</v>
      </c>
      <c r="G870" t="s">
        <v>45</v>
      </c>
      <c r="J870" t="s">
        <v>720</v>
      </c>
      <c r="K870" t="s">
        <v>4988</v>
      </c>
      <c r="L870" t="s">
        <v>152</v>
      </c>
      <c r="M870" t="s">
        <v>153</v>
      </c>
      <c r="N870" t="s">
        <v>4989</v>
      </c>
      <c r="O870" t="s">
        <v>4990</v>
      </c>
      <c r="P870" s="46" t="str" cm="1">
        <f t="array" aca="1" ref="P870" ca="1">IFERROR(_xlfn.XLOOKUP(tblPedidos[[#This Row],[id_dropi]],tblNotas[[#This Row],[id__dropi]],tblNotas[[#This Row],[Notas Manuales]], “”, 0),"")</f>
        <v/>
      </c>
      <c r="Q870" t="s">
        <v>4991</v>
      </c>
      <c r="R870" t="s">
        <v>3014</v>
      </c>
      <c r="S870">
        <v>16801</v>
      </c>
      <c r="T870">
        <v>-18699</v>
      </c>
      <c r="U870" cm="1">
        <f t="array" ref="U870">IFERROR(_xlfn.IFS(tblPedidos[[#This Row],[estado_operativo]]="ENTREGADO",tblPedidos[[#This Row],[ganancia_calc]],tblPedidos[[#This Row],[estado_operativo]]="DEVOLUCION",tblPedidos[[#This Row],[costo_devolucion_estimado]]),0)</f>
        <v>16801</v>
      </c>
      <c r="V870">
        <v>100806</v>
      </c>
      <c r="W870">
        <v>49900</v>
      </c>
      <c r="X870">
        <v>18699</v>
      </c>
      <c r="Y870">
        <v>14400</v>
      </c>
      <c r="Z870" s="11">
        <v>46036</v>
      </c>
      <c r="AA870">
        <v>8</v>
      </c>
      <c r="AB870" s="12">
        <v>0.84166666666666667</v>
      </c>
      <c r="AC870" t="s">
        <v>720</v>
      </c>
      <c r="AD870" t="s">
        <v>720</v>
      </c>
      <c r="AE870" t="s">
        <v>720</v>
      </c>
    </row>
    <row r="871" spans="1:31">
      <c r="A871" t="s">
        <v>1343</v>
      </c>
      <c r="B871" t="s">
        <v>2946</v>
      </c>
      <c r="C871">
        <v>230</v>
      </c>
      <c r="D871" t="s">
        <v>4992</v>
      </c>
      <c r="E871" s="11">
        <v>46030</v>
      </c>
      <c r="F871" t="s">
        <v>4993</v>
      </c>
      <c r="G871" t="s">
        <v>45</v>
      </c>
      <c r="J871" t="s">
        <v>720</v>
      </c>
      <c r="K871" t="s">
        <v>4994</v>
      </c>
      <c r="L871" t="s">
        <v>152</v>
      </c>
      <c r="M871" t="s">
        <v>153</v>
      </c>
      <c r="N871" t="s">
        <v>4995</v>
      </c>
      <c r="O871" t="s">
        <v>4996</v>
      </c>
      <c r="P871" s="46" t="str" cm="1">
        <f t="array" aca="1" ref="P871" ca="1">IFERROR(_xlfn.XLOOKUP(tblPedidos[[#This Row],[id_dropi]],tblNotas[[#This Row],[id__dropi]],tblNotas[[#This Row],[Notas Manuales]], “”, 0),"")</f>
        <v/>
      </c>
      <c r="Q871" t="s">
        <v>4997</v>
      </c>
      <c r="R871" t="s">
        <v>3200</v>
      </c>
      <c r="S871">
        <v>27529.5</v>
      </c>
      <c r="T871">
        <v>-18570.5</v>
      </c>
      <c r="U871" cm="1">
        <f t="array" ref="U871">IFERROR(_xlfn.IFS(tblPedidos[[#This Row],[estado_operativo]]="ENTREGADO",tblPedidos[[#This Row],[ganancia_calc]],tblPedidos[[#This Row],[estado_operativo]]="DEVOLUCION",tblPedidos[[#This Row],[costo_devolucion_estimado]]),0)</f>
        <v>27529.5</v>
      </c>
      <c r="V871">
        <v>137647.5</v>
      </c>
      <c r="W871">
        <v>74900</v>
      </c>
      <c r="X871">
        <v>18570.5</v>
      </c>
      <c r="Y871">
        <v>28800</v>
      </c>
      <c r="Z871" s="11">
        <v>46039</v>
      </c>
      <c r="AA871">
        <v>5</v>
      </c>
      <c r="AB871" s="12">
        <v>0.61250000000000004</v>
      </c>
      <c r="AC871" t="s">
        <v>720</v>
      </c>
      <c r="AD871" t="s">
        <v>720</v>
      </c>
      <c r="AE871" t="s">
        <v>720</v>
      </c>
    </row>
    <row r="872" spans="1:31">
      <c r="A872" t="s">
        <v>1343</v>
      </c>
      <c r="B872" t="s">
        <v>2946</v>
      </c>
      <c r="C872">
        <v>231</v>
      </c>
      <c r="D872" t="s">
        <v>4998</v>
      </c>
      <c r="E872" s="11">
        <v>46030</v>
      </c>
      <c r="F872" t="s">
        <v>4999</v>
      </c>
      <c r="G872" t="s">
        <v>36</v>
      </c>
      <c r="J872" t="s">
        <v>720</v>
      </c>
      <c r="K872" t="s">
        <v>5000</v>
      </c>
      <c r="L872" t="s">
        <v>662</v>
      </c>
      <c r="M872" t="s">
        <v>1989</v>
      </c>
      <c r="N872" t="s">
        <v>5001</v>
      </c>
      <c r="O872" t="s">
        <v>5002</v>
      </c>
      <c r="P872" s="46" t="str" cm="1">
        <f t="array" aca="1" ref="P872" ca="1">IFERROR(_xlfn.XLOOKUP(tblPedidos[[#This Row],[id_dropi]],tblNotas[[#This Row],[id__dropi]],tblNotas[[#This Row],[Notas Manuales]], “”, 0),"")</f>
        <v/>
      </c>
      <c r="R872" t="s">
        <v>3014</v>
      </c>
      <c r="S872">
        <v>25511.5</v>
      </c>
      <c r="T872">
        <v>-11990.800000000001</v>
      </c>
      <c r="U872" cm="1">
        <f t="array" ref="U872">IFERROR(_xlfn.IFS(tblPedidos[[#This Row],[estado_operativo]]="ENTREGADO",tblPedidos[[#This Row],[ganancia_calc]],tblPedidos[[#This Row],[estado_operativo]]="DEVOLUCION",tblPedidos[[#This Row],[costo_devolucion_estimado]]),0)</f>
        <v>25511.5</v>
      </c>
      <c r="V872">
        <v>127557.5</v>
      </c>
      <c r="W872">
        <v>54900</v>
      </c>
      <c r="X872">
        <v>14988.5</v>
      </c>
      <c r="Y872">
        <v>14400</v>
      </c>
      <c r="Z872" s="11">
        <v>46031</v>
      </c>
      <c r="AA872">
        <v>13</v>
      </c>
      <c r="AB872" s="12">
        <v>0.75694444444444442</v>
      </c>
      <c r="AC872" t="s">
        <v>399</v>
      </c>
      <c r="AD872" t="s">
        <v>720</v>
      </c>
      <c r="AE872" t="s">
        <v>720</v>
      </c>
    </row>
    <row r="873" spans="1:31">
      <c r="A873" t="s">
        <v>33</v>
      </c>
      <c r="C873">
        <v>165</v>
      </c>
      <c r="D873" t="s">
        <v>5003</v>
      </c>
      <c r="E873" s="11">
        <v>46029</v>
      </c>
      <c r="F873" t="s">
        <v>5004</v>
      </c>
      <c r="G873" t="s">
        <v>45</v>
      </c>
      <c r="J873" t="s">
        <v>1371</v>
      </c>
      <c r="K873" t="s">
        <v>5005</v>
      </c>
      <c r="L873" t="s">
        <v>54</v>
      </c>
      <c r="M873" t="s">
        <v>5006</v>
      </c>
      <c r="N873" t="s">
        <v>5007</v>
      </c>
      <c r="O873" t="s">
        <v>5008</v>
      </c>
      <c r="P873" s="46" t="str" cm="1">
        <f t="array" aca="1" ref="P873" ca="1">IFERROR(_xlfn.XLOOKUP(tblPedidos[[#This Row],[id_dropi]],tblNotas[[#This Row],[id__dropi]],tblNotas[[#This Row],[Notas Manuales]], “”, 0),"")</f>
        <v/>
      </c>
      <c r="Q873" t="s">
        <v>50</v>
      </c>
      <c r="R873" t="s">
        <v>3060</v>
      </c>
      <c r="S873">
        <v>21329.5</v>
      </c>
      <c r="T873">
        <v>-18570.5</v>
      </c>
      <c r="U873" cm="1">
        <f t="array" ref="U873">IFERROR(_xlfn.IFS(tblPedidos[[#This Row],[estado_operativo]]="ENTREGADO",tblPedidos[[#This Row],[ganancia_calc]],tblPedidos[[#This Row],[estado_operativo]]="DEVOLUCION",tblPedidos[[#This Row],[costo_devolucion_estimado]]),0)</f>
        <v>0</v>
      </c>
      <c r="V873">
        <v>0</v>
      </c>
      <c r="W873">
        <v>74900</v>
      </c>
      <c r="X873">
        <v>18570.5</v>
      </c>
      <c r="Y873">
        <v>35000</v>
      </c>
      <c r="Z873" s="11">
        <v>46043</v>
      </c>
      <c r="AA873">
        <v>1</v>
      </c>
      <c r="AB873" s="12">
        <v>0.43680555555555556</v>
      </c>
      <c r="AC873" t="s">
        <v>982</v>
      </c>
      <c r="AD873" t="s">
        <v>982</v>
      </c>
      <c r="AE873" t="s">
        <v>1371</v>
      </c>
    </row>
    <row r="874" spans="1:31">
      <c r="A874" t="s">
        <v>1343</v>
      </c>
      <c r="B874" t="s">
        <v>2946</v>
      </c>
      <c r="C874">
        <v>166</v>
      </c>
      <c r="D874" t="s">
        <v>5009</v>
      </c>
      <c r="E874" s="11">
        <v>46029</v>
      </c>
      <c r="F874" t="s">
        <v>5010</v>
      </c>
      <c r="G874" t="s">
        <v>45</v>
      </c>
      <c r="J874" t="s">
        <v>720</v>
      </c>
      <c r="K874" t="s">
        <v>5011</v>
      </c>
      <c r="L874" t="s">
        <v>590</v>
      </c>
      <c r="M874" t="s">
        <v>5012</v>
      </c>
      <c r="N874" t="s">
        <v>5013</v>
      </c>
      <c r="O874" t="s">
        <v>5014</v>
      </c>
      <c r="P874" s="46" t="str" cm="1">
        <f t="array" aca="1" ref="P874" ca="1">IFERROR(_xlfn.XLOOKUP(tblPedidos[[#This Row],[id_dropi]],tblNotas[[#This Row],[id__dropi]],tblNotas[[#This Row],[Notas Manuales]], “”, 0),"")</f>
        <v/>
      </c>
      <c r="Q874" t="s">
        <v>50</v>
      </c>
      <c r="R874" t="s">
        <v>3014</v>
      </c>
      <c r="S874">
        <v>22829.5</v>
      </c>
      <c r="T874">
        <v>-17670.5</v>
      </c>
      <c r="U874" cm="1">
        <f t="array" ref="U874">IFERROR(_xlfn.IFS(tblPedidos[[#This Row],[estado_operativo]]="ENTREGADO",tblPedidos[[#This Row],[ganancia_calc]],tblPedidos[[#This Row],[estado_operativo]]="DEVOLUCION",tblPedidos[[#This Row],[costo_devolucion_estimado]]),0)</f>
        <v>22829.5</v>
      </c>
      <c r="V874">
        <v>136977</v>
      </c>
      <c r="W874">
        <v>54900</v>
      </c>
      <c r="X874">
        <v>17670.5</v>
      </c>
      <c r="Y874">
        <v>14400</v>
      </c>
      <c r="Z874" s="11">
        <v>46036</v>
      </c>
      <c r="AA874">
        <v>8</v>
      </c>
      <c r="AB874" s="12">
        <v>0.50972222222222219</v>
      </c>
      <c r="AC874" t="s">
        <v>720</v>
      </c>
      <c r="AD874" t="s">
        <v>720</v>
      </c>
      <c r="AE874" t="s">
        <v>720</v>
      </c>
    </row>
    <row r="875" spans="1:31">
      <c r="A875" t="s">
        <v>1343</v>
      </c>
      <c r="B875" t="s">
        <v>2946</v>
      </c>
      <c r="C875">
        <v>164</v>
      </c>
      <c r="D875" t="s">
        <v>5015</v>
      </c>
      <c r="E875" s="11">
        <v>46029</v>
      </c>
      <c r="F875" t="s">
        <v>5016</v>
      </c>
      <c r="G875" t="s">
        <v>45</v>
      </c>
      <c r="J875" t="s">
        <v>720</v>
      </c>
      <c r="K875" t="s">
        <v>5017</v>
      </c>
      <c r="L875" t="s">
        <v>46</v>
      </c>
      <c r="M875" t="s">
        <v>47</v>
      </c>
      <c r="N875" t="s">
        <v>5018</v>
      </c>
      <c r="O875" t="s">
        <v>5019</v>
      </c>
      <c r="P875" s="46" t="str" cm="1">
        <f t="array" aca="1" ref="P875" ca="1">IFERROR(_xlfn.XLOOKUP(tblPedidos[[#This Row],[id_dropi]],tblNotas[[#This Row],[id__dropi]],tblNotas[[#This Row],[Notas Manuales]], “”, 0),"")</f>
        <v/>
      </c>
      <c r="Q875" t="s">
        <v>50</v>
      </c>
      <c r="R875" t="s">
        <v>3137</v>
      </c>
      <c r="S875">
        <v>22054.5</v>
      </c>
      <c r="T875">
        <v>-17895.5</v>
      </c>
      <c r="U875" cm="1">
        <f t="array" ref="U875">IFERROR(_xlfn.IFS(tblPedidos[[#This Row],[estado_operativo]]="ENTREGADO",tblPedidos[[#This Row],[ganancia_calc]],tblPedidos[[#This Row],[estado_operativo]]="DEVOLUCION",tblPedidos[[#This Row],[costo_devolucion_estimado]]),0)</f>
        <v>22054.5</v>
      </c>
      <c r="V875">
        <v>132327</v>
      </c>
      <c r="W875">
        <v>59900</v>
      </c>
      <c r="X875">
        <v>17895.5</v>
      </c>
      <c r="Y875">
        <v>19950</v>
      </c>
      <c r="Z875" s="11">
        <v>46035</v>
      </c>
      <c r="AA875">
        <v>9</v>
      </c>
      <c r="AB875" s="12">
        <v>0.77083333333333337</v>
      </c>
      <c r="AC875" t="s">
        <v>720</v>
      </c>
      <c r="AD875" t="s">
        <v>720</v>
      </c>
      <c r="AE875" t="s">
        <v>720</v>
      </c>
    </row>
    <row r="876" spans="1:31">
      <c r="A876" t="s">
        <v>1343</v>
      </c>
      <c r="B876" t="s">
        <v>2946</v>
      </c>
      <c r="C876">
        <v>162</v>
      </c>
      <c r="D876" t="s">
        <v>5020</v>
      </c>
      <c r="E876" s="11">
        <v>46029</v>
      </c>
      <c r="F876" t="s">
        <v>5021</v>
      </c>
      <c r="G876" t="s">
        <v>36</v>
      </c>
      <c r="J876" t="s">
        <v>720</v>
      </c>
      <c r="K876" t="s">
        <v>5022</v>
      </c>
      <c r="L876" t="s">
        <v>81</v>
      </c>
      <c r="M876" t="s">
        <v>3134</v>
      </c>
      <c r="N876" t="s">
        <v>5023</v>
      </c>
      <c r="O876" t="s">
        <v>5024</v>
      </c>
      <c r="P876" s="46" t="str" cm="1">
        <f t="array" aca="1" ref="P876" ca="1">IFERROR(_xlfn.XLOOKUP(tblPedidos[[#This Row],[id_dropi]],tblNotas[[#This Row],[id__dropi]],tblNotas[[#This Row],[Notas Manuales]], “”, 0),"")</f>
        <v/>
      </c>
      <c r="R876" t="s">
        <v>2983</v>
      </c>
      <c r="S876">
        <v>32946.5</v>
      </c>
      <c r="T876">
        <v>-10802.800000000001</v>
      </c>
      <c r="U876" cm="1">
        <f t="array" ref="U876">IFERROR(_xlfn.IFS(tblPedidos[[#This Row],[estado_operativo]]="ENTREGADO",tblPedidos[[#This Row],[ganancia_calc]],tblPedidos[[#This Row],[estado_operativo]]="DEVOLUCION",tblPedidos[[#This Row],[costo_devolucion_estimado]]),0)</f>
        <v>32946.5</v>
      </c>
      <c r="V876">
        <v>164732.5</v>
      </c>
      <c r="W876">
        <v>69900</v>
      </c>
      <c r="X876">
        <v>13503.5</v>
      </c>
      <c r="Y876">
        <v>23450</v>
      </c>
      <c r="Z876" s="11">
        <v>46030</v>
      </c>
      <c r="AA876">
        <v>14</v>
      </c>
      <c r="AB876" s="12">
        <v>0.87430555555555556</v>
      </c>
      <c r="AC876" t="s">
        <v>399</v>
      </c>
      <c r="AD876" t="s">
        <v>720</v>
      </c>
      <c r="AE876" t="s">
        <v>720</v>
      </c>
    </row>
    <row r="877" spans="1:31">
      <c r="A877" t="s">
        <v>1343</v>
      </c>
      <c r="B877" t="s">
        <v>2946</v>
      </c>
      <c r="C877">
        <v>163</v>
      </c>
      <c r="D877" t="s">
        <v>5025</v>
      </c>
      <c r="E877" s="11">
        <v>46029</v>
      </c>
      <c r="F877" t="s">
        <v>5026</v>
      </c>
      <c r="G877" t="s">
        <v>45</v>
      </c>
      <c r="J877" t="s">
        <v>720</v>
      </c>
      <c r="K877" t="s">
        <v>5027</v>
      </c>
      <c r="L877" t="s">
        <v>545</v>
      </c>
      <c r="M877" t="s">
        <v>5028</v>
      </c>
      <c r="N877" t="s">
        <v>5029</v>
      </c>
      <c r="O877" t="s">
        <v>5030</v>
      </c>
      <c r="P877" s="46" t="str" cm="1">
        <f t="array" aca="1" ref="P877" ca="1">IFERROR(_xlfn.XLOOKUP(tblPedidos[[#This Row],[id_dropi]],tblNotas[[#This Row],[id__dropi]],tblNotas[[#This Row],[Notas Manuales]], “”, 0),"")</f>
        <v/>
      </c>
      <c r="Q877" t="s">
        <v>5031</v>
      </c>
      <c r="R877" t="s">
        <v>3054</v>
      </c>
      <c r="S877">
        <v>14004.5</v>
      </c>
      <c r="T877">
        <v>-17895.5</v>
      </c>
      <c r="U877" cm="1">
        <f t="array" ref="U877">IFERROR(_xlfn.IFS(tblPedidos[[#This Row],[estado_operativo]]="ENTREGADO",tblPedidos[[#This Row],[ganancia_calc]],tblPedidos[[#This Row],[estado_operativo]]="DEVOLUCION",tblPedidos[[#This Row],[costo_devolucion_estimado]]),0)</f>
        <v>14004.5</v>
      </c>
      <c r="V877">
        <v>84027</v>
      </c>
      <c r="W877">
        <v>59900</v>
      </c>
      <c r="X877">
        <v>17895.5</v>
      </c>
      <c r="Y877">
        <v>28000</v>
      </c>
      <c r="Z877" s="11">
        <v>46036</v>
      </c>
      <c r="AA877">
        <v>8</v>
      </c>
      <c r="AB877" s="12">
        <v>0.5131944444444444</v>
      </c>
      <c r="AC877" t="s">
        <v>720</v>
      </c>
      <c r="AD877" t="s">
        <v>720</v>
      </c>
      <c r="AE877" t="s">
        <v>720</v>
      </c>
    </row>
    <row r="878" spans="1:31">
      <c r="A878" t="s">
        <v>1343</v>
      </c>
      <c r="B878" t="s">
        <v>2946</v>
      </c>
      <c r="C878">
        <v>170</v>
      </c>
      <c r="D878" t="s">
        <v>5032</v>
      </c>
      <c r="E878" s="11">
        <v>46029</v>
      </c>
      <c r="F878" t="s">
        <v>5033</v>
      </c>
      <c r="G878" t="s">
        <v>45</v>
      </c>
      <c r="J878" t="s">
        <v>720</v>
      </c>
      <c r="K878" t="s">
        <v>5034</v>
      </c>
      <c r="L878" t="s">
        <v>545</v>
      </c>
      <c r="M878" t="s">
        <v>1255</v>
      </c>
      <c r="N878" t="s">
        <v>5035</v>
      </c>
      <c r="O878" t="s">
        <v>5036</v>
      </c>
      <c r="P878" s="46" t="str" cm="1">
        <f t="array" aca="1" ref="P878" ca="1">IFERROR(_xlfn.XLOOKUP(tblPedidos[[#This Row],[id_dropi]],tblNotas[[#This Row],[id__dropi]],tblNotas[[#This Row],[Notas Manuales]], “”, 0),"")</f>
        <v/>
      </c>
      <c r="R878" t="s">
        <v>3213</v>
      </c>
      <c r="S878">
        <v>17004.5</v>
      </c>
      <c r="T878">
        <v>-17895.5</v>
      </c>
      <c r="U878" cm="1">
        <f t="array" ref="U878">IFERROR(_xlfn.IFS(tblPedidos[[#This Row],[estado_operativo]]="ENTREGADO",tblPedidos[[#This Row],[ganancia_calc]],tblPedidos[[#This Row],[estado_operativo]]="DEVOLUCION",tblPedidos[[#This Row],[costo_devolucion_estimado]]),0)</f>
        <v>17004.5</v>
      </c>
      <c r="V878">
        <v>102027</v>
      </c>
      <c r="W878">
        <v>59900</v>
      </c>
      <c r="X878">
        <v>17895.5</v>
      </c>
      <c r="Y878">
        <v>25000</v>
      </c>
      <c r="Z878" s="11">
        <v>46035</v>
      </c>
      <c r="AA878">
        <v>9</v>
      </c>
      <c r="AB878" s="12">
        <v>0.75763888888888886</v>
      </c>
      <c r="AC878" t="s">
        <v>720</v>
      </c>
      <c r="AD878" t="s">
        <v>720</v>
      </c>
      <c r="AE878" t="s">
        <v>720</v>
      </c>
    </row>
    <row r="879" spans="1:31">
      <c r="A879" t="s">
        <v>1343</v>
      </c>
      <c r="B879" t="s">
        <v>2946</v>
      </c>
      <c r="C879">
        <v>171</v>
      </c>
      <c r="D879" t="s">
        <v>5037</v>
      </c>
      <c r="E879" s="11">
        <v>46029</v>
      </c>
      <c r="F879" t="s">
        <v>5038</v>
      </c>
      <c r="G879" t="s">
        <v>45</v>
      </c>
      <c r="J879" t="s">
        <v>720</v>
      </c>
      <c r="K879" t="s">
        <v>5039</v>
      </c>
      <c r="L879" t="s">
        <v>166</v>
      </c>
      <c r="M879" t="s">
        <v>5040</v>
      </c>
      <c r="N879" t="s">
        <v>5041</v>
      </c>
      <c r="O879" t="s">
        <v>5042</v>
      </c>
      <c r="P879" s="46" t="str" cm="1">
        <f t="array" aca="1" ref="P879" ca="1">IFERROR(_xlfn.XLOOKUP(tblPedidos[[#This Row],[id_dropi]],tblNotas[[#This Row],[id__dropi]],tblNotas[[#This Row],[Notas Manuales]], “”, 0),"")</f>
        <v/>
      </c>
      <c r="R879" t="s">
        <v>3213</v>
      </c>
      <c r="S879">
        <v>17004.5</v>
      </c>
      <c r="T879">
        <v>-17895.5</v>
      </c>
      <c r="U879" cm="1">
        <f t="array" ref="U879">IFERROR(_xlfn.IFS(tblPedidos[[#This Row],[estado_operativo]]="ENTREGADO",tblPedidos[[#This Row],[ganancia_calc]],tblPedidos[[#This Row],[estado_operativo]]="DEVOLUCION",tblPedidos[[#This Row],[costo_devolucion_estimado]]),0)</f>
        <v>17004.5</v>
      </c>
      <c r="V879">
        <v>102027</v>
      </c>
      <c r="W879">
        <v>59900</v>
      </c>
      <c r="X879">
        <v>17895.5</v>
      </c>
      <c r="Y879">
        <v>25000</v>
      </c>
      <c r="Z879" s="11">
        <v>46032</v>
      </c>
      <c r="AA879">
        <v>12</v>
      </c>
      <c r="AB879" s="12">
        <v>0.42222222222222222</v>
      </c>
      <c r="AC879" t="s">
        <v>720</v>
      </c>
      <c r="AD879" t="s">
        <v>720</v>
      </c>
      <c r="AE879" t="s">
        <v>720</v>
      </c>
    </row>
    <row r="880" spans="1:31">
      <c r="A880" t="s">
        <v>1343</v>
      </c>
      <c r="B880" t="s">
        <v>2946</v>
      </c>
      <c r="C880">
        <v>169</v>
      </c>
      <c r="D880" t="s">
        <v>5043</v>
      </c>
      <c r="E880" s="11">
        <v>46029</v>
      </c>
      <c r="F880" t="s">
        <v>5044</v>
      </c>
      <c r="G880" t="s">
        <v>36</v>
      </c>
      <c r="J880" t="s">
        <v>720</v>
      </c>
      <c r="K880" t="s">
        <v>5045</v>
      </c>
      <c r="L880" t="s">
        <v>81</v>
      </c>
      <c r="M880" t="s">
        <v>5046</v>
      </c>
      <c r="N880" t="s">
        <v>5047</v>
      </c>
      <c r="O880" t="s">
        <v>5048</v>
      </c>
      <c r="P880" s="46" t="str" cm="1">
        <f t="array" aca="1" ref="P880" ca="1">IFERROR(_xlfn.XLOOKUP(tblPedidos[[#This Row],[id_dropi]],tblNotas[[#This Row],[id__dropi]],tblNotas[[#This Row],[Notas Manuales]], “”, 0),"")</f>
        <v/>
      </c>
      <c r="R880" t="s">
        <v>3213</v>
      </c>
      <c r="S880">
        <v>19686.5</v>
      </c>
      <c r="T880">
        <v>-12170.800000000001</v>
      </c>
      <c r="U880" cm="1">
        <f t="array" ref="U880">IFERROR(_xlfn.IFS(tblPedidos[[#This Row],[estado_operativo]]="ENTREGADO",tblPedidos[[#This Row],[ganancia_calc]],tblPedidos[[#This Row],[estado_operativo]]="DEVOLUCION",tblPedidos[[#This Row],[costo_devolucion_estimado]]),0)</f>
        <v>19686.5</v>
      </c>
      <c r="V880">
        <v>118119</v>
      </c>
      <c r="W880">
        <v>59900</v>
      </c>
      <c r="X880">
        <v>15213.5</v>
      </c>
      <c r="Y880">
        <v>25000</v>
      </c>
      <c r="Z880" s="11">
        <v>46031</v>
      </c>
      <c r="AA880">
        <v>13</v>
      </c>
      <c r="AB880" s="12">
        <v>0.56805555555555554</v>
      </c>
      <c r="AC880" t="s">
        <v>788</v>
      </c>
      <c r="AD880" t="s">
        <v>720</v>
      </c>
      <c r="AE880" t="s">
        <v>720</v>
      </c>
    </row>
    <row r="881" spans="1:31">
      <c r="A881" t="s">
        <v>1343</v>
      </c>
      <c r="B881" t="s">
        <v>2946</v>
      </c>
      <c r="C881">
        <v>167</v>
      </c>
      <c r="D881" t="s">
        <v>5049</v>
      </c>
      <c r="E881" s="11">
        <v>46029</v>
      </c>
      <c r="F881" t="s">
        <v>5050</v>
      </c>
      <c r="G881" t="s">
        <v>45</v>
      </c>
      <c r="J881" t="s">
        <v>720</v>
      </c>
      <c r="K881" t="s">
        <v>5051</v>
      </c>
      <c r="L881" t="s">
        <v>328</v>
      </c>
      <c r="M881" t="s">
        <v>2827</v>
      </c>
      <c r="N881" t="s">
        <v>5052</v>
      </c>
      <c r="O881" t="s">
        <v>5053</v>
      </c>
      <c r="P881" s="46" t="str" cm="1">
        <f t="array" aca="1" ref="P881" ca="1">IFERROR(_xlfn.XLOOKUP(tblPedidos[[#This Row],[id_dropi]],tblNotas[[#This Row],[id__dropi]],tblNotas[[#This Row],[Notas Manuales]], “”, 0),"")</f>
        <v/>
      </c>
      <c r="Q881" t="s">
        <v>50</v>
      </c>
      <c r="R881" t="s">
        <v>3213</v>
      </c>
      <c r="S881">
        <v>17004.5</v>
      </c>
      <c r="T881">
        <v>-17895.5</v>
      </c>
      <c r="U881" cm="1">
        <f t="array" ref="U881">IFERROR(_xlfn.IFS(tblPedidos[[#This Row],[estado_operativo]]="ENTREGADO",tblPedidos[[#This Row],[ganancia_calc]],tblPedidos[[#This Row],[estado_operativo]]="DEVOLUCION",tblPedidos[[#This Row],[costo_devolucion_estimado]]),0)</f>
        <v>17004.5</v>
      </c>
      <c r="V881">
        <v>102027</v>
      </c>
      <c r="W881">
        <v>59900</v>
      </c>
      <c r="X881">
        <v>17895.5</v>
      </c>
      <c r="Y881">
        <v>25000</v>
      </c>
      <c r="Z881" s="11">
        <v>46035</v>
      </c>
      <c r="AA881">
        <v>9</v>
      </c>
      <c r="AB881" s="12">
        <v>0.50972222222222219</v>
      </c>
      <c r="AC881" t="s">
        <v>720</v>
      </c>
      <c r="AD881" t="s">
        <v>720</v>
      </c>
      <c r="AE881" t="s">
        <v>720</v>
      </c>
    </row>
    <row r="882" spans="1:31">
      <c r="A882" t="s">
        <v>1343</v>
      </c>
      <c r="B882" t="s">
        <v>2946</v>
      </c>
      <c r="C882">
        <v>168</v>
      </c>
      <c r="D882" t="s">
        <v>5054</v>
      </c>
      <c r="E882" s="11">
        <v>46029</v>
      </c>
      <c r="F882" t="s">
        <v>5055</v>
      </c>
      <c r="G882" t="s">
        <v>45</v>
      </c>
      <c r="J882" t="s">
        <v>720</v>
      </c>
      <c r="K882" t="s">
        <v>5056</v>
      </c>
      <c r="L882" t="s">
        <v>46</v>
      </c>
      <c r="M882" t="s">
        <v>100</v>
      </c>
      <c r="N882" t="s">
        <v>5057</v>
      </c>
      <c r="O882" t="s">
        <v>5058</v>
      </c>
      <c r="P882" s="46" t="str" cm="1">
        <f t="array" aca="1" ref="P882" ca="1">IFERROR(_xlfn.XLOOKUP(tblPedidos[[#This Row],[id_dropi]],tblNotas[[#This Row],[id__dropi]],tblNotas[[#This Row],[Notas Manuales]], “”, 0),"")</f>
        <v/>
      </c>
      <c r="R882" t="s">
        <v>3014</v>
      </c>
      <c r="S882">
        <v>28779.5</v>
      </c>
      <c r="T882">
        <v>-11720.5</v>
      </c>
      <c r="U882" cm="1">
        <f t="array" ref="U882">IFERROR(_xlfn.IFS(tblPedidos[[#This Row],[estado_operativo]]="ENTREGADO",tblPedidos[[#This Row],[ganancia_calc]],tblPedidos[[#This Row],[estado_operativo]]="DEVOLUCION",tblPedidos[[#This Row],[costo_devolucion_estimado]]),0)</f>
        <v>28779.5</v>
      </c>
      <c r="V882">
        <v>172677</v>
      </c>
      <c r="W882">
        <v>54900</v>
      </c>
      <c r="X882">
        <v>11720.5</v>
      </c>
      <c r="Y882">
        <v>14400</v>
      </c>
      <c r="Z882" s="11">
        <v>46032</v>
      </c>
      <c r="AA882">
        <v>12</v>
      </c>
      <c r="AB882" s="12">
        <v>0.83888888888888891</v>
      </c>
      <c r="AC882" t="s">
        <v>720</v>
      </c>
      <c r="AD882" t="s">
        <v>720</v>
      </c>
      <c r="AE882" t="s">
        <v>720</v>
      </c>
    </row>
    <row r="883" spans="1:31">
      <c r="A883" t="s">
        <v>1343</v>
      </c>
      <c r="B883" t="s">
        <v>2946</v>
      </c>
      <c r="C883">
        <v>161</v>
      </c>
      <c r="D883" t="s">
        <v>5059</v>
      </c>
      <c r="E883" s="11">
        <v>46029</v>
      </c>
      <c r="F883" t="s">
        <v>5060</v>
      </c>
      <c r="G883" t="s">
        <v>45</v>
      </c>
      <c r="J883" t="s">
        <v>720</v>
      </c>
      <c r="K883" t="s">
        <v>5061</v>
      </c>
      <c r="L883" t="s">
        <v>322</v>
      </c>
      <c r="M883" t="s">
        <v>5062</v>
      </c>
      <c r="N883" t="s">
        <v>5063</v>
      </c>
      <c r="O883" t="s">
        <v>5064</v>
      </c>
      <c r="P883" s="46" t="str" cm="1">
        <f t="array" aca="1" ref="P883" ca="1">IFERROR(_xlfn.XLOOKUP(tblPedidos[[#This Row],[id_dropi]],tblNotas[[#This Row],[id__dropi]],tblNotas[[#This Row],[Notas Manuales]], “”, 0),"")</f>
        <v/>
      </c>
      <c r="Q883" t="s">
        <v>50</v>
      </c>
      <c r="R883" t="s">
        <v>3200</v>
      </c>
      <c r="S883">
        <v>27529.5</v>
      </c>
      <c r="T883">
        <v>-18570.5</v>
      </c>
      <c r="U883" cm="1">
        <f t="array" ref="U883">IFERROR(_xlfn.IFS(tblPedidos[[#This Row],[estado_operativo]]="ENTREGADO",tblPedidos[[#This Row],[ganancia_calc]],tblPedidos[[#This Row],[estado_operativo]]="DEVOLUCION",tblPedidos[[#This Row],[costo_devolucion_estimado]]),0)</f>
        <v>27529.5</v>
      </c>
      <c r="V883">
        <v>165177</v>
      </c>
      <c r="W883">
        <v>74900</v>
      </c>
      <c r="X883">
        <v>18570.5</v>
      </c>
      <c r="Y883">
        <v>28800</v>
      </c>
      <c r="Z883" s="11">
        <v>46035</v>
      </c>
      <c r="AA883">
        <v>9</v>
      </c>
      <c r="AB883" s="12">
        <v>0.84652777777777777</v>
      </c>
      <c r="AC883" t="s">
        <v>720</v>
      </c>
      <c r="AD883" t="s">
        <v>720</v>
      </c>
      <c r="AE883" t="s">
        <v>720</v>
      </c>
    </row>
    <row r="884" spans="1:31">
      <c r="A884" t="s">
        <v>1343</v>
      </c>
      <c r="B884" t="s">
        <v>2946</v>
      </c>
      <c r="C884">
        <v>154</v>
      </c>
      <c r="D884" t="s">
        <v>5065</v>
      </c>
      <c r="E884" s="11">
        <v>46029</v>
      </c>
      <c r="F884" t="s">
        <v>5066</v>
      </c>
      <c r="G884" t="s">
        <v>45</v>
      </c>
      <c r="J884" t="s">
        <v>720</v>
      </c>
      <c r="K884" t="s">
        <v>5067</v>
      </c>
      <c r="L884" t="s">
        <v>427</v>
      </c>
      <c r="M884" t="s">
        <v>628</v>
      </c>
      <c r="N884" t="s">
        <v>5068</v>
      </c>
      <c r="O884" t="s">
        <v>5069</v>
      </c>
      <c r="P884" s="46" t="str" cm="1">
        <f t="array" aca="1" ref="P884" ca="1">IFERROR(_xlfn.XLOOKUP(tblPedidos[[#This Row],[id_dropi]],tblNotas[[#This Row],[id__dropi]],tblNotas[[#This Row],[Notas Manuales]], “”, 0),"")</f>
        <v/>
      </c>
      <c r="R884" t="s">
        <v>3014</v>
      </c>
      <c r="S884">
        <v>27379.5</v>
      </c>
      <c r="T884">
        <v>-13120.5</v>
      </c>
      <c r="U884" cm="1">
        <f t="array" ref="U884">IFERROR(_xlfn.IFS(tblPedidos[[#This Row],[estado_operativo]]="ENTREGADO",tblPedidos[[#This Row],[ganancia_calc]],tblPedidos[[#This Row],[estado_operativo]]="DEVOLUCION",tblPedidos[[#This Row],[costo_devolucion_estimado]]),0)</f>
        <v>27379.5</v>
      </c>
      <c r="V884">
        <v>164277</v>
      </c>
      <c r="W884">
        <v>54900</v>
      </c>
      <c r="X884">
        <v>13120.5</v>
      </c>
      <c r="Y884">
        <v>14400</v>
      </c>
      <c r="Z884" s="11">
        <v>46032</v>
      </c>
      <c r="AA884">
        <v>12</v>
      </c>
      <c r="AB884" s="12">
        <v>0.60416666666666663</v>
      </c>
      <c r="AC884" t="s">
        <v>720</v>
      </c>
      <c r="AD884" t="s">
        <v>720</v>
      </c>
      <c r="AE884" t="s">
        <v>720</v>
      </c>
    </row>
    <row r="885" spans="1:31">
      <c r="A885" t="s">
        <v>1343</v>
      </c>
      <c r="B885" t="s">
        <v>2946</v>
      </c>
      <c r="C885">
        <v>155</v>
      </c>
      <c r="D885" t="s">
        <v>5070</v>
      </c>
      <c r="E885" s="11">
        <v>46029</v>
      </c>
      <c r="F885" t="s">
        <v>5071</v>
      </c>
      <c r="G885" t="s">
        <v>45</v>
      </c>
      <c r="J885" t="s">
        <v>720</v>
      </c>
      <c r="K885" t="s">
        <v>5072</v>
      </c>
      <c r="L885" t="s">
        <v>54</v>
      </c>
      <c r="M885" t="s">
        <v>5073</v>
      </c>
      <c r="N885" t="s">
        <v>5074</v>
      </c>
      <c r="O885" t="s">
        <v>5075</v>
      </c>
      <c r="P885" s="46" t="str" cm="1">
        <f t="array" aca="1" ref="P885" ca="1">IFERROR(_xlfn.XLOOKUP(tblPedidos[[#This Row],[id_dropi]],tblNotas[[#This Row],[id__dropi]],tblNotas[[#This Row],[Notas Manuales]], “”, 0),"")</f>
        <v/>
      </c>
      <c r="Q885" t="s">
        <v>50</v>
      </c>
      <c r="R885" t="s">
        <v>3014</v>
      </c>
      <c r="S885">
        <v>22829.5</v>
      </c>
      <c r="T885">
        <v>-17670.5</v>
      </c>
      <c r="U885" cm="1">
        <f t="array" ref="U885">IFERROR(_xlfn.IFS(tblPedidos[[#This Row],[estado_operativo]]="ENTREGADO",tblPedidos[[#This Row],[ganancia_calc]],tblPedidos[[#This Row],[estado_operativo]]="DEVOLUCION",tblPedidos[[#This Row],[costo_devolucion_estimado]]),0)</f>
        <v>22829.5</v>
      </c>
      <c r="V885">
        <v>136977</v>
      </c>
      <c r="W885">
        <v>54900</v>
      </c>
      <c r="X885">
        <v>17670.5</v>
      </c>
      <c r="Y885">
        <v>14400</v>
      </c>
      <c r="Z885" s="11">
        <v>46033</v>
      </c>
      <c r="AA885">
        <v>11</v>
      </c>
      <c r="AB885" s="12">
        <v>0.5083333333333333</v>
      </c>
      <c r="AC885" t="s">
        <v>720</v>
      </c>
      <c r="AD885" t="s">
        <v>720</v>
      </c>
      <c r="AE885" t="s">
        <v>720</v>
      </c>
    </row>
    <row r="886" spans="1:31">
      <c r="A886" t="s">
        <v>1343</v>
      </c>
      <c r="B886" t="s">
        <v>2946</v>
      </c>
      <c r="C886">
        <v>153</v>
      </c>
      <c r="D886" t="s">
        <v>5076</v>
      </c>
      <c r="E886" s="11">
        <v>46029</v>
      </c>
      <c r="F886" t="s">
        <v>5077</v>
      </c>
      <c r="G886" t="s">
        <v>45</v>
      </c>
      <c r="J886" t="s">
        <v>720</v>
      </c>
      <c r="K886" t="s">
        <v>5078</v>
      </c>
      <c r="L886" t="s">
        <v>111</v>
      </c>
      <c r="M886" t="s">
        <v>193</v>
      </c>
      <c r="N886" t="s">
        <v>5079</v>
      </c>
      <c r="O886" t="s">
        <v>5080</v>
      </c>
      <c r="P886" s="46" t="str" cm="1">
        <f t="array" aca="1" ref="P886" ca="1">IFERROR(_xlfn.XLOOKUP(tblPedidos[[#This Row],[id_dropi]],tblNotas[[#This Row],[id__dropi]],tblNotas[[#This Row],[Notas Manuales]], “”, 0),"")</f>
        <v/>
      </c>
      <c r="Q886" t="s">
        <v>50</v>
      </c>
      <c r="R886" t="s">
        <v>3200</v>
      </c>
      <c r="S886">
        <v>22754.5</v>
      </c>
      <c r="T886">
        <v>-18345.5</v>
      </c>
      <c r="U886" cm="1">
        <f t="array" ref="U886">IFERROR(_xlfn.IFS(tblPedidos[[#This Row],[estado_operativo]]="ENTREGADO",tblPedidos[[#This Row],[ganancia_calc]],tblPedidos[[#This Row],[estado_operativo]]="DEVOLUCION",tblPedidos[[#This Row],[costo_devolucion_estimado]]),0)</f>
        <v>22754.5</v>
      </c>
      <c r="V886">
        <v>136527</v>
      </c>
      <c r="W886">
        <v>69900</v>
      </c>
      <c r="X886">
        <v>18345.5</v>
      </c>
      <c r="Y886">
        <v>28800</v>
      </c>
      <c r="Z886" s="11">
        <v>46035</v>
      </c>
      <c r="AA886">
        <v>9</v>
      </c>
      <c r="AB886" s="12">
        <v>0.67708333333333337</v>
      </c>
      <c r="AC886" t="s">
        <v>720</v>
      </c>
      <c r="AD886" t="s">
        <v>720</v>
      </c>
      <c r="AE886" t="s">
        <v>720</v>
      </c>
    </row>
    <row r="887" spans="1:31">
      <c r="A887" t="s">
        <v>1343</v>
      </c>
      <c r="B887" t="s">
        <v>2946</v>
      </c>
      <c r="C887">
        <v>151</v>
      </c>
      <c r="D887" t="s">
        <v>5081</v>
      </c>
      <c r="E887" s="11">
        <v>46029</v>
      </c>
      <c r="F887" t="s">
        <v>5082</v>
      </c>
      <c r="G887" t="s">
        <v>45</v>
      </c>
      <c r="J887" t="s">
        <v>720</v>
      </c>
      <c r="K887" t="s">
        <v>5083</v>
      </c>
      <c r="L887" t="s">
        <v>54</v>
      </c>
      <c r="M887" t="s">
        <v>736</v>
      </c>
      <c r="N887" t="s">
        <v>5084</v>
      </c>
      <c r="O887" t="s">
        <v>5085</v>
      </c>
      <c r="P887" s="46" t="str" cm="1">
        <f t="array" aca="1" ref="P887" ca="1">IFERROR(_xlfn.XLOOKUP(tblPedidos[[#This Row],[id_dropi]],tblNotas[[#This Row],[id__dropi]],tblNotas[[#This Row],[Notas Manuales]], “”, 0),"")</f>
        <v/>
      </c>
      <c r="Q887" t="s">
        <v>50</v>
      </c>
      <c r="R887" t="s">
        <v>3200</v>
      </c>
      <c r="S887">
        <v>27529.5</v>
      </c>
      <c r="T887">
        <v>-18570.5</v>
      </c>
      <c r="U887" cm="1">
        <f t="array" ref="U887">IFERROR(_xlfn.IFS(tblPedidos[[#This Row],[estado_operativo]]="ENTREGADO",tblPedidos[[#This Row],[ganancia_calc]],tblPedidos[[#This Row],[estado_operativo]]="DEVOLUCION",tblPedidos[[#This Row],[costo_devolucion_estimado]]),0)</f>
        <v>27529.5</v>
      </c>
      <c r="V887">
        <v>165177</v>
      </c>
      <c r="W887">
        <v>74900</v>
      </c>
      <c r="X887">
        <v>18570.5</v>
      </c>
      <c r="Y887">
        <v>28800</v>
      </c>
      <c r="Z887" s="11">
        <v>46035</v>
      </c>
      <c r="AA887">
        <v>9</v>
      </c>
      <c r="AB887" s="12">
        <v>0.39166666666666666</v>
      </c>
      <c r="AC887" t="s">
        <v>720</v>
      </c>
      <c r="AD887" t="s">
        <v>720</v>
      </c>
      <c r="AE887" t="s">
        <v>720</v>
      </c>
    </row>
    <row r="888" spans="1:31">
      <c r="A888" t="s">
        <v>1343</v>
      </c>
      <c r="B888" t="s">
        <v>2946</v>
      </c>
      <c r="C888">
        <v>152</v>
      </c>
      <c r="D888" t="s">
        <v>5086</v>
      </c>
      <c r="E888" s="11">
        <v>46029</v>
      </c>
      <c r="F888" t="s">
        <v>5087</v>
      </c>
      <c r="G888" t="s">
        <v>45</v>
      </c>
      <c r="J888" t="s">
        <v>1657</v>
      </c>
      <c r="K888" t="s">
        <v>5088</v>
      </c>
      <c r="L888" t="s">
        <v>111</v>
      </c>
      <c r="M888" t="s">
        <v>695</v>
      </c>
      <c r="N888" t="s">
        <v>5089</v>
      </c>
      <c r="O888" t="s">
        <v>5090</v>
      </c>
      <c r="P888" s="46" t="str" cm="1">
        <f t="array" aca="1" ref="P888" ca="1">IFERROR(_xlfn.XLOOKUP(tblPedidos[[#This Row],[id_dropi]],tblNotas[[#This Row],[id__dropi]],tblNotas[[#This Row],[Notas Manuales]], “”, 0),"")</f>
        <v/>
      </c>
      <c r="Q888" t="s">
        <v>5091</v>
      </c>
      <c r="R888" t="s">
        <v>3213</v>
      </c>
      <c r="S888">
        <v>17004.5</v>
      </c>
      <c r="T888">
        <v>-17895.5</v>
      </c>
      <c r="U888" cm="1">
        <f t="array" ref="U888">IFERROR(_xlfn.IFS(tblPedidos[[#This Row],[estado_operativo]]="ENTREGADO",tblPedidos[[#This Row],[ganancia_calc]],tblPedidos[[#This Row],[estado_operativo]]="DEVOLUCION",tblPedidos[[#This Row],[costo_devolucion_estimado]]),0)</f>
        <v>-17895.5</v>
      </c>
      <c r="V888">
        <v>-107373</v>
      </c>
      <c r="W888">
        <v>59900</v>
      </c>
      <c r="X888">
        <v>17895.5</v>
      </c>
      <c r="Y888">
        <v>25000</v>
      </c>
      <c r="Z888" s="11">
        <v>46032</v>
      </c>
      <c r="AA888">
        <v>12</v>
      </c>
      <c r="AB888" s="12">
        <v>0.42152777777777778</v>
      </c>
      <c r="AC888" t="s">
        <v>1657</v>
      </c>
      <c r="AD888" t="s">
        <v>1657</v>
      </c>
      <c r="AE888" t="s">
        <v>1657</v>
      </c>
    </row>
    <row r="889" spans="1:31">
      <c r="A889" t="s">
        <v>1343</v>
      </c>
      <c r="B889" t="s">
        <v>2946</v>
      </c>
      <c r="C889">
        <v>159</v>
      </c>
      <c r="D889" t="s">
        <v>5092</v>
      </c>
      <c r="E889" s="11">
        <v>46029</v>
      </c>
      <c r="F889" t="s">
        <v>5093</v>
      </c>
      <c r="G889" t="s">
        <v>45</v>
      </c>
      <c r="J889" t="s">
        <v>720</v>
      </c>
      <c r="K889" t="s">
        <v>5094</v>
      </c>
      <c r="L889" t="s">
        <v>38</v>
      </c>
      <c r="M889" t="s">
        <v>4824</v>
      </c>
      <c r="N889" t="s">
        <v>5095</v>
      </c>
      <c r="O889" t="s">
        <v>5096</v>
      </c>
      <c r="P889" s="46" t="str" cm="1">
        <f t="array" aca="1" ref="P889" ca="1">IFERROR(_xlfn.XLOOKUP(tblPedidos[[#This Row],[id_dropi]],tblNotas[[#This Row],[id__dropi]],tblNotas[[#This Row],[Notas Manuales]], “”, 0),"")</f>
        <v/>
      </c>
      <c r="R889" t="s">
        <v>2983</v>
      </c>
      <c r="S889">
        <v>28104.5</v>
      </c>
      <c r="T889">
        <v>-18345.5</v>
      </c>
      <c r="U889" cm="1">
        <f t="array" ref="U889">IFERROR(_xlfn.IFS(tblPedidos[[#This Row],[estado_operativo]]="ENTREGADO",tblPedidos[[#This Row],[ganancia_calc]],tblPedidos[[#This Row],[estado_operativo]]="DEVOLUCION",tblPedidos[[#This Row],[costo_devolucion_estimado]]),0)</f>
        <v>28104.5</v>
      </c>
      <c r="V889">
        <v>168627</v>
      </c>
      <c r="W889">
        <v>69900</v>
      </c>
      <c r="X889">
        <v>18345.5</v>
      </c>
      <c r="Y889">
        <v>23450</v>
      </c>
      <c r="Z889" s="11">
        <v>46035</v>
      </c>
      <c r="AA889">
        <v>9</v>
      </c>
      <c r="AB889" s="12">
        <v>0.66666666666666663</v>
      </c>
      <c r="AC889" t="s">
        <v>720</v>
      </c>
      <c r="AD889" t="s">
        <v>720</v>
      </c>
      <c r="AE889" t="s">
        <v>720</v>
      </c>
    </row>
    <row r="890" spans="1:31">
      <c r="A890" t="s">
        <v>1343</v>
      </c>
      <c r="B890" t="s">
        <v>2946</v>
      </c>
      <c r="C890">
        <v>160</v>
      </c>
      <c r="D890" t="s">
        <v>5097</v>
      </c>
      <c r="E890" s="11">
        <v>46029</v>
      </c>
      <c r="F890" t="s">
        <v>5098</v>
      </c>
      <c r="G890" t="s">
        <v>45</v>
      </c>
      <c r="J890" t="s">
        <v>720</v>
      </c>
      <c r="K890" t="s">
        <v>5099</v>
      </c>
      <c r="L890" t="s">
        <v>111</v>
      </c>
      <c r="M890" t="s">
        <v>3320</v>
      </c>
      <c r="N890" t="s">
        <v>5100</v>
      </c>
      <c r="O890" t="s">
        <v>5101</v>
      </c>
      <c r="P890" s="46" t="str" cm="1">
        <f t="array" aca="1" ref="P890" ca="1">IFERROR(_xlfn.XLOOKUP(tblPedidos[[#This Row],[id_dropi]],tblNotas[[#This Row],[id__dropi]],tblNotas[[#This Row],[Notas Manuales]], “”, 0),"")</f>
        <v/>
      </c>
      <c r="Q890" t="s">
        <v>50</v>
      </c>
      <c r="R890" t="s">
        <v>2983</v>
      </c>
      <c r="S890">
        <v>28104.5</v>
      </c>
      <c r="T890">
        <v>-18345.5</v>
      </c>
      <c r="U890" cm="1">
        <f t="array" ref="U890">IFERROR(_xlfn.IFS(tblPedidos[[#This Row],[estado_operativo]]="ENTREGADO",tblPedidos[[#This Row],[ganancia_calc]],tblPedidos[[#This Row],[estado_operativo]]="DEVOLUCION",tblPedidos[[#This Row],[costo_devolucion_estimado]]),0)</f>
        <v>28104.5</v>
      </c>
      <c r="V890">
        <v>168627</v>
      </c>
      <c r="W890">
        <v>69900</v>
      </c>
      <c r="X890">
        <v>18345.5</v>
      </c>
      <c r="Y890">
        <v>23450</v>
      </c>
      <c r="Z890" s="11">
        <v>46037</v>
      </c>
      <c r="AA890">
        <v>7</v>
      </c>
      <c r="AB890" s="12">
        <v>0.76041666666666663</v>
      </c>
      <c r="AC890" t="s">
        <v>720</v>
      </c>
      <c r="AD890" t="s">
        <v>720</v>
      </c>
      <c r="AE890" t="s">
        <v>720</v>
      </c>
    </row>
    <row r="891" spans="1:31">
      <c r="A891" t="s">
        <v>1343</v>
      </c>
      <c r="B891" t="s">
        <v>2946</v>
      </c>
      <c r="C891">
        <v>158</v>
      </c>
      <c r="D891" t="s">
        <v>5102</v>
      </c>
      <c r="E891" s="11">
        <v>46029</v>
      </c>
      <c r="F891" t="s">
        <v>5103</v>
      </c>
      <c r="G891" t="s">
        <v>45</v>
      </c>
      <c r="J891" t="s">
        <v>720</v>
      </c>
      <c r="K891" t="s">
        <v>5104</v>
      </c>
      <c r="L891" t="s">
        <v>46</v>
      </c>
      <c r="M891" t="s">
        <v>100</v>
      </c>
      <c r="N891" t="s">
        <v>5105</v>
      </c>
      <c r="O891" t="s">
        <v>5106</v>
      </c>
      <c r="P891" s="46" t="str" cm="1">
        <f t="array" aca="1" ref="P891" ca="1">IFERROR(_xlfn.XLOOKUP(tblPedidos[[#This Row],[id_dropi]],tblNotas[[#This Row],[id__dropi]],tblNotas[[#This Row],[Notas Manuales]], “”, 0),"")</f>
        <v/>
      </c>
      <c r="R891" t="s">
        <v>3137</v>
      </c>
      <c r="S891">
        <v>22054.5</v>
      </c>
      <c r="T891">
        <v>-17895.5</v>
      </c>
      <c r="U891" cm="1">
        <f t="array" ref="U891">IFERROR(_xlfn.IFS(tblPedidos[[#This Row],[estado_operativo]]="ENTREGADO",tblPedidos[[#This Row],[ganancia_calc]],tblPedidos[[#This Row],[estado_operativo]]="DEVOLUCION",tblPedidos[[#This Row],[costo_devolucion_estimado]]),0)</f>
        <v>22054.5</v>
      </c>
      <c r="V891">
        <v>132327</v>
      </c>
      <c r="W891">
        <v>59900</v>
      </c>
      <c r="X891">
        <v>17895.5</v>
      </c>
      <c r="Y891">
        <v>19950</v>
      </c>
      <c r="Z891" s="11">
        <v>46032</v>
      </c>
      <c r="AA891">
        <v>12</v>
      </c>
      <c r="AB891" s="12">
        <v>5.2083333333333336E-2</v>
      </c>
      <c r="AC891" t="s">
        <v>720</v>
      </c>
      <c r="AD891" t="s">
        <v>720</v>
      </c>
      <c r="AE891" t="s">
        <v>720</v>
      </c>
    </row>
    <row r="892" spans="1:31">
      <c r="A892" t="s">
        <v>1343</v>
      </c>
      <c r="B892" t="s">
        <v>2946</v>
      </c>
      <c r="C892">
        <v>156</v>
      </c>
      <c r="D892" t="s">
        <v>5107</v>
      </c>
      <c r="E892" s="11">
        <v>46029</v>
      </c>
      <c r="F892" t="s">
        <v>5108</v>
      </c>
      <c r="G892" t="s">
        <v>45</v>
      </c>
      <c r="J892" t="s">
        <v>720</v>
      </c>
      <c r="K892" t="s">
        <v>5109</v>
      </c>
      <c r="L892" t="s">
        <v>125</v>
      </c>
      <c r="M892" t="s">
        <v>306</v>
      </c>
      <c r="N892" t="s">
        <v>5110</v>
      </c>
      <c r="O892" t="s">
        <v>5111</v>
      </c>
      <c r="P892" s="46" t="str" cm="1">
        <f t="array" aca="1" ref="P892" ca="1">IFERROR(_xlfn.XLOOKUP(tblPedidos[[#This Row],[id_dropi]],tblNotas[[#This Row],[id__dropi]],tblNotas[[#This Row],[Notas Manuales]], “”, 0),"")</f>
        <v/>
      </c>
      <c r="R892" t="s">
        <v>3137</v>
      </c>
      <c r="S892">
        <v>22054.5</v>
      </c>
      <c r="T892">
        <v>-17895.5</v>
      </c>
      <c r="U892" cm="1">
        <f t="array" ref="U892">IFERROR(_xlfn.IFS(tblPedidos[[#This Row],[estado_operativo]]="ENTREGADO",tblPedidos[[#This Row],[ganancia_calc]],tblPedidos[[#This Row],[estado_operativo]]="DEVOLUCION",tblPedidos[[#This Row],[costo_devolucion_estimado]]),0)</f>
        <v>22054.5</v>
      </c>
      <c r="V892">
        <v>132327</v>
      </c>
      <c r="W892">
        <v>59900</v>
      </c>
      <c r="X892">
        <v>17895.5</v>
      </c>
      <c r="Y892">
        <v>19950</v>
      </c>
      <c r="Z892" s="11">
        <v>46035</v>
      </c>
      <c r="AA892">
        <v>9</v>
      </c>
      <c r="AB892" s="12">
        <v>0.50486111111111109</v>
      </c>
      <c r="AC892" t="s">
        <v>720</v>
      </c>
      <c r="AD892" t="s">
        <v>720</v>
      </c>
      <c r="AE892" t="s">
        <v>720</v>
      </c>
    </row>
    <row r="893" spans="1:31">
      <c r="A893" t="s">
        <v>1343</v>
      </c>
      <c r="B893" t="s">
        <v>2946</v>
      </c>
      <c r="C893">
        <v>157</v>
      </c>
      <c r="D893" t="s">
        <v>5112</v>
      </c>
      <c r="E893" s="11">
        <v>46029</v>
      </c>
      <c r="F893" t="s">
        <v>5113</v>
      </c>
      <c r="G893" t="s">
        <v>45</v>
      </c>
      <c r="J893" t="s">
        <v>720</v>
      </c>
      <c r="K893" t="s">
        <v>5114</v>
      </c>
      <c r="L893" t="s">
        <v>234</v>
      </c>
      <c r="M893" t="s">
        <v>3433</v>
      </c>
      <c r="N893" t="s">
        <v>5115</v>
      </c>
      <c r="O893" t="s">
        <v>5116</v>
      </c>
      <c r="P893" s="46" t="str" cm="1">
        <f t="array" aca="1" ref="P893" ca="1">IFERROR(_xlfn.XLOOKUP(tblPedidos[[#This Row],[id_dropi]],tblNotas[[#This Row],[id__dropi]],tblNotas[[#This Row],[Notas Manuales]], “”, 0),"")</f>
        <v/>
      </c>
      <c r="Q893" t="s">
        <v>50</v>
      </c>
      <c r="R893" t="s">
        <v>3033</v>
      </c>
      <c r="S893">
        <v>19101</v>
      </c>
      <c r="T893">
        <v>-15799</v>
      </c>
      <c r="U893" cm="1">
        <f t="array" ref="U893">IFERROR(_xlfn.IFS(tblPedidos[[#This Row],[estado_operativo]]="ENTREGADO",tblPedidos[[#This Row],[ganancia_calc]],tblPedidos[[#This Row],[estado_operativo]]="DEVOLUCION",tblPedidos[[#This Row],[costo_devolucion_estimado]]),0)</f>
        <v>19101</v>
      </c>
      <c r="V893">
        <v>-244794</v>
      </c>
      <c r="W893">
        <v>59900</v>
      </c>
      <c r="X893">
        <v>15799</v>
      </c>
      <c r="Y893">
        <v>25000</v>
      </c>
      <c r="Z893" s="11">
        <v>46033</v>
      </c>
      <c r="AA893">
        <v>11</v>
      </c>
      <c r="AB893" s="12">
        <v>0.33888888888888891</v>
      </c>
      <c r="AC893" t="s">
        <v>720</v>
      </c>
      <c r="AD893" t="s">
        <v>720</v>
      </c>
      <c r="AE893" t="s">
        <v>720</v>
      </c>
    </row>
    <row r="894" spans="1:31">
      <c r="A894" t="s">
        <v>1343</v>
      </c>
      <c r="B894" t="s">
        <v>2946</v>
      </c>
      <c r="C894">
        <v>172</v>
      </c>
      <c r="D894" t="s">
        <v>5117</v>
      </c>
      <c r="E894" s="11">
        <v>46029</v>
      </c>
      <c r="F894" t="s">
        <v>5118</v>
      </c>
      <c r="G894" t="s">
        <v>45</v>
      </c>
      <c r="J894" t="s">
        <v>720</v>
      </c>
      <c r="K894" t="s">
        <v>5119</v>
      </c>
      <c r="L894" t="s">
        <v>54</v>
      </c>
      <c r="M894" t="s">
        <v>2564</v>
      </c>
      <c r="N894" t="s">
        <v>5120</v>
      </c>
      <c r="O894" t="s">
        <v>5121</v>
      </c>
      <c r="P894" s="46" t="str" cm="1">
        <f t="array" aca="1" ref="P894" ca="1">IFERROR(_xlfn.XLOOKUP(tblPedidos[[#This Row],[id_dropi]],tblNotas[[#This Row],[id__dropi]],tblNotas[[#This Row],[Notas Manuales]], “”, 0),"")</f>
        <v/>
      </c>
      <c r="R894" t="s">
        <v>5122</v>
      </c>
      <c r="S894">
        <v>25104.5</v>
      </c>
      <c r="T894">
        <v>-18795.5</v>
      </c>
      <c r="U894" cm="1">
        <f t="array" ref="U894">IFERROR(_xlfn.IFS(tblPedidos[[#This Row],[estado_operativo]]="ENTREGADO",tblPedidos[[#This Row],[ganancia_calc]],tblPedidos[[#This Row],[estado_operativo]]="DEVOLUCION",tblPedidos[[#This Row],[costo_devolucion_estimado]]),0)</f>
        <v>25104.5</v>
      </c>
      <c r="V894">
        <v>150627</v>
      </c>
      <c r="W894">
        <v>79900</v>
      </c>
      <c r="X894">
        <v>18795.5</v>
      </c>
      <c r="Y894">
        <v>36000</v>
      </c>
      <c r="Z894" s="11">
        <v>46032</v>
      </c>
      <c r="AA894">
        <v>12</v>
      </c>
      <c r="AB894" s="12">
        <v>0.67152777777777772</v>
      </c>
      <c r="AC894" t="s">
        <v>720</v>
      </c>
      <c r="AD894" t="s">
        <v>720</v>
      </c>
      <c r="AE894" t="s">
        <v>720</v>
      </c>
    </row>
    <row r="895" spans="1:31">
      <c r="A895" t="s">
        <v>1343</v>
      </c>
      <c r="B895" t="s">
        <v>2946</v>
      </c>
      <c r="C895">
        <v>187</v>
      </c>
      <c r="D895" t="s">
        <v>5123</v>
      </c>
      <c r="E895" s="11">
        <v>46029</v>
      </c>
      <c r="F895" t="s">
        <v>5124</v>
      </c>
      <c r="G895" t="s">
        <v>45</v>
      </c>
      <c r="J895" t="s">
        <v>720</v>
      </c>
      <c r="K895" t="s">
        <v>5125</v>
      </c>
      <c r="L895" t="s">
        <v>46</v>
      </c>
      <c r="M895" t="s">
        <v>100</v>
      </c>
      <c r="N895" t="s">
        <v>5126</v>
      </c>
      <c r="O895" t="s">
        <v>5127</v>
      </c>
      <c r="P895" s="46" t="str" cm="1">
        <f t="array" aca="1" ref="P895" ca="1">IFERROR(_xlfn.XLOOKUP(tblPedidos[[#This Row],[id_dropi]],tblNotas[[#This Row],[id__dropi]],tblNotas[[#This Row],[Notas Manuales]], “”, 0),"")</f>
        <v/>
      </c>
      <c r="R895" t="s">
        <v>2983</v>
      </c>
      <c r="S895">
        <v>28104.5</v>
      </c>
      <c r="T895">
        <v>-18345.5</v>
      </c>
      <c r="U895" cm="1">
        <f t="array" ref="U895">IFERROR(_xlfn.IFS(tblPedidos[[#This Row],[estado_operativo]]="ENTREGADO",tblPedidos[[#This Row],[ganancia_calc]],tblPedidos[[#This Row],[estado_operativo]]="DEVOLUCION",tblPedidos[[#This Row],[costo_devolucion_estimado]]),0)</f>
        <v>28104.5</v>
      </c>
      <c r="V895">
        <v>168627</v>
      </c>
      <c r="W895">
        <v>69900</v>
      </c>
      <c r="X895">
        <v>18345.5</v>
      </c>
      <c r="Y895">
        <v>23450</v>
      </c>
      <c r="Z895" s="11">
        <v>46031</v>
      </c>
      <c r="AA895">
        <v>13</v>
      </c>
      <c r="AB895" s="12">
        <v>0.625</v>
      </c>
      <c r="AC895" t="s">
        <v>720</v>
      </c>
      <c r="AD895" t="s">
        <v>720</v>
      </c>
      <c r="AE895" t="s">
        <v>720</v>
      </c>
    </row>
    <row r="896" spans="1:31">
      <c r="A896" t="s">
        <v>1343</v>
      </c>
      <c r="B896" t="s">
        <v>2946</v>
      </c>
      <c r="C896">
        <v>188</v>
      </c>
      <c r="D896" t="s">
        <v>5128</v>
      </c>
      <c r="E896" s="11">
        <v>46029</v>
      </c>
      <c r="F896" t="s">
        <v>5129</v>
      </c>
      <c r="G896" t="s">
        <v>45</v>
      </c>
      <c r="J896" t="s">
        <v>720</v>
      </c>
      <c r="K896" t="s">
        <v>5130</v>
      </c>
      <c r="L896" t="s">
        <v>46</v>
      </c>
      <c r="M896" t="s">
        <v>94</v>
      </c>
      <c r="N896" t="s">
        <v>5131</v>
      </c>
      <c r="O896" t="s">
        <v>5132</v>
      </c>
      <c r="P896" s="46" t="str" cm="1">
        <f t="array" aca="1" ref="P896" ca="1">IFERROR(_xlfn.XLOOKUP(tblPedidos[[#This Row],[id_dropi]],tblNotas[[#This Row],[id__dropi]],tblNotas[[#This Row],[Notas Manuales]], “”, 0),"")</f>
        <v/>
      </c>
      <c r="R896" t="s">
        <v>2983</v>
      </c>
      <c r="S896">
        <v>28104.5</v>
      </c>
      <c r="T896">
        <v>-18345.5</v>
      </c>
      <c r="U896" cm="1">
        <f t="array" ref="U896">IFERROR(_xlfn.IFS(tblPedidos[[#This Row],[estado_operativo]]="ENTREGADO",tblPedidos[[#This Row],[ganancia_calc]],tblPedidos[[#This Row],[estado_operativo]]="DEVOLUCION",tblPedidos[[#This Row],[costo_devolucion_estimado]]),0)</f>
        <v>28104.5</v>
      </c>
      <c r="V896">
        <v>168627</v>
      </c>
      <c r="W896">
        <v>69900</v>
      </c>
      <c r="X896">
        <v>18345.5</v>
      </c>
      <c r="Y896">
        <v>23450</v>
      </c>
      <c r="Z896" s="11">
        <v>46031</v>
      </c>
      <c r="AA896">
        <v>13</v>
      </c>
      <c r="AB896" s="12">
        <v>0.62083333333333335</v>
      </c>
      <c r="AC896" t="s">
        <v>720</v>
      </c>
      <c r="AD896" t="s">
        <v>720</v>
      </c>
      <c r="AE896" t="s">
        <v>720</v>
      </c>
    </row>
    <row r="897" spans="1:31">
      <c r="A897" t="s">
        <v>1343</v>
      </c>
      <c r="B897" t="s">
        <v>2946</v>
      </c>
      <c r="C897">
        <v>186</v>
      </c>
      <c r="D897" t="s">
        <v>5133</v>
      </c>
      <c r="E897" s="11">
        <v>46029</v>
      </c>
      <c r="F897" t="s">
        <v>5134</v>
      </c>
      <c r="G897" t="s">
        <v>45</v>
      </c>
      <c r="J897" t="s">
        <v>720</v>
      </c>
      <c r="K897" t="s">
        <v>5135</v>
      </c>
      <c r="L897" t="s">
        <v>54</v>
      </c>
      <c r="M897" t="s">
        <v>2564</v>
      </c>
      <c r="N897" t="s">
        <v>5136</v>
      </c>
      <c r="O897" t="s">
        <v>5137</v>
      </c>
      <c r="P897" s="46" t="str" cm="1">
        <f t="array" aca="1" ref="P897" ca="1">IFERROR(_xlfn.XLOOKUP(tblPedidos[[#This Row],[id_dropi]],tblNotas[[#This Row],[id__dropi]],tblNotas[[#This Row],[Notas Manuales]], “”, 0),"")</f>
        <v/>
      </c>
      <c r="R897" t="s">
        <v>2983</v>
      </c>
      <c r="S897">
        <v>28104.5</v>
      </c>
      <c r="T897">
        <v>-18345.5</v>
      </c>
      <c r="U897" cm="1">
        <f t="array" ref="U897">IFERROR(_xlfn.IFS(tblPedidos[[#This Row],[estado_operativo]]="ENTREGADO",tblPedidos[[#This Row],[ganancia_calc]],tblPedidos[[#This Row],[estado_operativo]]="DEVOLUCION",tblPedidos[[#This Row],[costo_devolucion_estimado]]),0)</f>
        <v>28104.5</v>
      </c>
      <c r="V897">
        <v>168627</v>
      </c>
      <c r="W897">
        <v>69900</v>
      </c>
      <c r="X897">
        <v>18345.5</v>
      </c>
      <c r="Y897">
        <v>23450</v>
      </c>
      <c r="Z897" s="11">
        <v>46035</v>
      </c>
      <c r="AA897">
        <v>9</v>
      </c>
      <c r="AB897" s="12">
        <v>0.76041666666666663</v>
      </c>
      <c r="AC897" t="s">
        <v>720</v>
      </c>
      <c r="AD897" t="s">
        <v>720</v>
      </c>
      <c r="AE897" t="s">
        <v>720</v>
      </c>
    </row>
    <row r="898" spans="1:31">
      <c r="A898" t="s">
        <v>1343</v>
      </c>
      <c r="B898" t="s">
        <v>2946</v>
      </c>
      <c r="C898">
        <v>184</v>
      </c>
      <c r="D898" t="s">
        <v>5138</v>
      </c>
      <c r="E898" s="11">
        <v>46029</v>
      </c>
      <c r="F898" t="s">
        <v>5139</v>
      </c>
      <c r="G898" t="s">
        <v>45</v>
      </c>
      <c r="J898" t="s">
        <v>720</v>
      </c>
      <c r="K898" t="s">
        <v>5140</v>
      </c>
      <c r="L898" t="s">
        <v>111</v>
      </c>
      <c r="M898" t="s">
        <v>5141</v>
      </c>
      <c r="N898" t="s">
        <v>5142</v>
      </c>
      <c r="O898" t="s">
        <v>5143</v>
      </c>
      <c r="P898" s="46" t="str" cm="1">
        <f t="array" aca="1" ref="P898" ca="1">IFERROR(_xlfn.XLOOKUP(tblPedidos[[#This Row],[id_dropi]],tblNotas[[#This Row],[id__dropi]],tblNotas[[#This Row],[Notas Manuales]], “”, 0),"")</f>
        <v/>
      </c>
      <c r="Q898" t="s">
        <v>50</v>
      </c>
      <c r="R898" t="s">
        <v>3137</v>
      </c>
      <c r="S898">
        <v>22054.5</v>
      </c>
      <c r="T898">
        <v>-17895.5</v>
      </c>
      <c r="U898" cm="1">
        <f t="array" ref="U898">IFERROR(_xlfn.IFS(tblPedidos[[#This Row],[estado_operativo]]="ENTREGADO",tblPedidos[[#This Row],[ganancia_calc]],tblPedidos[[#This Row],[estado_operativo]]="DEVOLUCION",tblPedidos[[#This Row],[costo_devolucion_estimado]]),0)</f>
        <v>22054.5</v>
      </c>
      <c r="V898">
        <v>132327</v>
      </c>
      <c r="W898">
        <v>59900</v>
      </c>
      <c r="X898">
        <v>17895.5</v>
      </c>
      <c r="Y898">
        <v>19950</v>
      </c>
      <c r="Z898" s="11">
        <v>46035</v>
      </c>
      <c r="AA898">
        <v>9</v>
      </c>
      <c r="AB898" s="12">
        <v>0.33402777777777776</v>
      </c>
      <c r="AC898" t="s">
        <v>720</v>
      </c>
      <c r="AD898" t="s">
        <v>720</v>
      </c>
      <c r="AE898" t="s">
        <v>720</v>
      </c>
    </row>
    <row r="899" spans="1:31">
      <c r="A899" t="s">
        <v>1343</v>
      </c>
      <c r="B899" t="s">
        <v>2946</v>
      </c>
      <c r="C899">
        <v>185</v>
      </c>
      <c r="D899" t="s">
        <v>5144</v>
      </c>
      <c r="E899" s="11">
        <v>46029</v>
      </c>
      <c r="F899" t="s">
        <v>5145</v>
      </c>
      <c r="G899" t="s">
        <v>45</v>
      </c>
      <c r="J899" t="s">
        <v>720</v>
      </c>
      <c r="K899" t="s">
        <v>5146</v>
      </c>
      <c r="L899" t="s">
        <v>81</v>
      </c>
      <c r="M899" t="s">
        <v>914</v>
      </c>
      <c r="N899" t="s">
        <v>5147</v>
      </c>
      <c r="O899" t="s">
        <v>5148</v>
      </c>
      <c r="P899" s="46" t="str" cm="1">
        <f t="array" aca="1" ref="P899" ca="1">IFERROR(_xlfn.XLOOKUP(tblPedidos[[#This Row],[id_dropi]],tblNotas[[#This Row],[id__dropi]],tblNotas[[#This Row],[Notas Manuales]], “”, 0),"")</f>
        <v/>
      </c>
      <c r="Q899" t="s">
        <v>50</v>
      </c>
      <c r="R899" t="s">
        <v>4707</v>
      </c>
      <c r="S899">
        <v>26654.5</v>
      </c>
      <c r="T899">
        <v>-19245.5</v>
      </c>
      <c r="U899" cm="1">
        <f t="array" ref="U899">IFERROR(_xlfn.IFS(tblPedidos[[#This Row],[estado_operativo]]="ENTREGADO",tblPedidos[[#This Row],[ganancia_calc]],tblPedidos[[#This Row],[estado_operativo]]="DEVOLUCION",tblPedidos[[#This Row],[costo_devolucion_estimado]]),0)</f>
        <v>26654.5</v>
      </c>
      <c r="V899">
        <v>159927</v>
      </c>
      <c r="W899">
        <v>89900</v>
      </c>
      <c r="X899">
        <v>19245.5</v>
      </c>
      <c r="Y899">
        <v>44000</v>
      </c>
      <c r="Z899" s="11">
        <v>46035</v>
      </c>
      <c r="AA899">
        <v>9</v>
      </c>
      <c r="AB899" s="12">
        <v>0.67777777777777781</v>
      </c>
      <c r="AC899" t="s">
        <v>720</v>
      </c>
      <c r="AD899" t="s">
        <v>720</v>
      </c>
      <c r="AE899" t="s">
        <v>720</v>
      </c>
    </row>
    <row r="900" spans="1:31">
      <c r="A900" t="s">
        <v>1343</v>
      </c>
      <c r="B900" t="s">
        <v>2946</v>
      </c>
      <c r="C900">
        <v>192</v>
      </c>
      <c r="D900" t="s">
        <v>5149</v>
      </c>
      <c r="E900" s="11">
        <v>46029</v>
      </c>
      <c r="F900" t="s">
        <v>5150</v>
      </c>
      <c r="G900" t="s">
        <v>45</v>
      </c>
      <c r="J900" t="s">
        <v>720</v>
      </c>
      <c r="K900" t="s">
        <v>5151</v>
      </c>
      <c r="L900" t="s">
        <v>38</v>
      </c>
      <c r="M900" t="s">
        <v>5152</v>
      </c>
      <c r="N900" t="s">
        <v>5153</v>
      </c>
      <c r="O900" t="s">
        <v>5154</v>
      </c>
      <c r="P900" s="46" t="str" cm="1">
        <f t="array" aca="1" ref="P900" ca="1">IFERROR(_xlfn.XLOOKUP(tblPedidos[[#This Row],[id_dropi]],tblNotas[[#This Row],[id__dropi]],tblNotas[[#This Row],[Notas Manuales]], “”, 0),"")</f>
        <v/>
      </c>
      <c r="Q900" t="s">
        <v>50</v>
      </c>
      <c r="R900" t="s">
        <v>3014</v>
      </c>
      <c r="S900">
        <v>22829.5</v>
      </c>
      <c r="T900">
        <v>-17670.5</v>
      </c>
      <c r="U900" cm="1">
        <f t="array" ref="U900">IFERROR(_xlfn.IFS(tblPedidos[[#This Row],[estado_operativo]]="ENTREGADO",tblPedidos[[#This Row],[ganancia_calc]],tblPedidos[[#This Row],[estado_operativo]]="DEVOLUCION",tblPedidos[[#This Row],[costo_devolucion_estimado]]),0)</f>
        <v>22829.5</v>
      </c>
      <c r="V900">
        <v>136977</v>
      </c>
      <c r="W900">
        <v>54900</v>
      </c>
      <c r="X900">
        <v>17670.5</v>
      </c>
      <c r="Y900">
        <v>14400</v>
      </c>
      <c r="Z900" s="11">
        <v>46037</v>
      </c>
      <c r="AA900">
        <v>7</v>
      </c>
      <c r="AB900" s="12">
        <v>0.67986111111111114</v>
      </c>
      <c r="AC900" t="s">
        <v>720</v>
      </c>
      <c r="AD900" t="s">
        <v>720</v>
      </c>
      <c r="AE900" t="s">
        <v>720</v>
      </c>
    </row>
    <row r="901" spans="1:31">
      <c r="A901" t="s">
        <v>1343</v>
      </c>
      <c r="B901" t="s">
        <v>2946</v>
      </c>
      <c r="C901">
        <v>193</v>
      </c>
      <c r="D901" t="s">
        <v>5155</v>
      </c>
      <c r="E901" s="11">
        <v>46029</v>
      </c>
      <c r="F901" t="s">
        <v>5156</v>
      </c>
      <c r="G901" t="s">
        <v>45</v>
      </c>
      <c r="J901" t="s">
        <v>720</v>
      </c>
      <c r="K901" t="s">
        <v>5157</v>
      </c>
      <c r="L901" t="s">
        <v>159</v>
      </c>
      <c r="M901" t="s">
        <v>160</v>
      </c>
      <c r="N901" t="s">
        <v>5158</v>
      </c>
      <c r="O901" t="s">
        <v>5159</v>
      </c>
      <c r="P901" s="46" t="str" cm="1">
        <f t="array" aca="1" ref="P901" ca="1">IFERROR(_xlfn.XLOOKUP(tblPedidos[[#This Row],[id_dropi]],tblNotas[[#This Row],[id__dropi]],tblNotas[[#This Row],[Notas Manuales]], “”, 0),"")</f>
        <v/>
      </c>
      <c r="R901" t="s">
        <v>3014</v>
      </c>
      <c r="S901">
        <v>22829.5</v>
      </c>
      <c r="T901">
        <v>-17670.5</v>
      </c>
      <c r="U901" cm="1">
        <f t="array" ref="U901">IFERROR(_xlfn.IFS(tblPedidos[[#This Row],[estado_operativo]]="ENTREGADO",tblPedidos[[#This Row],[ganancia_calc]],tblPedidos[[#This Row],[estado_operativo]]="DEVOLUCION",tblPedidos[[#This Row],[costo_devolucion_estimado]]),0)</f>
        <v>22829.5</v>
      </c>
      <c r="V901">
        <v>136977</v>
      </c>
      <c r="W901">
        <v>54900</v>
      </c>
      <c r="X901">
        <v>17670.5</v>
      </c>
      <c r="Y901">
        <v>14400</v>
      </c>
      <c r="Z901" s="11">
        <v>46032</v>
      </c>
      <c r="AA901">
        <v>12</v>
      </c>
      <c r="AB901" s="12">
        <v>5.2083333333333336E-2</v>
      </c>
      <c r="AC901" t="s">
        <v>720</v>
      </c>
      <c r="AD901" t="s">
        <v>720</v>
      </c>
      <c r="AE901" t="s">
        <v>720</v>
      </c>
    </row>
    <row r="902" spans="1:31">
      <c r="A902" t="s">
        <v>1343</v>
      </c>
      <c r="B902" t="s">
        <v>2946</v>
      </c>
      <c r="C902">
        <v>191</v>
      </c>
      <c r="D902" t="s">
        <v>5160</v>
      </c>
      <c r="E902" s="11">
        <v>46029</v>
      </c>
      <c r="F902" t="s">
        <v>5161</v>
      </c>
      <c r="G902" t="s">
        <v>45</v>
      </c>
      <c r="J902" t="s">
        <v>720</v>
      </c>
      <c r="K902" t="s">
        <v>5162</v>
      </c>
      <c r="L902" t="s">
        <v>68</v>
      </c>
      <c r="M902" t="s">
        <v>729</v>
      </c>
      <c r="N902" t="s">
        <v>5163</v>
      </c>
      <c r="O902" t="s">
        <v>5164</v>
      </c>
      <c r="P902" s="46" t="str" cm="1">
        <f t="array" aca="1" ref="P902" ca="1">IFERROR(_xlfn.XLOOKUP(tblPedidos[[#This Row],[id_dropi]],tblNotas[[#This Row],[id__dropi]],tblNotas[[#This Row],[Notas Manuales]], “”, 0),"")</f>
        <v/>
      </c>
      <c r="Q902" t="s">
        <v>50</v>
      </c>
      <c r="R902" t="s">
        <v>3014</v>
      </c>
      <c r="S902">
        <v>22829.5</v>
      </c>
      <c r="T902">
        <v>-17670.5</v>
      </c>
      <c r="U902" cm="1">
        <f t="array" ref="U902">IFERROR(_xlfn.IFS(tblPedidos[[#This Row],[estado_operativo]]="ENTREGADO",tblPedidos[[#This Row],[ganancia_calc]],tblPedidos[[#This Row],[estado_operativo]]="DEVOLUCION",tblPedidos[[#This Row],[costo_devolucion_estimado]]),0)</f>
        <v>22829.5</v>
      </c>
      <c r="V902">
        <v>136977</v>
      </c>
      <c r="W902">
        <v>54900</v>
      </c>
      <c r="X902">
        <v>17670.5</v>
      </c>
      <c r="Y902">
        <v>14400</v>
      </c>
      <c r="Z902" s="11">
        <v>46035</v>
      </c>
      <c r="AA902">
        <v>9</v>
      </c>
      <c r="AB902" s="12">
        <v>0.38124999999999998</v>
      </c>
      <c r="AC902" t="s">
        <v>720</v>
      </c>
      <c r="AD902" t="s">
        <v>720</v>
      </c>
      <c r="AE902" t="s">
        <v>720</v>
      </c>
    </row>
    <row r="903" spans="1:31">
      <c r="A903" t="s">
        <v>1343</v>
      </c>
      <c r="B903" t="s">
        <v>2946</v>
      </c>
      <c r="C903">
        <v>189</v>
      </c>
      <c r="D903" t="s">
        <v>5165</v>
      </c>
      <c r="E903" s="11">
        <v>46029</v>
      </c>
      <c r="F903" t="s">
        <v>5166</v>
      </c>
      <c r="G903" t="s">
        <v>45</v>
      </c>
      <c r="J903" t="s">
        <v>720</v>
      </c>
      <c r="K903" t="s">
        <v>5167</v>
      </c>
      <c r="L903" t="s">
        <v>212</v>
      </c>
      <c r="M903" t="s">
        <v>213</v>
      </c>
      <c r="N903" t="s">
        <v>5168</v>
      </c>
      <c r="O903" t="s">
        <v>5169</v>
      </c>
      <c r="P903" s="46" t="str" cm="1">
        <f t="array" aca="1" ref="P903" ca="1">IFERROR(_xlfn.XLOOKUP(tblPedidos[[#This Row],[id_dropi]],tblNotas[[#This Row],[id__dropi]],tblNotas[[#This Row],[Notas Manuales]], “”, 0),"")</f>
        <v/>
      </c>
      <c r="R903" t="s">
        <v>3200</v>
      </c>
      <c r="S903">
        <v>32079.5</v>
      </c>
      <c r="T903">
        <v>-14020.5</v>
      </c>
      <c r="U903" cm="1">
        <f t="array" ref="U903">IFERROR(_xlfn.IFS(tblPedidos[[#This Row],[estado_operativo]]="ENTREGADO",tblPedidos[[#This Row],[ganancia_calc]],tblPedidos[[#This Row],[estado_operativo]]="DEVOLUCION",tblPedidos[[#This Row],[costo_devolucion_estimado]]),0)</f>
        <v>32079.5</v>
      </c>
      <c r="V903">
        <v>192477</v>
      </c>
      <c r="W903">
        <v>74900</v>
      </c>
      <c r="X903">
        <v>14020.5</v>
      </c>
      <c r="Y903">
        <v>28800</v>
      </c>
      <c r="Z903" s="11">
        <v>46032</v>
      </c>
      <c r="AA903">
        <v>12</v>
      </c>
      <c r="AB903" s="12">
        <v>0.67152777777777772</v>
      </c>
      <c r="AC903" t="s">
        <v>720</v>
      </c>
      <c r="AD903" t="s">
        <v>720</v>
      </c>
      <c r="AE903" t="s">
        <v>720</v>
      </c>
    </row>
    <row r="904" spans="1:31">
      <c r="A904" t="s">
        <v>1343</v>
      </c>
      <c r="C904">
        <v>190</v>
      </c>
      <c r="D904" t="s">
        <v>5170</v>
      </c>
      <c r="E904" s="11">
        <v>46029</v>
      </c>
      <c r="F904" t="s">
        <v>5171</v>
      </c>
      <c r="G904" t="s">
        <v>45</v>
      </c>
      <c r="J904" t="s">
        <v>1657</v>
      </c>
      <c r="K904" t="s">
        <v>5172</v>
      </c>
      <c r="L904" t="s">
        <v>590</v>
      </c>
      <c r="M904" t="s">
        <v>5173</v>
      </c>
      <c r="N904" t="s">
        <v>5174</v>
      </c>
      <c r="O904" t="s">
        <v>5175</v>
      </c>
      <c r="P904" s="46" t="str" cm="1">
        <f t="array" aca="1" ref="P904" ca="1">IFERROR(_xlfn.XLOOKUP(tblPedidos[[#This Row],[id_dropi]],tblNotas[[#This Row],[id__dropi]],tblNotas[[#This Row],[Notas Manuales]], “”, 0),"")</f>
        <v/>
      </c>
      <c r="Q904" t="s">
        <v>50</v>
      </c>
      <c r="R904" t="s">
        <v>3200</v>
      </c>
      <c r="S904">
        <v>27529.5</v>
      </c>
      <c r="T904">
        <v>-18570.5</v>
      </c>
      <c r="U904" cm="1">
        <f t="array" ref="U904">IFERROR(_xlfn.IFS(tblPedidos[[#This Row],[estado_operativo]]="ENTREGADO",tblPedidos[[#This Row],[ganancia_calc]],tblPedidos[[#This Row],[estado_operativo]]="DEVOLUCION",tblPedidos[[#This Row],[costo_devolucion_estimado]]),0)</f>
        <v>-18570.5</v>
      </c>
      <c r="V904">
        <v>-18570.5</v>
      </c>
      <c r="W904">
        <v>74900</v>
      </c>
      <c r="X904">
        <v>18570.5</v>
      </c>
      <c r="Y904">
        <v>28800</v>
      </c>
      <c r="Z904" s="11">
        <v>46043</v>
      </c>
      <c r="AA904">
        <v>1</v>
      </c>
      <c r="AB904" s="12">
        <v>0.50972222222222219</v>
      </c>
      <c r="AC904" t="s">
        <v>944</v>
      </c>
      <c r="AD904" t="s">
        <v>1657</v>
      </c>
      <c r="AE904" t="s">
        <v>1657</v>
      </c>
    </row>
    <row r="905" spans="1:31">
      <c r="A905" t="s">
        <v>33</v>
      </c>
      <c r="C905">
        <v>183</v>
      </c>
      <c r="D905" t="s">
        <v>5176</v>
      </c>
      <c r="E905" s="11">
        <v>46029</v>
      </c>
      <c r="F905" t="s">
        <v>5177</v>
      </c>
      <c r="G905" t="s">
        <v>36</v>
      </c>
      <c r="J905" t="s">
        <v>3550</v>
      </c>
      <c r="K905" t="s">
        <v>5178</v>
      </c>
      <c r="L905" t="s">
        <v>322</v>
      </c>
      <c r="M905" t="s">
        <v>2788</v>
      </c>
      <c r="N905" t="s">
        <v>5179</v>
      </c>
      <c r="O905" t="s">
        <v>5180</v>
      </c>
      <c r="P905" s="46" t="str" cm="1">
        <f t="array" aca="1" ref="P905" ca="1">IFERROR(_xlfn.XLOOKUP(tblPedidos[[#This Row],[id_dropi]],tblNotas[[#This Row],[id__dropi]],tblNotas[[#This Row],[Notas Manuales]], “”, 0),"")</f>
        <v/>
      </c>
      <c r="R905" t="s">
        <v>3014</v>
      </c>
      <c r="S905">
        <v>25511.5</v>
      </c>
      <c r="T905">
        <v>-11990.800000000001</v>
      </c>
      <c r="U905" cm="1">
        <f t="array" ref="U905">IFERROR(_xlfn.IFS(tblPedidos[[#This Row],[estado_operativo]]="ENTREGADO",tblPedidos[[#This Row],[ganancia_calc]],tblPedidos[[#This Row],[estado_operativo]]="DEVOLUCION",tblPedidos[[#This Row],[costo_devolucion_estimado]]),0)</f>
        <v>0</v>
      </c>
      <c r="V905">
        <v>0</v>
      </c>
      <c r="W905">
        <v>54900</v>
      </c>
      <c r="X905">
        <v>14988.5</v>
      </c>
      <c r="Y905">
        <v>14400</v>
      </c>
      <c r="Z905" s="11">
        <v>46031</v>
      </c>
      <c r="AA905">
        <v>13</v>
      </c>
      <c r="AB905" s="12">
        <v>0.49791666666666667</v>
      </c>
      <c r="AC905" t="s">
        <v>399</v>
      </c>
      <c r="AD905" t="s">
        <v>3550</v>
      </c>
      <c r="AE905" t="s">
        <v>3550</v>
      </c>
    </row>
    <row r="906" spans="1:31">
      <c r="A906" t="s">
        <v>1343</v>
      </c>
      <c r="B906" t="s">
        <v>2946</v>
      </c>
      <c r="C906">
        <v>176</v>
      </c>
      <c r="D906" t="s">
        <v>5181</v>
      </c>
      <c r="E906" s="11">
        <v>46029</v>
      </c>
      <c r="F906" t="s">
        <v>5182</v>
      </c>
      <c r="G906" t="s">
        <v>45</v>
      </c>
      <c r="J906" t="s">
        <v>720</v>
      </c>
      <c r="K906" t="s">
        <v>5183</v>
      </c>
      <c r="L906" t="s">
        <v>590</v>
      </c>
      <c r="M906" t="s">
        <v>1890</v>
      </c>
      <c r="N906" t="s">
        <v>5184</v>
      </c>
      <c r="O906" t="s">
        <v>5185</v>
      </c>
      <c r="P906" s="46" t="str" cm="1">
        <f t="array" aca="1" ref="P906" ca="1">IFERROR(_xlfn.XLOOKUP(tblPedidos[[#This Row],[id_dropi]],tblNotas[[#This Row],[id__dropi]],tblNotas[[#This Row],[Notas Manuales]], “”, 0),"")</f>
        <v/>
      </c>
      <c r="Q906" t="s">
        <v>50</v>
      </c>
      <c r="R906" t="s">
        <v>3014</v>
      </c>
      <c r="S906">
        <v>22829.5</v>
      </c>
      <c r="T906">
        <v>-17670.5</v>
      </c>
      <c r="U906" cm="1">
        <f t="array" ref="U906">IFERROR(_xlfn.IFS(tblPedidos[[#This Row],[estado_operativo]]="ENTREGADO",tblPedidos[[#This Row],[ganancia_calc]],tblPedidos[[#This Row],[estado_operativo]]="DEVOLUCION",tblPedidos[[#This Row],[costo_devolucion_estimado]]),0)</f>
        <v>22829.5</v>
      </c>
      <c r="V906">
        <v>136977</v>
      </c>
      <c r="W906">
        <v>54900</v>
      </c>
      <c r="X906">
        <v>17670.5</v>
      </c>
      <c r="Y906">
        <v>14400</v>
      </c>
      <c r="Z906" s="11">
        <v>46036</v>
      </c>
      <c r="AA906">
        <v>8</v>
      </c>
      <c r="AB906" s="12">
        <v>0.50972222222222219</v>
      </c>
      <c r="AC906" t="s">
        <v>720</v>
      </c>
      <c r="AD906" t="s">
        <v>720</v>
      </c>
      <c r="AE906" t="s">
        <v>720</v>
      </c>
    </row>
    <row r="907" spans="1:31">
      <c r="A907" t="s">
        <v>33</v>
      </c>
      <c r="C907">
        <v>177</v>
      </c>
      <c r="D907" t="s">
        <v>5186</v>
      </c>
      <c r="E907" s="11">
        <v>46029</v>
      </c>
      <c r="F907" t="s">
        <v>5187</v>
      </c>
      <c r="G907" t="s">
        <v>45</v>
      </c>
      <c r="J907" t="s">
        <v>1371</v>
      </c>
      <c r="K907" t="s">
        <v>5188</v>
      </c>
      <c r="L907" t="s">
        <v>322</v>
      </c>
      <c r="M907" t="s">
        <v>2211</v>
      </c>
      <c r="N907" t="s">
        <v>2212</v>
      </c>
      <c r="O907" t="s">
        <v>5189</v>
      </c>
      <c r="P907" s="46" t="str" cm="1">
        <f t="array" aca="1" ref="P907" ca="1">IFERROR(_xlfn.XLOOKUP(tblPedidos[[#This Row],[id_dropi]],tblNotas[[#This Row],[id__dropi]],tblNotas[[#This Row],[Notas Manuales]], “”, 0),"")</f>
        <v/>
      </c>
      <c r="Q907" t="s">
        <v>50</v>
      </c>
      <c r="R907" t="s">
        <v>3014</v>
      </c>
      <c r="S907">
        <v>22829.5</v>
      </c>
      <c r="T907">
        <v>-17670.5</v>
      </c>
      <c r="U907" cm="1">
        <f t="array" ref="U907">IFERROR(_xlfn.IFS(tblPedidos[[#This Row],[estado_operativo]]="ENTREGADO",tblPedidos[[#This Row],[ganancia_calc]],tblPedidos[[#This Row],[estado_operativo]]="DEVOLUCION",tblPedidos[[#This Row],[costo_devolucion_estimado]]),0)</f>
        <v>0</v>
      </c>
      <c r="V907">
        <v>0</v>
      </c>
      <c r="W907">
        <v>54900</v>
      </c>
      <c r="X907">
        <v>17670.5</v>
      </c>
      <c r="Y907">
        <v>14400</v>
      </c>
      <c r="Z907" s="11">
        <v>46043</v>
      </c>
      <c r="AA907">
        <v>1</v>
      </c>
      <c r="AB907" s="12">
        <v>0.4375</v>
      </c>
      <c r="AC907" t="s">
        <v>982</v>
      </c>
      <c r="AD907" t="s">
        <v>982</v>
      </c>
      <c r="AE907" t="s">
        <v>1371</v>
      </c>
    </row>
    <row r="908" spans="1:31">
      <c r="A908" t="s">
        <v>1343</v>
      </c>
      <c r="B908" t="s">
        <v>2946</v>
      </c>
      <c r="C908">
        <v>175</v>
      </c>
      <c r="D908" t="s">
        <v>5190</v>
      </c>
      <c r="E908" s="11">
        <v>46029</v>
      </c>
      <c r="F908" t="s">
        <v>5191</v>
      </c>
      <c r="G908" t="s">
        <v>45</v>
      </c>
      <c r="J908" t="s">
        <v>1657</v>
      </c>
      <c r="K908" t="s">
        <v>5192</v>
      </c>
      <c r="L908" t="s">
        <v>46</v>
      </c>
      <c r="M908" t="s">
        <v>94</v>
      </c>
      <c r="N908" t="s">
        <v>5193</v>
      </c>
      <c r="O908" t="s">
        <v>5194</v>
      </c>
      <c r="P908" s="46" t="str" cm="1">
        <f t="array" aca="1" ref="P908" ca="1">IFERROR(_xlfn.XLOOKUP(tblPedidos[[#This Row],[id_dropi]],tblNotas[[#This Row],[id__dropi]],tblNotas[[#This Row],[Notas Manuales]], “”, 0),"")</f>
        <v/>
      </c>
      <c r="R908" t="s">
        <v>3014</v>
      </c>
      <c r="S908">
        <v>28779.5</v>
      </c>
      <c r="T908">
        <v>-11720.5</v>
      </c>
      <c r="U908" cm="1">
        <f t="array" ref="U908">IFERROR(_xlfn.IFS(tblPedidos[[#This Row],[estado_operativo]]="ENTREGADO",tblPedidos[[#This Row],[ganancia_calc]],tblPedidos[[#This Row],[estado_operativo]]="DEVOLUCION",tblPedidos[[#This Row],[costo_devolucion_estimado]]),0)</f>
        <v>-11720.5</v>
      </c>
      <c r="V908">
        <v>-70323</v>
      </c>
      <c r="W908">
        <v>54900</v>
      </c>
      <c r="X908">
        <v>11720.5</v>
      </c>
      <c r="Y908">
        <v>14400</v>
      </c>
      <c r="Z908" s="11">
        <v>46032</v>
      </c>
      <c r="AA908">
        <v>12</v>
      </c>
      <c r="AB908" s="12">
        <v>0.51041666666666663</v>
      </c>
      <c r="AC908" t="s">
        <v>1657</v>
      </c>
      <c r="AD908" t="s">
        <v>1657</v>
      </c>
      <c r="AE908" t="s">
        <v>1657</v>
      </c>
    </row>
    <row r="909" spans="1:31">
      <c r="A909" t="s">
        <v>1343</v>
      </c>
      <c r="B909" t="s">
        <v>2946</v>
      </c>
      <c r="C909">
        <v>173</v>
      </c>
      <c r="D909" t="s">
        <v>5195</v>
      </c>
      <c r="E909" s="11">
        <v>46029</v>
      </c>
      <c r="F909" t="s">
        <v>5196</v>
      </c>
      <c r="G909" t="s">
        <v>36</v>
      </c>
      <c r="J909" t="s">
        <v>720</v>
      </c>
      <c r="K909" t="s">
        <v>5197</v>
      </c>
      <c r="L909" t="s">
        <v>38</v>
      </c>
      <c r="M909" t="s">
        <v>39</v>
      </c>
      <c r="N909" t="s">
        <v>5198</v>
      </c>
      <c r="O909" t="s">
        <v>5199</v>
      </c>
      <c r="P909" s="46" t="str" cm="1">
        <f t="array" aca="1" ref="P909" ca="1">IFERROR(_xlfn.XLOOKUP(tblPedidos[[#This Row],[id_dropi]],tblNotas[[#This Row],[id__dropi]],tblNotas[[#This Row],[Notas Manuales]], “”, 0),"")</f>
        <v/>
      </c>
      <c r="R909" t="s">
        <v>3054</v>
      </c>
      <c r="S909">
        <v>16686.5</v>
      </c>
      <c r="T909">
        <v>-12170.800000000001</v>
      </c>
      <c r="U909" cm="1">
        <f t="array" ref="U909">IFERROR(_xlfn.IFS(tblPedidos[[#This Row],[estado_operativo]]="ENTREGADO",tblPedidos[[#This Row],[ganancia_calc]],tblPedidos[[#This Row],[estado_operativo]]="DEVOLUCION",tblPedidos[[#This Row],[costo_devolucion_estimado]]),0)</f>
        <v>16686.5</v>
      </c>
      <c r="V909">
        <v>100119</v>
      </c>
      <c r="W909">
        <v>59900</v>
      </c>
      <c r="X909">
        <v>15213.5</v>
      </c>
      <c r="Y909">
        <v>28000</v>
      </c>
      <c r="Z909" s="11">
        <v>46030</v>
      </c>
      <c r="AA909">
        <v>14</v>
      </c>
      <c r="AB909" s="12">
        <v>0.5708333333333333</v>
      </c>
      <c r="AC909" t="s">
        <v>788</v>
      </c>
      <c r="AD909" t="s">
        <v>720</v>
      </c>
      <c r="AE909" t="s">
        <v>720</v>
      </c>
    </row>
    <row r="910" spans="1:31">
      <c r="A910" t="s">
        <v>1343</v>
      </c>
      <c r="B910" t="s">
        <v>2946</v>
      </c>
      <c r="C910">
        <v>174</v>
      </c>
      <c r="D910" t="s">
        <v>5200</v>
      </c>
      <c r="E910" s="11">
        <v>46029</v>
      </c>
      <c r="F910" t="s">
        <v>5201</v>
      </c>
      <c r="G910" t="s">
        <v>45</v>
      </c>
      <c r="J910" t="s">
        <v>720</v>
      </c>
      <c r="K910" t="s">
        <v>5202</v>
      </c>
      <c r="L910" t="s">
        <v>234</v>
      </c>
      <c r="M910" t="s">
        <v>235</v>
      </c>
      <c r="N910" t="s">
        <v>5203</v>
      </c>
      <c r="O910" t="s">
        <v>5204</v>
      </c>
      <c r="P910" s="46" t="str" cm="1">
        <f t="array" aca="1" ref="P910" ca="1">IFERROR(_xlfn.XLOOKUP(tblPedidos[[#This Row],[id_dropi]],tblNotas[[#This Row],[id__dropi]],tblNotas[[#This Row],[Notas Manuales]], “”, 0),"")</f>
        <v/>
      </c>
      <c r="R910" t="s">
        <v>3213</v>
      </c>
      <c r="S910">
        <v>21554.5</v>
      </c>
      <c r="T910">
        <v>-13345.5</v>
      </c>
      <c r="U910" cm="1">
        <f t="array" ref="U910">IFERROR(_xlfn.IFS(tblPedidos[[#This Row],[estado_operativo]]="ENTREGADO",tblPedidos[[#This Row],[ganancia_calc]],tblPedidos[[#This Row],[estado_operativo]]="DEVOLUCION",tblPedidos[[#This Row],[costo_devolucion_estimado]]),0)</f>
        <v>21554.5</v>
      </c>
      <c r="V910">
        <v>129327</v>
      </c>
      <c r="W910">
        <v>59900</v>
      </c>
      <c r="X910">
        <v>13345.5</v>
      </c>
      <c r="Y910">
        <v>25000</v>
      </c>
      <c r="Z910" s="11">
        <v>46031</v>
      </c>
      <c r="AA910">
        <v>13</v>
      </c>
      <c r="AB910" s="12">
        <v>0.62847222222222221</v>
      </c>
      <c r="AC910" t="s">
        <v>720</v>
      </c>
      <c r="AD910" t="s">
        <v>720</v>
      </c>
      <c r="AE910" t="s">
        <v>720</v>
      </c>
    </row>
    <row r="911" spans="1:31">
      <c r="A911" t="s">
        <v>1343</v>
      </c>
      <c r="B911" t="s">
        <v>2946</v>
      </c>
      <c r="C911">
        <v>181</v>
      </c>
      <c r="D911" t="s">
        <v>5205</v>
      </c>
      <c r="E911" s="11">
        <v>46029</v>
      </c>
      <c r="F911" t="s">
        <v>5206</v>
      </c>
      <c r="G911" t="s">
        <v>36</v>
      </c>
      <c r="J911" t="s">
        <v>720</v>
      </c>
      <c r="K911" t="s">
        <v>5207</v>
      </c>
      <c r="L911" t="s">
        <v>54</v>
      </c>
      <c r="M911" t="s">
        <v>5208</v>
      </c>
      <c r="N911" t="s">
        <v>5209</v>
      </c>
      <c r="O911" t="s">
        <v>5210</v>
      </c>
      <c r="P911" s="46" t="str" cm="1">
        <f t="array" aca="1" ref="P911" ca="1">IFERROR(_xlfn.XLOOKUP(tblPedidos[[#This Row],[id_dropi]],tblNotas[[#This Row],[id__dropi]],tblNotas[[#This Row],[Notas Manuales]], “”, 0),"")</f>
        <v/>
      </c>
      <c r="R911" t="s">
        <v>5211</v>
      </c>
      <c r="S911">
        <v>-12518</v>
      </c>
      <c r="T911">
        <v>-10014.400000000001</v>
      </c>
      <c r="U911" cm="1">
        <f t="array" ref="U911">IFERROR(_xlfn.IFS(tblPedidos[[#This Row],[estado_operativo]]="ENTREGADO",tblPedidos[[#This Row],[ganancia_calc]],tblPedidos[[#This Row],[estado_operativo]]="DEVOLUCION",tblPedidos[[#This Row],[costo_devolucion_estimado]]),0)</f>
        <v>-12518</v>
      </c>
      <c r="V911">
        <v>-297108</v>
      </c>
      <c r="W911">
        <v>37000</v>
      </c>
      <c r="X911">
        <v>12518</v>
      </c>
      <c r="Y911">
        <v>37000</v>
      </c>
      <c r="Z911" s="11">
        <v>46030</v>
      </c>
      <c r="AA911">
        <v>14</v>
      </c>
      <c r="AB911" s="12">
        <v>0.56874999999999998</v>
      </c>
      <c r="AC911" t="s">
        <v>5212</v>
      </c>
      <c r="AD911" t="s">
        <v>720</v>
      </c>
      <c r="AE911" t="s">
        <v>720</v>
      </c>
    </row>
    <row r="912" spans="1:31">
      <c r="A912" t="s">
        <v>1343</v>
      </c>
      <c r="B912" t="s">
        <v>2946</v>
      </c>
      <c r="C912">
        <v>182</v>
      </c>
      <c r="D912" t="s">
        <v>5213</v>
      </c>
      <c r="E912" s="11">
        <v>46029</v>
      </c>
      <c r="F912" t="s">
        <v>5214</v>
      </c>
      <c r="G912" t="s">
        <v>45</v>
      </c>
      <c r="J912" t="s">
        <v>720</v>
      </c>
      <c r="K912" t="s">
        <v>5215</v>
      </c>
      <c r="L912" t="s">
        <v>1003</v>
      </c>
      <c r="M912" t="s">
        <v>1823</v>
      </c>
      <c r="N912" t="s">
        <v>5216</v>
      </c>
      <c r="O912" t="s">
        <v>5217</v>
      </c>
      <c r="P912" s="46" t="str" cm="1">
        <f t="array" aca="1" ref="P912" ca="1">IFERROR(_xlfn.XLOOKUP(tblPedidos[[#This Row],[id_dropi]],tblNotas[[#This Row],[id__dropi]],tblNotas[[#This Row],[Notas Manuales]], “”, 0),"")</f>
        <v/>
      </c>
      <c r="R912" t="s">
        <v>4707</v>
      </c>
      <c r="S912">
        <v>26654.5</v>
      </c>
      <c r="T912">
        <v>-19245.5</v>
      </c>
      <c r="U912" cm="1">
        <f t="array" ref="U912">IFERROR(_xlfn.IFS(tblPedidos[[#This Row],[estado_operativo]]="ENTREGADO",tblPedidos[[#This Row],[ganancia_calc]],tblPedidos[[#This Row],[estado_operativo]]="DEVOLUCION",tblPedidos[[#This Row],[costo_devolucion_estimado]]),0)</f>
        <v>26654.5</v>
      </c>
      <c r="V912">
        <v>159927</v>
      </c>
      <c r="W912">
        <v>89900</v>
      </c>
      <c r="X912">
        <v>19245.5</v>
      </c>
      <c r="Y912">
        <v>44000</v>
      </c>
      <c r="Z912" s="11">
        <v>46031</v>
      </c>
      <c r="AA912">
        <v>13</v>
      </c>
      <c r="AB912" s="12">
        <v>0.62847222222222221</v>
      </c>
      <c r="AC912" t="s">
        <v>720</v>
      </c>
      <c r="AD912" t="s">
        <v>720</v>
      </c>
      <c r="AE912" t="s">
        <v>720</v>
      </c>
    </row>
    <row r="913" spans="1:31">
      <c r="A913" t="s">
        <v>1343</v>
      </c>
      <c r="B913" t="s">
        <v>2946</v>
      </c>
      <c r="C913">
        <v>180</v>
      </c>
      <c r="D913" t="s">
        <v>5218</v>
      </c>
      <c r="E913" s="11">
        <v>46029</v>
      </c>
      <c r="F913" t="s">
        <v>5219</v>
      </c>
      <c r="G913" t="s">
        <v>958</v>
      </c>
      <c r="J913" t="s">
        <v>720</v>
      </c>
      <c r="K913" t="s">
        <v>5220</v>
      </c>
      <c r="L913" t="s">
        <v>81</v>
      </c>
      <c r="M913" t="s">
        <v>118</v>
      </c>
      <c r="N913" t="s">
        <v>5221</v>
      </c>
      <c r="O913" t="s">
        <v>5222</v>
      </c>
      <c r="P913" s="46" t="str" cm="1">
        <f t="array" aca="1" ref="P913" ca="1">IFERROR(_xlfn.XLOOKUP(tblPedidos[[#This Row],[id_dropi]],tblNotas[[#This Row],[id__dropi]],tblNotas[[#This Row],[Notas Manuales]], “”, 0),"")</f>
        <v/>
      </c>
      <c r="R913" t="s">
        <v>4707</v>
      </c>
      <c r="S913">
        <v>32253.5</v>
      </c>
      <c r="T913">
        <v>-10917.2</v>
      </c>
      <c r="U913" cm="1">
        <f t="array" ref="U913">IFERROR(_xlfn.IFS(tblPedidos[[#This Row],[estado_operativo]]="ENTREGADO",tblPedidos[[#This Row],[ganancia_calc]],tblPedidos[[#This Row],[estado_operativo]]="DEVOLUCION",tblPedidos[[#This Row],[costo_devolucion_estimado]]),0)</f>
        <v>32253.5</v>
      </c>
      <c r="V913">
        <v>193521</v>
      </c>
      <c r="W913">
        <v>89900</v>
      </c>
      <c r="X913">
        <v>13646.5</v>
      </c>
      <c r="Y913">
        <v>44000</v>
      </c>
      <c r="Z913" s="11">
        <v>46032</v>
      </c>
      <c r="AA913">
        <v>12</v>
      </c>
      <c r="AB913" s="12">
        <v>0.61875000000000002</v>
      </c>
      <c r="AC913" t="s">
        <v>720</v>
      </c>
      <c r="AD913" t="s">
        <v>720</v>
      </c>
      <c r="AE913" t="s">
        <v>720</v>
      </c>
    </row>
    <row r="914" spans="1:31">
      <c r="A914" t="s">
        <v>1343</v>
      </c>
      <c r="B914" t="s">
        <v>2946</v>
      </c>
      <c r="C914">
        <v>178</v>
      </c>
      <c r="D914" t="s">
        <v>5223</v>
      </c>
      <c r="E914" s="11">
        <v>46029</v>
      </c>
      <c r="F914" t="s">
        <v>5224</v>
      </c>
      <c r="G914" t="s">
        <v>45</v>
      </c>
      <c r="J914" t="s">
        <v>1657</v>
      </c>
      <c r="K914" t="s">
        <v>5225</v>
      </c>
      <c r="L914" t="s">
        <v>46</v>
      </c>
      <c r="M914" t="s">
        <v>509</v>
      </c>
      <c r="N914" t="s">
        <v>5226</v>
      </c>
      <c r="O914" t="s">
        <v>5227</v>
      </c>
      <c r="P914" s="46" t="str" cm="1">
        <f t="array" aca="1" ref="P914" ca="1">IFERROR(_xlfn.XLOOKUP(tblPedidos[[#This Row],[id_dropi]],tblNotas[[#This Row],[id__dropi]],tblNotas[[#This Row],[Notas Manuales]], “”, 0),"")</f>
        <v/>
      </c>
      <c r="Q914" t="s">
        <v>5228</v>
      </c>
      <c r="R914" t="s">
        <v>4707</v>
      </c>
      <c r="S914">
        <v>32604.5</v>
      </c>
      <c r="T914">
        <v>-13295.5</v>
      </c>
      <c r="U914" cm="1">
        <f t="array" ref="U914">IFERROR(_xlfn.IFS(tblPedidos[[#This Row],[estado_operativo]]="ENTREGADO",tblPedidos[[#This Row],[ganancia_calc]],tblPedidos[[#This Row],[estado_operativo]]="DEVOLUCION",tblPedidos[[#This Row],[costo_devolucion_estimado]]),0)</f>
        <v>-13295.5</v>
      </c>
      <c r="V914">
        <v>-79773</v>
      </c>
      <c r="W914">
        <v>89900</v>
      </c>
      <c r="X914">
        <v>13295.5</v>
      </c>
      <c r="Y914">
        <v>44000</v>
      </c>
      <c r="Z914" s="11">
        <v>46035</v>
      </c>
      <c r="AA914">
        <v>9</v>
      </c>
      <c r="AB914" s="12">
        <v>0.61319444444444449</v>
      </c>
      <c r="AC914" t="s">
        <v>1657</v>
      </c>
      <c r="AD914" t="s">
        <v>1657</v>
      </c>
      <c r="AE914" t="s">
        <v>1657</v>
      </c>
    </row>
    <row r="915" spans="1:31">
      <c r="A915" t="s">
        <v>1343</v>
      </c>
      <c r="B915" t="s">
        <v>2946</v>
      </c>
      <c r="C915">
        <v>179</v>
      </c>
      <c r="D915" t="s">
        <v>5229</v>
      </c>
      <c r="E915" s="11">
        <v>46029</v>
      </c>
      <c r="F915" t="s">
        <v>5230</v>
      </c>
      <c r="G915" t="s">
        <v>45</v>
      </c>
      <c r="J915" t="s">
        <v>720</v>
      </c>
      <c r="K915" t="s">
        <v>5231</v>
      </c>
      <c r="L915" t="s">
        <v>328</v>
      </c>
      <c r="M915" t="s">
        <v>329</v>
      </c>
      <c r="N915" t="s">
        <v>5232</v>
      </c>
      <c r="O915" t="s">
        <v>5233</v>
      </c>
      <c r="P915" s="46" t="str" cm="1">
        <f t="array" aca="1" ref="P915" ca="1">IFERROR(_xlfn.XLOOKUP(tblPedidos[[#This Row],[id_dropi]],tblNotas[[#This Row],[id__dropi]],tblNotas[[#This Row],[Notas Manuales]], “”, 0),"")</f>
        <v/>
      </c>
      <c r="R915" t="s">
        <v>2983</v>
      </c>
      <c r="S915">
        <v>23329.5</v>
      </c>
      <c r="T915">
        <v>-18120.5</v>
      </c>
      <c r="U915" cm="1">
        <f t="array" ref="U915">IFERROR(_xlfn.IFS(tblPedidos[[#This Row],[estado_operativo]]="ENTREGADO",tblPedidos[[#This Row],[ganancia_calc]],tblPedidos[[#This Row],[estado_operativo]]="DEVOLUCION",tblPedidos[[#This Row],[costo_devolucion_estimado]]),0)</f>
        <v>23329.5</v>
      </c>
      <c r="V915">
        <v>139977</v>
      </c>
      <c r="W915">
        <v>64900</v>
      </c>
      <c r="X915">
        <v>18120.5</v>
      </c>
      <c r="Y915">
        <v>23450</v>
      </c>
      <c r="Z915" s="11">
        <v>46031</v>
      </c>
      <c r="AA915">
        <v>13</v>
      </c>
      <c r="AB915" s="12">
        <v>0.62083333333333335</v>
      </c>
      <c r="AC915" t="s">
        <v>720</v>
      </c>
      <c r="AD915" t="s">
        <v>720</v>
      </c>
      <c r="AE915" t="s">
        <v>720</v>
      </c>
    </row>
    <row r="916" spans="1:31">
      <c r="A916" t="s">
        <v>1343</v>
      </c>
      <c r="B916" t="s">
        <v>2946</v>
      </c>
      <c r="C916">
        <v>114</v>
      </c>
      <c r="D916" t="s">
        <v>5234</v>
      </c>
      <c r="E916" s="11">
        <v>46028</v>
      </c>
      <c r="F916" t="s">
        <v>5235</v>
      </c>
      <c r="G916" t="s">
        <v>36</v>
      </c>
      <c r="J916" t="s">
        <v>720</v>
      </c>
      <c r="K916" t="s">
        <v>5236</v>
      </c>
      <c r="L916" t="s">
        <v>81</v>
      </c>
      <c r="M916" t="s">
        <v>914</v>
      </c>
      <c r="N916" t="s">
        <v>5237</v>
      </c>
      <c r="O916" t="s">
        <v>5238</v>
      </c>
      <c r="P916" s="46" t="str" cm="1">
        <f t="array" aca="1" ref="P916" ca="1">IFERROR(_xlfn.XLOOKUP(tblPedidos[[#This Row],[id_dropi]],tblNotas[[#This Row],[id__dropi]],tblNotas[[#This Row],[Notas Manuales]], “”, 0),"")</f>
        <v/>
      </c>
      <c r="R916" t="s">
        <v>3014</v>
      </c>
      <c r="S916">
        <v>25511.5</v>
      </c>
      <c r="T916">
        <v>-11990.800000000001</v>
      </c>
      <c r="U916" cm="1">
        <f t="array" ref="U916">IFERROR(_xlfn.IFS(tblPedidos[[#This Row],[estado_operativo]]="ENTREGADO",tblPedidos[[#This Row],[ganancia_calc]],tblPedidos[[#This Row],[estado_operativo]]="DEVOLUCION",tblPedidos[[#This Row],[costo_devolucion_estimado]]),0)</f>
        <v>25511.5</v>
      </c>
      <c r="V916">
        <v>153069</v>
      </c>
      <c r="W916">
        <v>54900</v>
      </c>
      <c r="X916">
        <v>14988.5</v>
      </c>
      <c r="Y916">
        <v>14400</v>
      </c>
      <c r="Z916" s="11">
        <v>46030</v>
      </c>
      <c r="AA916">
        <v>14</v>
      </c>
      <c r="AB916" s="12">
        <v>0.50972222222222219</v>
      </c>
      <c r="AC916" t="s">
        <v>399</v>
      </c>
      <c r="AD916" t="s">
        <v>720</v>
      </c>
      <c r="AE916" t="s">
        <v>720</v>
      </c>
    </row>
    <row r="917" spans="1:31">
      <c r="A917" t="s">
        <v>1343</v>
      </c>
      <c r="C917">
        <v>115</v>
      </c>
      <c r="D917" t="s">
        <v>5239</v>
      </c>
      <c r="E917" s="11">
        <v>46028</v>
      </c>
      <c r="F917" t="s">
        <v>5240</v>
      </c>
      <c r="G917" t="s">
        <v>45</v>
      </c>
      <c r="J917" t="s">
        <v>720</v>
      </c>
      <c r="K917" t="s">
        <v>5241</v>
      </c>
      <c r="L917" t="s">
        <v>54</v>
      </c>
      <c r="M917" t="s">
        <v>5242</v>
      </c>
      <c r="N917" t="s">
        <v>5243</v>
      </c>
      <c r="O917" t="s">
        <v>5244</v>
      </c>
      <c r="P917" s="46" t="str" cm="1">
        <f t="array" aca="1" ref="P917" ca="1">IFERROR(_xlfn.XLOOKUP(tblPedidos[[#This Row],[id_dropi]],tblNotas[[#This Row],[id__dropi]],tblNotas[[#This Row],[Notas Manuales]], “”, 0),"")</f>
        <v/>
      </c>
      <c r="Q917" t="s">
        <v>50</v>
      </c>
      <c r="R917" t="s">
        <v>5245</v>
      </c>
      <c r="S917">
        <v>20004.5</v>
      </c>
      <c r="T917">
        <v>-17895.5</v>
      </c>
      <c r="U917" cm="1">
        <f t="array" ref="U917">IFERROR(_xlfn.IFS(tblPedidos[[#This Row],[estado_operativo]]="ENTREGADO",tblPedidos[[#This Row],[ganancia_calc]],tblPedidos[[#This Row],[estado_operativo]]="DEVOLUCION",tblPedidos[[#This Row],[costo_devolucion_estimado]]),0)</f>
        <v>20004.5</v>
      </c>
      <c r="V917">
        <v>40009</v>
      </c>
      <c r="W917">
        <v>59900</v>
      </c>
      <c r="X917">
        <v>17895.5</v>
      </c>
      <c r="Y917">
        <v>22000</v>
      </c>
      <c r="Z917" s="11">
        <v>46043</v>
      </c>
      <c r="AA917">
        <v>1</v>
      </c>
      <c r="AB917" s="12">
        <v>0.82152777777777775</v>
      </c>
      <c r="AC917" t="s">
        <v>1854</v>
      </c>
      <c r="AD917" t="s">
        <v>720</v>
      </c>
      <c r="AE917" t="s">
        <v>720</v>
      </c>
    </row>
    <row r="918" spans="1:31">
      <c r="A918" t="s">
        <v>1343</v>
      </c>
      <c r="B918" t="s">
        <v>2946</v>
      </c>
      <c r="C918">
        <v>116</v>
      </c>
      <c r="D918" t="s">
        <v>5246</v>
      </c>
      <c r="E918" s="11">
        <v>46028</v>
      </c>
      <c r="F918" t="s">
        <v>5247</v>
      </c>
      <c r="G918" t="s">
        <v>45</v>
      </c>
      <c r="J918" t="s">
        <v>720</v>
      </c>
      <c r="K918" t="s">
        <v>5248</v>
      </c>
      <c r="L918" t="s">
        <v>159</v>
      </c>
      <c r="M918" t="s">
        <v>907</v>
      </c>
      <c r="N918" t="s">
        <v>5249</v>
      </c>
      <c r="O918" t="s">
        <v>5250</v>
      </c>
      <c r="P918" s="46" t="str" cm="1">
        <f t="array" aca="1" ref="P918" ca="1">IFERROR(_xlfn.XLOOKUP(tblPedidos[[#This Row],[id_dropi]],tblNotas[[#This Row],[id__dropi]],tblNotas[[#This Row],[Notas Manuales]], “”, 0),"")</f>
        <v/>
      </c>
      <c r="R918" t="s">
        <v>5251</v>
      </c>
      <c r="S918">
        <v>12002.589999999997</v>
      </c>
      <c r="T918">
        <v>-17895.41</v>
      </c>
      <c r="U918" cm="1">
        <f t="array" ref="U918">IFERROR(_xlfn.IFS(tblPedidos[[#This Row],[estado_operativo]]="ENTREGADO",tblPedidos[[#This Row],[ganancia_calc]],tblPedidos[[#This Row],[estado_operativo]]="DEVOLUCION",tblPedidos[[#This Row],[costo_devolucion_estimado]]),0)</f>
        <v>12002.589999999997</v>
      </c>
      <c r="V918">
        <v>72015.539999999994</v>
      </c>
      <c r="W918">
        <v>59898</v>
      </c>
      <c r="X918">
        <v>17895.41</v>
      </c>
      <c r="Y918">
        <v>30000</v>
      </c>
      <c r="Z918" s="11">
        <v>46031</v>
      </c>
      <c r="AA918">
        <v>13</v>
      </c>
      <c r="AB918" s="12">
        <v>0.63194444444444442</v>
      </c>
      <c r="AC918" t="s">
        <v>720</v>
      </c>
      <c r="AD918" t="s">
        <v>720</v>
      </c>
      <c r="AE918" t="s">
        <v>720</v>
      </c>
    </row>
    <row r="919" spans="1:31">
      <c r="A919" t="s">
        <v>1343</v>
      </c>
      <c r="B919" t="s">
        <v>2946</v>
      </c>
      <c r="C919">
        <v>111</v>
      </c>
      <c r="D919" t="s">
        <v>5252</v>
      </c>
      <c r="E919" s="11">
        <v>46028</v>
      </c>
      <c r="F919" t="s">
        <v>5253</v>
      </c>
      <c r="G919" t="s">
        <v>45</v>
      </c>
      <c r="J919" t="s">
        <v>720</v>
      </c>
      <c r="K919" t="s">
        <v>5254</v>
      </c>
      <c r="L919" t="s">
        <v>427</v>
      </c>
      <c r="M919" t="s">
        <v>628</v>
      </c>
      <c r="N919" t="s">
        <v>5255</v>
      </c>
      <c r="O919" t="s">
        <v>5256</v>
      </c>
      <c r="P919" s="46" t="str" cm="1">
        <f t="array" aca="1" ref="P919" ca="1">IFERROR(_xlfn.XLOOKUP(tblPedidos[[#This Row],[id_dropi]],tblNotas[[#This Row],[id__dropi]],tblNotas[[#This Row],[Notas Manuales]], “”, 0),"")</f>
        <v/>
      </c>
      <c r="R919" t="s">
        <v>3213</v>
      </c>
      <c r="S919">
        <v>21554.5</v>
      </c>
      <c r="T919">
        <v>-13345.5</v>
      </c>
      <c r="U919" cm="1">
        <f t="array" ref="U919">IFERROR(_xlfn.IFS(tblPedidos[[#This Row],[estado_operativo]]="ENTREGADO",tblPedidos[[#This Row],[ganancia_calc]],tblPedidos[[#This Row],[estado_operativo]]="DEVOLUCION",tblPedidos[[#This Row],[costo_devolucion_estimado]]),0)</f>
        <v>21554.5</v>
      </c>
      <c r="V919">
        <v>129327</v>
      </c>
      <c r="W919">
        <v>59900</v>
      </c>
      <c r="X919">
        <v>13345.5</v>
      </c>
      <c r="Y919">
        <v>25000</v>
      </c>
      <c r="Z919" s="11">
        <v>46031</v>
      </c>
      <c r="AA919">
        <v>13</v>
      </c>
      <c r="AB919" s="12">
        <v>0.63194444444444442</v>
      </c>
      <c r="AC919" t="s">
        <v>720</v>
      </c>
      <c r="AD919" t="s">
        <v>720</v>
      </c>
      <c r="AE919" t="s">
        <v>720</v>
      </c>
    </row>
    <row r="920" spans="1:31">
      <c r="A920" t="s">
        <v>1343</v>
      </c>
      <c r="B920" t="s">
        <v>2946</v>
      </c>
      <c r="C920">
        <v>112</v>
      </c>
      <c r="D920" t="s">
        <v>5257</v>
      </c>
      <c r="E920" s="11">
        <v>46028</v>
      </c>
      <c r="F920" t="s">
        <v>5258</v>
      </c>
      <c r="G920" t="s">
        <v>958</v>
      </c>
      <c r="J920" t="s">
        <v>720</v>
      </c>
      <c r="K920" t="s">
        <v>5259</v>
      </c>
      <c r="L920" t="s">
        <v>81</v>
      </c>
      <c r="M920" t="s">
        <v>118</v>
      </c>
      <c r="N920" t="s">
        <v>5260</v>
      </c>
      <c r="O920" t="s">
        <v>5261</v>
      </c>
      <c r="P920" s="46" t="str" cm="1">
        <f t="array" aca="1" ref="P920" ca="1">IFERROR(_xlfn.XLOOKUP(tblPedidos[[#This Row],[id_dropi]],tblNotas[[#This Row],[id__dropi]],tblNotas[[#This Row],[Notas Manuales]], “”, 0),"")</f>
        <v/>
      </c>
      <c r="R920" t="s">
        <v>3213</v>
      </c>
      <c r="S920">
        <v>22303.5</v>
      </c>
      <c r="T920">
        <v>-10077.200000000001</v>
      </c>
      <c r="U920" cm="1">
        <f t="array" ref="U920">IFERROR(_xlfn.IFS(tblPedidos[[#This Row],[estado_operativo]]="ENTREGADO",tblPedidos[[#This Row],[ganancia_calc]],tblPedidos[[#This Row],[estado_operativo]]="DEVOLUCION",tblPedidos[[#This Row],[costo_devolucion_estimado]]),0)</f>
        <v>22303.5</v>
      </c>
      <c r="V920">
        <v>133821</v>
      </c>
      <c r="W920">
        <v>59900</v>
      </c>
      <c r="X920">
        <v>12596.5</v>
      </c>
      <c r="Y920">
        <v>25000</v>
      </c>
      <c r="Z920" s="11">
        <v>46031</v>
      </c>
      <c r="AA920">
        <v>13</v>
      </c>
      <c r="AB920" s="12">
        <v>0.66597222222222219</v>
      </c>
      <c r="AC920" t="s">
        <v>720</v>
      </c>
      <c r="AD920" t="s">
        <v>720</v>
      </c>
      <c r="AE920" t="s">
        <v>720</v>
      </c>
    </row>
    <row r="921" spans="1:31">
      <c r="A921" t="s">
        <v>1343</v>
      </c>
      <c r="B921" t="s">
        <v>2946</v>
      </c>
      <c r="C921">
        <v>113</v>
      </c>
      <c r="D921" t="s">
        <v>5262</v>
      </c>
      <c r="E921" s="11">
        <v>46028</v>
      </c>
      <c r="F921" t="s">
        <v>5263</v>
      </c>
      <c r="G921" t="s">
        <v>36</v>
      </c>
      <c r="J921" t="s">
        <v>720</v>
      </c>
      <c r="K921" t="s">
        <v>5264</v>
      </c>
      <c r="L921" t="s">
        <v>81</v>
      </c>
      <c r="M921" t="s">
        <v>118</v>
      </c>
      <c r="N921" t="s">
        <v>5265</v>
      </c>
      <c r="O921" t="s">
        <v>5266</v>
      </c>
      <c r="P921" s="46" t="str" cm="1">
        <f t="array" aca="1" ref="P921" ca="1">IFERROR(_xlfn.XLOOKUP(tblPedidos[[#This Row],[id_dropi]],tblNotas[[#This Row],[id__dropi]],tblNotas[[#This Row],[Notas Manuales]], “”, 0),"")</f>
        <v/>
      </c>
      <c r="R921" t="s">
        <v>2983</v>
      </c>
      <c r="S921">
        <v>28171.5</v>
      </c>
      <c r="T921">
        <v>-10622.800000000001</v>
      </c>
      <c r="U921" cm="1">
        <f t="array" ref="U921">IFERROR(_xlfn.IFS(tblPedidos[[#This Row],[estado_operativo]]="ENTREGADO",tblPedidos[[#This Row],[ganancia_calc]],tblPedidos[[#This Row],[estado_operativo]]="DEVOLUCION",tblPedidos[[#This Row],[costo_devolucion_estimado]]),0)</f>
        <v>28171.5</v>
      </c>
      <c r="V921">
        <v>169029</v>
      </c>
      <c r="W921">
        <v>64900</v>
      </c>
      <c r="X921">
        <v>13278.5</v>
      </c>
      <c r="Y921">
        <v>23450</v>
      </c>
      <c r="Z921" s="11">
        <v>46029</v>
      </c>
      <c r="AA921">
        <v>15</v>
      </c>
      <c r="AB921" s="12">
        <v>0.86250000000000004</v>
      </c>
      <c r="AC921" t="s">
        <v>399</v>
      </c>
      <c r="AD921" t="s">
        <v>720</v>
      </c>
      <c r="AE921" t="s">
        <v>720</v>
      </c>
    </row>
    <row r="922" spans="1:31">
      <c r="A922" t="s">
        <v>1343</v>
      </c>
      <c r="B922" t="s">
        <v>2946</v>
      </c>
      <c r="C922">
        <v>117</v>
      </c>
      <c r="D922" t="s">
        <v>5267</v>
      </c>
      <c r="E922" s="11">
        <v>46028</v>
      </c>
      <c r="F922" t="s">
        <v>5268</v>
      </c>
      <c r="G922" t="s">
        <v>45</v>
      </c>
      <c r="J922" t="s">
        <v>720</v>
      </c>
      <c r="K922" t="s">
        <v>5269</v>
      </c>
      <c r="L922" t="s">
        <v>166</v>
      </c>
      <c r="M922" t="s">
        <v>468</v>
      </c>
      <c r="N922" t="s">
        <v>5270</v>
      </c>
      <c r="O922" t="s">
        <v>5271</v>
      </c>
      <c r="P922" s="46" t="str" cm="1">
        <f t="array" aca="1" ref="P922" ca="1">IFERROR(_xlfn.XLOOKUP(tblPedidos[[#This Row],[id_dropi]],tblNotas[[#This Row],[id__dropi]],tblNotas[[#This Row],[Notas Manuales]], “”, 0),"")</f>
        <v/>
      </c>
      <c r="R922" t="s">
        <v>3014</v>
      </c>
      <c r="S922">
        <v>22829.5</v>
      </c>
      <c r="T922">
        <v>-17670.5</v>
      </c>
      <c r="U922" cm="1">
        <f t="array" ref="U922">IFERROR(_xlfn.IFS(tblPedidos[[#This Row],[estado_operativo]]="ENTREGADO",tblPedidos[[#This Row],[ganancia_calc]],tblPedidos[[#This Row],[estado_operativo]]="DEVOLUCION",tblPedidos[[#This Row],[costo_devolucion_estimado]]),0)</f>
        <v>22829.5</v>
      </c>
      <c r="V922">
        <v>136977</v>
      </c>
      <c r="W922">
        <v>54900</v>
      </c>
      <c r="X922">
        <v>17670.5</v>
      </c>
      <c r="Y922">
        <v>14400</v>
      </c>
      <c r="Z922" s="11">
        <v>46031</v>
      </c>
      <c r="AA922">
        <v>13</v>
      </c>
      <c r="AB922" s="12">
        <v>0.62430555555555556</v>
      </c>
      <c r="AC922" t="s">
        <v>720</v>
      </c>
      <c r="AD922" t="s">
        <v>720</v>
      </c>
      <c r="AE922" t="s">
        <v>720</v>
      </c>
    </row>
    <row r="923" spans="1:31">
      <c r="A923" t="s">
        <v>33</v>
      </c>
      <c r="C923">
        <v>121</v>
      </c>
      <c r="D923" t="s">
        <v>5272</v>
      </c>
      <c r="E923" s="11">
        <v>46028</v>
      </c>
      <c r="F923" t="s">
        <v>5273</v>
      </c>
      <c r="G923" t="s">
        <v>45</v>
      </c>
      <c r="J923" t="s">
        <v>522</v>
      </c>
      <c r="K923" t="s">
        <v>5274</v>
      </c>
      <c r="L923" t="s">
        <v>54</v>
      </c>
      <c r="M923" t="s">
        <v>3799</v>
      </c>
      <c r="N923" t="s">
        <v>3800</v>
      </c>
      <c r="O923" t="s">
        <v>5275</v>
      </c>
      <c r="P923" s="46" t="str" cm="1">
        <f t="array" aca="1" ref="P923" ca="1">IFERROR(_xlfn.XLOOKUP(tblPedidos[[#This Row],[id_dropi]],tblNotas[[#This Row],[id__dropi]],tblNotas[[#This Row],[Notas Manuales]], “”, 0),"")</f>
        <v/>
      </c>
      <c r="Q923" t="s">
        <v>50</v>
      </c>
      <c r="R923" t="s">
        <v>3200</v>
      </c>
      <c r="S923">
        <v>27529.5</v>
      </c>
      <c r="T923">
        <v>-18570.5</v>
      </c>
      <c r="U923" cm="1">
        <f t="array" ref="U923">IFERROR(_xlfn.IFS(tblPedidos[[#This Row],[estado_operativo]]="ENTREGADO",tblPedidos[[#This Row],[ganancia_calc]],tblPedidos[[#This Row],[estado_operativo]]="DEVOLUCION",tblPedidos[[#This Row],[costo_devolucion_estimado]]),0)</f>
        <v>0</v>
      </c>
      <c r="V923">
        <v>0</v>
      </c>
      <c r="W923">
        <v>74900</v>
      </c>
      <c r="X923">
        <v>18570.5</v>
      </c>
      <c r="Y923">
        <v>28800</v>
      </c>
      <c r="Z923" s="11">
        <v>46043</v>
      </c>
      <c r="AA923">
        <v>1</v>
      </c>
      <c r="AB923" s="12">
        <v>0.4284722222222222</v>
      </c>
      <c r="AC923" t="s">
        <v>716</v>
      </c>
      <c r="AD923" t="s">
        <v>717</v>
      </c>
      <c r="AE923" t="s">
        <v>522</v>
      </c>
    </row>
    <row r="924" spans="1:31">
      <c r="A924" t="s">
        <v>1343</v>
      </c>
      <c r="B924" t="s">
        <v>2946</v>
      </c>
      <c r="C924">
        <v>122</v>
      </c>
      <c r="D924" t="s">
        <v>5276</v>
      </c>
      <c r="E924" s="11">
        <v>46028</v>
      </c>
      <c r="F924" t="s">
        <v>5277</v>
      </c>
      <c r="G924" t="s">
        <v>45</v>
      </c>
      <c r="J924" t="s">
        <v>720</v>
      </c>
      <c r="K924" t="s">
        <v>5278</v>
      </c>
      <c r="L924" t="s">
        <v>545</v>
      </c>
      <c r="M924" t="s">
        <v>546</v>
      </c>
      <c r="N924" t="s">
        <v>5279</v>
      </c>
      <c r="O924" t="s">
        <v>5280</v>
      </c>
      <c r="P924" s="46" t="str" cm="1">
        <f t="array" aca="1" ref="P924" ca="1">IFERROR(_xlfn.XLOOKUP(tblPedidos[[#This Row],[id_dropi]],tblNotas[[#This Row],[id__dropi]],tblNotas[[#This Row],[Notas Manuales]], “”, 0),"")</f>
        <v/>
      </c>
      <c r="Q924" t="s">
        <v>5281</v>
      </c>
      <c r="R924" t="s">
        <v>3014</v>
      </c>
      <c r="S924">
        <v>22829.5</v>
      </c>
      <c r="T924">
        <v>-17670.5</v>
      </c>
      <c r="U924" cm="1">
        <f t="array" ref="U924">IFERROR(_xlfn.IFS(tblPedidos[[#This Row],[estado_operativo]]="ENTREGADO",tblPedidos[[#This Row],[ganancia_calc]],tblPedidos[[#This Row],[estado_operativo]]="DEVOLUCION",tblPedidos[[#This Row],[costo_devolucion_estimado]]),0)</f>
        <v>22829.5</v>
      </c>
      <c r="V924">
        <v>136977</v>
      </c>
      <c r="W924">
        <v>54900</v>
      </c>
      <c r="X924">
        <v>17670.5</v>
      </c>
      <c r="Y924">
        <v>14400</v>
      </c>
      <c r="Z924" s="11">
        <v>46031</v>
      </c>
      <c r="AA924">
        <v>13</v>
      </c>
      <c r="AB924" s="12">
        <v>0.625</v>
      </c>
      <c r="AC924" t="s">
        <v>720</v>
      </c>
      <c r="AD924" t="s">
        <v>720</v>
      </c>
      <c r="AE924" t="s">
        <v>720</v>
      </c>
    </row>
    <row r="925" spans="1:31">
      <c r="A925" t="s">
        <v>1343</v>
      </c>
      <c r="B925" t="s">
        <v>2946</v>
      </c>
      <c r="C925">
        <v>123</v>
      </c>
      <c r="D925" t="s">
        <v>5282</v>
      </c>
      <c r="E925" s="11">
        <v>46028</v>
      </c>
      <c r="F925" t="s">
        <v>5283</v>
      </c>
      <c r="G925" t="s">
        <v>45</v>
      </c>
      <c r="J925" t="s">
        <v>720</v>
      </c>
      <c r="K925" t="s">
        <v>5284</v>
      </c>
      <c r="L925" t="s">
        <v>152</v>
      </c>
      <c r="M925" t="s">
        <v>153</v>
      </c>
      <c r="N925" t="s">
        <v>5285</v>
      </c>
      <c r="O925" t="s">
        <v>5286</v>
      </c>
      <c r="P925" s="46" t="str" cm="1">
        <f t="array" aca="1" ref="P925" ca="1">IFERROR(_xlfn.XLOOKUP(tblPedidos[[#This Row],[id_dropi]],tblNotas[[#This Row],[id__dropi]],tblNotas[[#This Row],[Notas Manuales]], “”, 0),"")</f>
        <v/>
      </c>
      <c r="Q925" t="s">
        <v>50</v>
      </c>
      <c r="R925" t="s">
        <v>3014</v>
      </c>
      <c r="S925">
        <v>22829.5</v>
      </c>
      <c r="T925">
        <v>-17670.5</v>
      </c>
      <c r="U925" cm="1">
        <f t="array" ref="U925">IFERROR(_xlfn.IFS(tblPedidos[[#This Row],[estado_operativo]]="ENTREGADO",tblPedidos[[#This Row],[ganancia_calc]],tblPedidos[[#This Row],[estado_operativo]]="DEVOLUCION",tblPedidos[[#This Row],[costo_devolucion_estimado]]),0)</f>
        <v>22829.5</v>
      </c>
      <c r="V925">
        <v>136977</v>
      </c>
      <c r="W925">
        <v>54900</v>
      </c>
      <c r="X925">
        <v>17670.5</v>
      </c>
      <c r="Y925">
        <v>14400</v>
      </c>
      <c r="Z925" s="11">
        <v>46035</v>
      </c>
      <c r="AA925">
        <v>9</v>
      </c>
      <c r="AB925" s="12">
        <v>0.67638888888888893</v>
      </c>
      <c r="AC925" t="s">
        <v>720</v>
      </c>
      <c r="AD925" t="s">
        <v>720</v>
      </c>
      <c r="AE925" t="s">
        <v>720</v>
      </c>
    </row>
    <row r="926" spans="1:31">
      <c r="A926" t="s">
        <v>1343</v>
      </c>
      <c r="B926" t="s">
        <v>2946</v>
      </c>
      <c r="C926">
        <v>118</v>
      </c>
      <c r="D926" t="s">
        <v>5287</v>
      </c>
      <c r="E926" s="11">
        <v>46028</v>
      </c>
      <c r="F926" t="s">
        <v>5288</v>
      </c>
      <c r="G926" t="s">
        <v>45</v>
      </c>
      <c r="J926" t="s">
        <v>720</v>
      </c>
      <c r="K926" t="s">
        <v>5289</v>
      </c>
      <c r="L926" t="s">
        <v>38</v>
      </c>
      <c r="M926" t="s">
        <v>5290</v>
      </c>
      <c r="N926" t="s">
        <v>5291</v>
      </c>
      <c r="O926" t="s">
        <v>5292</v>
      </c>
      <c r="P926" s="46" t="str" cm="1">
        <f t="array" aca="1" ref="P926" ca="1">IFERROR(_xlfn.XLOOKUP(tblPedidos[[#This Row],[id_dropi]],tblNotas[[#This Row],[id__dropi]],tblNotas[[#This Row],[Notas Manuales]], “”, 0),"")</f>
        <v/>
      </c>
      <c r="Q926" t="s">
        <v>50</v>
      </c>
      <c r="R926" t="s">
        <v>2983</v>
      </c>
      <c r="S926">
        <v>28104.5</v>
      </c>
      <c r="T926">
        <v>-18345.5</v>
      </c>
      <c r="U926" cm="1">
        <f t="array" ref="U926">IFERROR(_xlfn.IFS(tblPedidos[[#This Row],[estado_operativo]]="ENTREGADO",tblPedidos[[#This Row],[ganancia_calc]],tblPedidos[[#This Row],[estado_operativo]]="DEVOLUCION",tblPedidos[[#This Row],[costo_devolucion_estimado]]),0)</f>
        <v>28104.5</v>
      </c>
      <c r="V926">
        <v>168627</v>
      </c>
      <c r="W926">
        <v>69900</v>
      </c>
      <c r="X926">
        <v>18345.5</v>
      </c>
      <c r="Y926">
        <v>23450</v>
      </c>
      <c r="Z926" s="11">
        <v>46035</v>
      </c>
      <c r="AA926">
        <v>9</v>
      </c>
      <c r="AB926" s="12">
        <v>0.76875000000000004</v>
      </c>
      <c r="AC926" t="s">
        <v>720</v>
      </c>
      <c r="AD926" t="s">
        <v>720</v>
      </c>
      <c r="AE926" t="s">
        <v>720</v>
      </c>
    </row>
    <row r="927" spans="1:31">
      <c r="A927" t="s">
        <v>1343</v>
      </c>
      <c r="B927" t="s">
        <v>2946</v>
      </c>
      <c r="C927">
        <v>119</v>
      </c>
      <c r="D927" t="s">
        <v>5293</v>
      </c>
      <c r="E927" s="11">
        <v>46028</v>
      </c>
      <c r="F927" t="s">
        <v>5294</v>
      </c>
      <c r="G927" t="s">
        <v>45</v>
      </c>
      <c r="J927" t="s">
        <v>720</v>
      </c>
      <c r="K927" t="s">
        <v>5295</v>
      </c>
      <c r="L927" t="s">
        <v>111</v>
      </c>
      <c r="M927" t="s">
        <v>695</v>
      </c>
      <c r="N927" t="s">
        <v>5296</v>
      </c>
      <c r="O927" t="s">
        <v>5297</v>
      </c>
      <c r="P927" s="46" t="str" cm="1">
        <f t="array" aca="1" ref="P927" ca="1">IFERROR(_xlfn.XLOOKUP(tblPedidos[[#This Row],[id_dropi]],tblNotas[[#This Row],[id__dropi]],tblNotas[[#This Row],[Notas Manuales]], “”, 0),"")</f>
        <v/>
      </c>
      <c r="R927" t="s">
        <v>2983</v>
      </c>
      <c r="S927">
        <v>28104.5</v>
      </c>
      <c r="T927">
        <v>-18345.5</v>
      </c>
      <c r="U927" cm="1">
        <f t="array" ref="U927">IFERROR(_xlfn.IFS(tblPedidos[[#This Row],[estado_operativo]]="ENTREGADO",tblPedidos[[#This Row],[ganancia_calc]],tblPedidos[[#This Row],[estado_operativo]]="DEVOLUCION",tblPedidos[[#This Row],[costo_devolucion_estimado]]),0)</f>
        <v>28104.5</v>
      </c>
      <c r="V927">
        <v>168627</v>
      </c>
      <c r="W927">
        <v>69900</v>
      </c>
      <c r="X927">
        <v>18345.5</v>
      </c>
      <c r="Y927">
        <v>23450</v>
      </c>
      <c r="Z927" s="11">
        <v>46031</v>
      </c>
      <c r="AA927">
        <v>13</v>
      </c>
      <c r="AB927" s="12">
        <v>0.62083333333333335</v>
      </c>
      <c r="AC927" t="s">
        <v>720</v>
      </c>
      <c r="AD927" t="s">
        <v>720</v>
      </c>
      <c r="AE927" t="s">
        <v>720</v>
      </c>
    </row>
    <row r="928" spans="1:31">
      <c r="A928" t="s">
        <v>1343</v>
      </c>
      <c r="B928" t="s">
        <v>2946</v>
      </c>
      <c r="C928">
        <v>120</v>
      </c>
      <c r="D928" t="s">
        <v>5298</v>
      </c>
      <c r="E928" s="11">
        <v>46028</v>
      </c>
      <c r="F928" t="s">
        <v>5299</v>
      </c>
      <c r="G928" t="s">
        <v>45</v>
      </c>
      <c r="J928" t="s">
        <v>720</v>
      </c>
      <c r="K928" t="s">
        <v>5300</v>
      </c>
      <c r="L928" t="s">
        <v>81</v>
      </c>
      <c r="M928" t="s">
        <v>5301</v>
      </c>
      <c r="N928" t="s">
        <v>5302</v>
      </c>
      <c r="O928" t="s">
        <v>5303</v>
      </c>
      <c r="P928" s="46" t="str" cm="1">
        <f t="array" aca="1" ref="P928" ca="1">IFERROR(_xlfn.XLOOKUP(tblPedidos[[#This Row],[id_dropi]],tblNotas[[#This Row],[id__dropi]],tblNotas[[#This Row],[Notas Manuales]], “”, 0),"")</f>
        <v/>
      </c>
      <c r="Q928" t="s">
        <v>50</v>
      </c>
      <c r="R928" t="s">
        <v>4707</v>
      </c>
      <c r="S928">
        <v>26654.5</v>
      </c>
      <c r="T928">
        <v>-19245.5</v>
      </c>
      <c r="U928" cm="1">
        <f t="array" ref="U928">IFERROR(_xlfn.IFS(tblPedidos[[#This Row],[estado_operativo]]="ENTREGADO",tblPedidos[[#This Row],[ganancia_calc]],tblPedidos[[#This Row],[estado_operativo]]="DEVOLUCION",tblPedidos[[#This Row],[costo_devolucion_estimado]]),0)</f>
        <v>26654.5</v>
      </c>
      <c r="V928">
        <v>159927</v>
      </c>
      <c r="W928">
        <v>89900</v>
      </c>
      <c r="X928">
        <v>19245.5</v>
      </c>
      <c r="Y928">
        <v>44000</v>
      </c>
      <c r="Z928" s="11">
        <v>46031</v>
      </c>
      <c r="AA928">
        <v>13</v>
      </c>
      <c r="AB928" s="12">
        <v>0.63194444444444442</v>
      </c>
      <c r="AC928" t="s">
        <v>720</v>
      </c>
      <c r="AD928" t="s">
        <v>720</v>
      </c>
      <c r="AE928" t="s">
        <v>720</v>
      </c>
    </row>
    <row r="929" spans="1:31">
      <c r="A929" t="s">
        <v>1343</v>
      </c>
      <c r="C929">
        <v>110</v>
      </c>
      <c r="D929" t="s">
        <v>5304</v>
      </c>
      <c r="E929" s="11">
        <v>46028</v>
      </c>
      <c r="F929" t="s">
        <v>5305</v>
      </c>
      <c r="G929" t="s">
        <v>36</v>
      </c>
      <c r="J929" t="s">
        <v>720</v>
      </c>
      <c r="K929" t="s">
        <v>5306</v>
      </c>
      <c r="L929" t="s">
        <v>590</v>
      </c>
      <c r="M929" t="s">
        <v>783</v>
      </c>
      <c r="N929" t="s">
        <v>5307</v>
      </c>
      <c r="O929" t="s">
        <v>5308</v>
      </c>
      <c r="P929" s="46" t="str" cm="1">
        <f t="array" aca="1" ref="P929" ca="1">IFERROR(_xlfn.XLOOKUP(tblPedidos[[#This Row],[id_dropi]],tblNotas[[#This Row],[id__dropi]],tblNotas[[#This Row],[Notas Manuales]], “”, 0),"")</f>
        <v/>
      </c>
      <c r="Q929" t="s">
        <v>5309</v>
      </c>
      <c r="R929" t="s">
        <v>3014</v>
      </c>
      <c r="S929">
        <v>25511.5</v>
      </c>
      <c r="T929">
        <v>-11990.800000000001</v>
      </c>
      <c r="U929" cm="1">
        <f t="array" ref="U929">IFERROR(_xlfn.IFS(tblPedidos[[#This Row],[estado_operativo]]="ENTREGADO",tblPedidos[[#This Row],[ganancia_calc]],tblPedidos[[#This Row],[estado_operativo]]="DEVOLUCION",tblPedidos[[#This Row],[costo_devolucion_estimado]]),0)</f>
        <v>25511.5</v>
      </c>
      <c r="V929">
        <v>76534.5</v>
      </c>
      <c r="W929">
        <v>54900</v>
      </c>
      <c r="X929">
        <v>14988.5</v>
      </c>
      <c r="Y929">
        <v>14400</v>
      </c>
      <c r="Z929" s="11">
        <v>46030</v>
      </c>
      <c r="AA929">
        <v>14</v>
      </c>
      <c r="AB929" s="12">
        <v>0.49513888888888891</v>
      </c>
      <c r="AC929" t="s">
        <v>399</v>
      </c>
      <c r="AD929" t="s">
        <v>720</v>
      </c>
      <c r="AE929" t="s">
        <v>720</v>
      </c>
    </row>
    <row r="930" spans="1:31">
      <c r="A930" t="s">
        <v>1343</v>
      </c>
      <c r="B930" t="s">
        <v>2946</v>
      </c>
      <c r="C930">
        <v>100</v>
      </c>
      <c r="D930" t="s">
        <v>5310</v>
      </c>
      <c r="E930" s="11">
        <v>46028</v>
      </c>
      <c r="F930" t="s">
        <v>5311</v>
      </c>
      <c r="G930" t="s">
        <v>45</v>
      </c>
      <c r="J930" t="s">
        <v>720</v>
      </c>
      <c r="K930" t="s">
        <v>5312</v>
      </c>
      <c r="L930" t="s">
        <v>46</v>
      </c>
      <c r="M930" t="s">
        <v>509</v>
      </c>
      <c r="N930" t="s">
        <v>5313</v>
      </c>
      <c r="O930" t="s">
        <v>5314</v>
      </c>
      <c r="P930" s="46" t="str" cm="1">
        <f t="array" aca="1" ref="P930" ca="1">IFERROR(_xlfn.XLOOKUP(tblPedidos[[#This Row],[id_dropi]],tblNotas[[#This Row],[id__dropi]],tblNotas[[#This Row],[Notas Manuales]], “”, 0),"")</f>
        <v/>
      </c>
      <c r="R930" t="s">
        <v>3213</v>
      </c>
      <c r="S930">
        <v>22954.5</v>
      </c>
      <c r="T930">
        <v>-11945.5</v>
      </c>
      <c r="U930" cm="1">
        <f t="array" ref="U930">IFERROR(_xlfn.IFS(tblPedidos[[#This Row],[estado_operativo]]="ENTREGADO",tblPedidos[[#This Row],[ganancia_calc]],tblPedidos[[#This Row],[estado_operativo]]="DEVOLUCION",tblPedidos[[#This Row],[costo_devolucion_estimado]]),0)</f>
        <v>22954.5</v>
      </c>
      <c r="V930">
        <v>137727</v>
      </c>
      <c r="W930">
        <v>59900</v>
      </c>
      <c r="X930">
        <v>11945.5</v>
      </c>
      <c r="Y930">
        <v>25000</v>
      </c>
      <c r="Z930" s="11">
        <v>46031</v>
      </c>
      <c r="AA930">
        <v>13</v>
      </c>
      <c r="AB930" s="12">
        <v>0.63194444444444442</v>
      </c>
      <c r="AC930" t="s">
        <v>720</v>
      </c>
      <c r="AD930" t="s">
        <v>720</v>
      </c>
      <c r="AE930" t="s">
        <v>720</v>
      </c>
    </row>
    <row r="931" spans="1:31">
      <c r="A931" t="s">
        <v>1343</v>
      </c>
      <c r="B931" t="s">
        <v>2946</v>
      </c>
      <c r="C931">
        <v>101</v>
      </c>
      <c r="D931" t="s">
        <v>5315</v>
      </c>
      <c r="E931" s="11">
        <v>46028</v>
      </c>
      <c r="F931" t="s">
        <v>5316</v>
      </c>
      <c r="G931" t="s">
        <v>45</v>
      </c>
      <c r="J931" t="s">
        <v>1657</v>
      </c>
      <c r="K931" t="s">
        <v>5317</v>
      </c>
      <c r="L931" t="s">
        <v>46</v>
      </c>
      <c r="M931" t="s">
        <v>100</v>
      </c>
      <c r="N931" t="s">
        <v>5318</v>
      </c>
      <c r="O931" t="s">
        <v>5319</v>
      </c>
      <c r="P931" s="46" t="str" cm="1">
        <f t="array" aca="1" ref="P931" ca="1">IFERROR(_xlfn.XLOOKUP(tblPedidos[[#This Row],[id_dropi]],tblNotas[[#This Row],[id__dropi]],tblNotas[[#This Row],[Notas Manuales]], “”, 0),"")</f>
        <v/>
      </c>
      <c r="R931" t="s">
        <v>3213</v>
      </c>
      <c r="S931">
        <v>22954.5</v>
      </c>
      <c r="T931">
        <v>-11945.5</v>
      </c>
      <c r="U931" cm="1">
        <f t="array" ref="U931">IFERROR(_xlfn.IFS(tblPedidos[[#This Row],[estado_operativo]]="ENTREGADO",tblPedidos[[#This Row],[ganancia_calc]],tblPedidos[[#This Row],[estado_operativo]]="DEVOLUCION",tblPedidos[[#This Row],[costo_devolucion_estimado]]),0)</f>
        <v>-11945.5</v>
      </c>
      <c r="V931">
        <v>-71673</v>
      </c>
      <c r="W931">
        <v>59900</v>
      </c>
      <c r="X931">
        <v>11945.5</v>
      </c>
      <c r="Y931">
        <v>25000</v>
      </c>
      <c r="Z931" s="11">
        <v>46032</v>
      </c>
      <c r="AA931">
        <v>12</v>
      </c>
      <c r="AB931" s="12">
        <v>0.50555555555555554</v>
      </c>
      <c r="AC931" t="s">
        <v>1657</v>
      </c>
      <c r="AD931" t="s">
        <v>1657</v>
      </c>
      <c r="AE931" t="s">
        <v>1657</v>
      </c>
    </row>
    <row r="932" spans="1:31">
      <c r="A932" t="s">
        <v>1343</v>
      </c>
      <c r="B932" t="s">
        <v>2946</v>
      </c>
      <c r="C932">
        <v>102</v>
      </c>
      <c r="D932" t="s">
        <v>5320</v>
      </c>
      <c r="E932" s="11">
        <v>46028</v>
      </c>
      <c r="F932" t="s">
        <v>5321</v>
      </c>
      <c r="G932" t="s">
        <v>958</v>
      </c>
      <c r="J932" t="s">
        <v>720</v>
      </c>
      <c r="K932" t="s">
        <v>5322</v>
      </c>
      <c r="L932" t="s">
        <v>81</v>
      </c>
      <c r="M932" t="s">
        <v>118</v>
      </c>
      <c r="N932" t="s">
        <v>5323</v>
      </c>
      <c r="O932" t="s">
        <v>5324</v>
      </c>
      <c r="P932" s="46" t="str" cm="1">
        <f t="array" aca="1" ref="P932" ca="1">IFERROR(_xlfn.XLOOKUP(tblPedidos[[#This Row],[id_dropi]],tblNotas[[#This Row],[id__dropi]],tblNotas[[#This Row],[Notas Manuales]], “”, 0),"")</f>
        <v/>
      </c>
      <c r="R932" t="s">
        <v>3213</v>
      </c>
      <c r="S932">
        <v>22303.5</v>
      </c>
      <c r="T932">
        <v>-10077.200000000001</v>
      </c>
      <c r="U932" cm="1">
        <f t="array" ref="U932">IFERROR(_xlfn.IFS(tblPedidos[[#This Row],[estado_operativo]]="ENTREGADO",tblPedidos[[#This Row],[ganancia_calc]],tblPedidos[[#This Row],[estado_operativo]]="DEVOLUCION",tblPedidos[[#This Row],[costo_devolucion_estimado]]),0)</f>
        <v>22303.5</v>
      </c>
      <c r="V932">
        <v>133821</v>
      </c>
      <c r="W932">
        <v>59900</v>
      </c>
      <c r="X932">
        <v>12596.5</v>
      </c>
      <c r="Y932">
        <v>25000</v>
      </c>
      <c r="Z932" s="11">
        <v>46031</v>
      </c>
      <c r="AA932">
        <v>13</v>
      </c>
      <c r="AB932" s="12">
        <v>0.69861111111111107</v>
      </c>
      <c r="AC932" t="s">
        <v>720</v>
      </c>
      <c r="AD932" t="s">
        <v>720</v>
      </c>
      <c r="AE932" t="s">
        <v>720</v>
      </c>
    </row>
    <row r="933" spans="1:31">
      <c r="A933" t="s">
        <v>1343</v>
      </c>
      <c r="B933" t="s">
        <v>2946</v>
      </c>
      <c r="C933">
        <v>97</v>
      </c>
      <c r="D933" t="s">
        <v>5325</v>
      </c>
      <c r="E933" s="11">
        <v>46028</v>
      </c>
      <c r="F933" t="s">
        <v>5326</v>
      </c>
      <c r="G933" t="s">
        <v>45</v>
      </c>
      <c r="J933" t="s">
        <v>720</v>
      </c>
      <c r="K933" t="s">
        <v>5327</v>
      </c>
      <c r="L933" t="s">
        <v>38</v>
      </c>
      <c r="M933" t="s">
        <v>5152</v>
      </c>
      <c r="N933" t="s">
        <v>5153</v>
      </c>
      <c r="O933" t="s">
        <v>5328</v>
      </c>
      <c r="P933" s="46" t="str" cm="1">
        <f t="array" aca="1" ref="P933" ca="1">IFERROR(_xlfn.XLOOKUP(tblPedidos[[#This Row],[id_dropi]],tblNotas[[#This Row],[id__dropi]],tblNotas[[#This Row],[Notas Manuales]], “”, 0),"")</f>
        <v/>
      </c>
      <c r="Q933" t="s">
        <v>50</v>
      </c>
      <c r="R933" t="s">
        <v>3014</v>
      </c>
      <c r="S933">
        <v>22829.5</v>
      </c>
      <c r="T933">
        <v>-17670.5</v>
      </c>
      <c r="U933" cm="1">
        <f t="array" ref="U933">IFERROR(_xlfn.IFS(tblPedidos[[#This Row],[estado_operativo]]="ENTREGADO",tblPedidos[[#This Row],[ganancia_calc]],tblPedidos[[#This Row],[estado_operativo]]="DEVOLUCION",tblPedidos[[#This Row],[costo_devolucion_estimado]]),0)</f>
        <v>22829.5</v>
      </c>
      <c r="V933">
        <v>136977</v>
      </c>
      <c r="W933">
        <v>54900</v>
      </c>
      <c r="X933">
        <v>17670.5</v>
      </c>
      <c r="Y933">
        <v>14400</v>
      </c>
      <c r="Z933" s="11">
        <v>46036</v>
      </c>
      <c r="AA933">
        <v>8</v>
      </c>
      <c r="AB933" s="12">
        <v>0.34444444444444444</v>
      </c>
      <c r="AC933" t="s">
        <v>720</v>
      </c>
      <c r="AD933" t="s">
        <v>720</v>
      </c>
      <c r="AE933" t="s">
        <v>720</v>
      </c>
    </row>
    <row r="934" spans="1:31">
      <c r="A934" t="s">
        <v>1343</v>
      </c>
      <c r="B934" t="s">
        <v>2946</v>
      </c>
      <c r="C934">
        <v>98</v>
      </c>
      <c r="D934" t="s">
        <v>5329</v>
      </c>
      <c r="E934" s="11">
        <v>46028</v>
      </c>
      <c r="F934" t="s">
        <v>5330</v>
      </c>
      <c r="G934" t="s">
        <v>36</v>
      </c>
      <c r="J934" t="s">
        <v>720</v>
      </c>
      <c r="K934" t="s">
        <v>5331</v>
      </c>
      <c r="L934" t="s">
        <v>322</v>
      </c>
      <c r="M934" t="s">
        <v>323</v>
      </c>
      <c r="N934" t="s">
        <v>5332</v>
      </c>
      <c r="O934" t="s">
        <v>5333</v>
      </c>
      <c r="P934" s="46" t="str" cm="1">
        <f t="array" aca="1" ref="P934" ca="1">IFERROR(_xlfn.XLOOKUP(tblPedidos[[#This Row],[id_dropi]],tblNotas[[#This Row],[id__dropi]],tblNotas[[#This Row],[Notas Manuales]], “”, 0),"")</f>
        <v/>
      </c>
      <c r="R934" t="s">
        <v>3014</v>
      </c>
      <c r="S934">
        <v>25511.5</v>
      </c>
      <c r="T934">
        <v>-11990.800000000001</v>
      </c>
      <c r="U934" cm="1">
        <f t="array" ref="U934">IFERROR(_xlfn.IFS(tblPedidos[[#This Row],[estado_operativo]]="ENTREGADO",tblPedidos[[#This Row],[ganancia_calc]],tblPedidos[[#This Row],[estado_operativo]]="DEVOLUCION",tblPedidos[[#This Row],[costo_devolucion_estimado]]),0)</f>
        <v>25511.5</v>
      </c>
      <c r="V934">
        <v>153069</v>
      </c>
      <c r="W934">
        <v>54900</v>
      </c>
      <c r="X934">
        <v>14988.5</v>
      </c>
      <c r="Y934">
        <v>14400</v>
      </c>
      <c r="Z934" s="11">
        <v>46030</v>
      </c>
      <c r="AA934">
        <v>14</v>
      </c>
      <c r="AB934" s="12">
        <v>0.51111111111111107</v>
      </c>
      <c r="AC934" t="s">
        <v>399</v>
      </c>
      <c r="AD934" t="s">
        <v>720</v>
      </c>
      <c r="AE934" t="s">
        <v>720</v>
      </c>
    </row>
    <row r="935" spans="1:31">
      <c r="A935" t="s">
        <v>33</v>
      </c>
      <c r="C935">
        <v>99</v>
      </c>
      <c r="D935" t="s">
        <v>5334</v>
      </c>
      <c r="E935" s="11">
        <v>46028</v>
      </c>
      <c r="F935" t="s">
        <v>5335</v>
      </c>
      <c r="G935" t="s">
        <v>45</v>
      </c>
      <c r="J935" t="s">
        <v>1371</v>
      </c>
      <c r="K935" t="s">
        <v>5336</v>
      </c>
      <c r="L935" t="s">
        <v>54</v>
      </c>
      <c r="M935" t="s">
        <v>610</v>
      </c>
      <c r="N935" t="s">
        <v>5337</v>
      </c>
      <c r="O935" t="s">
        <v>5338</v>
      </c>
      <c r="P935" s="46" t="str" cm="1">
        <f t="array" aca="1" ref="P935" ca="1">IFERROR(_xlfn.XLOOKUP(tblPedidos[[#This Row],[id_dropi]],tblNotas[[#This Row],[id__dropi]],tblNotas[[#This Row],[Notas Manuales]], “”, 0),"")</f>
        <v/>
      </c>
      <c r="Q935" t="s">
        <v>148</v>
      </c>
      <c r="R935" t="s">
        <v>3014</v>
      </c>
      <c r="S935">
        <v>22829.5</v>
      </c>
      <c r="T935">
        <v>-17670.5</v>
      </c>
      <c r="U935" cm="1">
        <f t="array" ref="U935">IFERROR(_xlfn.IFS(tblPedidos[[#This Row],[estado_operativo]]="ENTREGADO",tblPedidos[[#This Row],[ganancia_calc]],tblPedidos[[#This Row],[estado_operativo]]="DEVOLUCION",tblPedidos[[#This Row],[costo_devolucion_estimado]]),0)</f>
        <v>0</v>
      </c>
      <c r="V935">
        <v>0</v>
      </c>
      <c r="W935">
        <v>54900</v>
      </c>
      <c r="X935">
        <v>17670.5</v>
      </c>
      <c r="Y935">
        <v>14400</v>
      </c>
      <c r="Z935" s="11">
        <v>46043</v>
      </c>
      <c r="AA935">
        <v>1</v>
      </c>
      <c r="AB935" s="12">
        <v>0.4375</v>
      </c>
      <c r="AC935" t="s">
        <v>982</v>
      </c>
      <c r="AD935" t="s">
        <v>982</v>
      </c>
      <c r="AE935" t="s">
        <v>1371</v>
      </c>
    </row>
    <row r="936" spans="1:31">
      <c r="A936" t="s">
        <v>33</v>
      </c>
      <c r="C936">
        <v>103</v>
      </c>
      <c r="D936" t="s">
        <v>5339</v>
      </c>
      <c r="E936" s="11">
        <v>46028</v>
      </c>
      <c r="F936" t="s">
        <v>5340</v>
      </c>
      <c r="G936" t="s">
        <v>45</v>
      </c>
      <c r="J936" t="s">
        <v>522</v>
      </c>
      <c r="K936" t="s">
        <v>5341</v>
      </c>
      <c r="L936" t="s">
        <v>166</v>
      </c>
      <c r="M936" t="s">
        <v>468</v>
      </c>
      <c r="N936" t="s">
        <v>5342</v>
      </c>
      <c r="O936" t="s">
        <v>5343</v>
      </c>
      <c r="P936" s="46" t="str" cm="1">
        <f t="array" aca="1" ref="P936" ca="1">IFERROR(_xlfn.XLOOKUP(tblPedidos[[#This Row],[id_dropi]],tblNotas[[#This Row],[id__dropi]],tblNotas[[#This Row],[Notas Manuales]], “”, 0),"")</f>
        <v/>
      </c>
      <c r="R936" t="s">
        <v>3200</v>
      </c>
      <c r="S936">
        <v>22754.5</v>
      </c>
      <c r="T936">
        <v>-18345.5</v>
      </c>
      <c r="U936" cm="1">
        <f t="array" ref="U936">IFERROR(_xlfn.IFS(tblPedidos[[#This Row],[estado_operativo]]="ENTREGADO",tblPedidos[[#This Row],[ganancia_calc]],tblPedidos[[#This Row],[estado_operativo]]="DEVOLUCION",tblPedidos[[#This Row],[costo_devolucion_estimado]]),0)</f>
        <v>0</v>
      </c>
      <c r="V936">
        <v>0</v>
      </c>
      <c r="W936">
        <v>69900</v>
      </c>
      <c r="X936">
        <v>18345.5</v>
      </c>
      <c r="Y936">
        <v>28800</v>
      </c>
      <c r="Z936" s="11">
        <v>46043</v>
      </c>
      <c r="AA936">
        <v>1</v>
      </c>
      <c r="AB936" s="12">
        <v>0.42638888888888887</v>
      </c>
      <c r="AC936" t="s">
        <v>750</v>
      </c>
      <c r="AD936" t="s">
        <v>717</v>
      </c>
      <c r="AE936" t="s">
        <v>522</v>
      </c>
    </row>
    <row r="937" spans="1:31">
      <c r="A937" t="s">
        <v>33</v>
      </c>
      <c r="C937">
        <v>107</v>
      </c>
      <c r="D937" t="s">
        <v>5344</v>
      </c>
      <c r="E937" s="11">
        <v>46028</v>
      </c>
      <c r="F937" t="s">
        <v>5345</v>
      </c>
      <c r="G937" t="s">
        <v>36</v>
      </c>
      <c r="J937" t="s">
        <v>939</v>
      </c>
      <c r="K937" t="s">
        <v>5346</v>
      </c>
      <c r="L937" t="s">
        <v>322</v>
      </c>
      <c r="M937" t="s">
        <v>323</v>
      </c>
      <c r="N937" t="s">
        <v>5347</v>
      </c>
      <c r="O937" t="s">
        <v>5348</v>
      </c>
      <c r="P937" s="46" t="str" cm="1">
        <f t="array" aca="1" ref="P937" ca="1">IFERROR(_xlfn.XLOOKUP(tblPedidos[[#This Row],[id_dropi]],tblNotas[[#This Row],[id__dropi]],tblNotas[[#This Row],[Notas Manuales]], “”, 0),"")</f>
        <v/>
      </c>
      <c r="R937" t="s">
        <v>3200</v>
      </c>
      <c r="S937">
        <v>30211.5</v>
      </c>
      <c r="T937">
        <v>-12710.800000000001</v>
      </c>
      <c r="U937" cm="1">
        <f t="array" ref="U937">IFERROR(_xlfn.IFS(tblPedidos[[#This Row],[estado_operativo]]="ENTREGADO",tblPedidos[[#This Row],[ganancia_calc]],tblPedidos[[#This Row],[estado_operativo]]="DEVOLUCION",tblPedidos[[#This Row],[costo_devolucion_estimado]]),0)</f>
        <v>0</v>
      </c>
      <c r="V937">
        <v>0</v>
      </c>
      <c r="W937">
        <v>74900</v>
      </c>
      <c r="X937">
        <v>15888.5</v>
      </c>
      <c r="Y937">
        <v>28800</v>
      </c>
      <c r="Z937" s="11">
        <v>46030</v>
      </c>
      <c r="AA937">
        <v>14</v>
      </c>
      <c r="AB937" s="12">
        <v>0.54791666666666672</v>
      </c>
      <c r="AC937" t="s">
        <v>399</v>
      </c>
      <c r="AD937" t="s">
        <v>939</v>
      </c>
      <c r="AE937" t="s">
        <v>939</v>
      </c>
    </row>
    <row r="938" spans="1:31">
      <c r="A938" t="s">
        <v>33</v>
      </c>
      <c r="C938">
        <v>108</v>
      </c>
      <c r="D938" t="s">
        <v>5349</v>
      </c>
      <c r="E938" s="11">
        <v>46028</v>
      </c>
      <c r="F938" t="s">
        <v>5350</v>
      </c>
      <c r="G938" t="s">
        <v>45</v>
      </c>
      <c r="J938" t="s">
        <v>1371</v>
      </c>
      <c r="K938" t="s">
        <v>5351</v>
      </c>
      <c r="L938" t="s">
        <v>159</v>
      </c>
      <c r="M938" t="s">
        <v>160</v>
      </c>
      <c r="N938" t="s">
        <v>5352</v>
      </c>
      <c r="O938" t="s">
        <v>5353</v>
      </c>
      <c r="P938" s="46" t="str" cm="1">
        <f t="array" aca="1" ref="P938" ca="1">IFERROR(_xlfn.XLOOKUP(tblPedidos[[#This Row],[id_dropi]],tblNotas[[#This Row],[id__dropi]],tblNotas[[#This Row],[Notas Manuales]], “”, 0),"")</f>
        <v/>
      </c>
      <c r="Q938" t="s">
        <v>148</v>
      </c>
      <c r="R938" t="s">
        <v>3200</v>
      </c>
      <c r="S938">
        <v>27529.5</v>
      </c>
      <c r="T938">
        <v>-18570.5</v>
      </c>
      <c r="U938" cm="1">
        <f t="array" ref="U938">IFERROR(_xlfn.IFS(tblPedidos[[#This Row],[estado_operativo]]="ENTREGADO",tblPedidos[[#This Row],[ganancia_calc]],tblPedidos[[#This Row],[estado_operativo]]="DEVOLUCION",tblPedidos[[#This Row],[costo_devolucion_estimado]]),0)</f>
        <v>0</v>
      </c>
      <c r="V938">
        <v>0</v>
      </c>
      <c r="W938">
        <v>74900</v>
      </c>
      <c r="X938">
        <v>18570.5</v>
      </c>
      <c r="Y938">
        <v>28800</v>
      </c>
      <c r="Z938" s="11">
        <v>46043</v>
      </c>
      <c r="AA938">
        <v>1</v>
      </c>
      <c r="AB938" s="12">
        <v>0.43819444444444444</v>
      </c>
      <c r="AC938" t="s">
        <v>982</v>
      </c>
      <c r="AD938" t="s">
        <v>982</v>
      </c>
      <c r="AE938" t="s">
        <v>1371</v>
      </c>
    </row>
    <row r="939" spans="1:31">
      <c r="A939" t="s">
        <v>1343</v>
      </c>
      <c r="B939" t="s">
        <v>2946</v>
      </c>
      <c r="C939">
        <v>109</v>
      </c>
      <c r="D939" t="s">
        <v>5354</v>
      </c>
      <c r="E939" s="11">
        <v>46028</v>
      </c>
      <c r="F939" t="s">
        <v>5355</v>
      </c>
      <c r="G939" t="s">
        <v>958</v>
      </c>
      <c r="J939" t="s">
        <v>720</v>
      </c>
      <c r="K939" t="s">
        <v>5356</v>
      </c>
      <c r="L939" t="s">
        <v>81</v>
      </c>
      <c r="M939" t="s">
        <v>118</v>
      </c>
      <c r="N939" t="s">
        <v>5357</v>
      </c>
      <c r="O939" t="s">
        <v>5358</v>
      </c>
      <c r="P939" s="46" t="str" cm="1">
        <f t="array" aca="1" ref="P939" ca="1">IFERROR(_xlfn.XLOOKUP(tblPedidos[[#This Row],[id_dropi]],tblNotas[[#This Row],[id__dropi]],tblNotas[[#This Row],[Notas Manuales]], “”, 0),"")</f>
        <v/>
      </c>
      <c r="R939" t="s">
        <v>3014</v>
      </c>
      <c r="S939">
        <v>28000</v>
      </c>
      <c r="T939">
        <v>-10000</v>
      </c>
      <c r="U939" cm="1">
        <f t="array" ref="U939">IFERROR(_xlfn.IFS(tblPedidos[[#This Row],[estado_operativo]]="ENTREGADO",tblPedidos[[#This Row],[ganancia_calc]],tblPedidos[[#This Row],[estado_operativo]]="DEVOLUCION",tblPedidos[[#This Row],[costo_devolucion_estimado]]),0)</f>
        <v>28000</v>
      </c>
      <c r="V939">
        <v>168000</v>
      </c>
      <c r="W939">
        <v>54900</v>
      </c>
      <c r="X939">
        <v>12500</v>
      </c>
      <c r="Y939">
        <v>14400</v>
      </c>
      <c r="Z939" s="11">
        <v>46032</v>
      </c>
      <c r="AA939">
        <v>12</v>
      </c>
      <c r="AB939" s="12">
        <v>0.50277777777777777</v>
      </c>
      <c r="AC939" t="s">
        <v>720</v>
      </c>
      <c r="AD939" t="s">
        <v>720</v>
      </c>
      <c r="AE939" t="s">
        <v>720</v>
      </c>
    </row>
    <row r="940" spans="1:31">
      <c r="A940" t="s">
        <v>1343</v>
      </c>
      <c r="B940" t="s">
        <v>2946</v>
      </c>
      <c r="C940">
        <v>104</v>
      </c>
      <c r="D940" t="s">
        <v>5359</v>
      </c>
      <c r="E940" s="11">
        <v>46028</v>
      </c>
      <c r="F940" t="s">
        <v>5360</v>
      </c>
      <c r="G940" t="s">
        <v>45</v>
      </c>
      <c r="J940" t="s">
        <v>720</v>
      </c>
      <c r="K940" t="s">
        <v>5361</v>
      </c>
      <c r="L940" t="s">
        <v>125</v>
      </c>
      <c r="M940" t="s">
        <v>306</v>
      </c>
      <c r="N940" t="s">
        <v>5362</v>
      </c>
      <c r="O940" t="s">
        <v>5363</v>
      </c>
      <c r="P940" s="46" t="str" cm="1">
        <f t="array" aca="1" ref="P940" ca="1">IFERROR(_xlfn.XLOOKUP(tblPedidos[[#This Row],[id_dropi]],tblNotas[[#This Row],[id__dropi]],tblNotas[[#This Row],[Notas Manuales]], “”, 0),"")</f>
        <v/>
      </c>
      <c r="R940" t="s">
        <v>2983</v>
      </c>
      <c r="S940">
        <v>28104.5</v>
      </c>
      <c r="T940">
        <v>-18345.5</v>
      </c>
      <c r="U940" cm="1">
        <f t="array" ref="U940">IFERROR(_xlfn.IFS(tblPedidos[[#This Row],[estado_operativo]]="ENTREGADO",tblPedidos[[#This Row],[ganancia_calc]],tblPedidos[[#This Row],[estado_operativo]]="DEVOLUCION",tblPedidos[[#This Row],[costo_devolucion_estimado]]),0)</f>
        <v>28104.5</v>
      </c>
      <c r="V940">
        <v>168627</v>
      </c>
      <c r="W940">
        <v>69900</v>
      </c>
      <c r="X940">
        <v>18345.5</v>
      </c>
      <c r="Y940">
        <v>23450</v>
      </c>
      <c r="Z940" s="11">
        <v>46032</v>
      </c>
      <c r="AA940">
        <v>12</v>
      </c>
      <c r="AB940" s="12">
        <v>0.60416666666666663</v>
      </c>
      <c r="AC940" t="s">
        <v>720</v>
      </c>
      <c r="AD940" t="s">
        <v>720</v>
      </c>
      <c r="AE940" t="s">
        <v>720</v>
      </c>
    </row>
    <row r="941" spans="1:31">
      <c r="A941" t="s">
        <v>1343</v>
      </c>
      <c r="B941" t="s">
        <v>2946</v>
      </c>
      <c r="C941">
        <v>105</v>
      </c>
      <c r="D941" t="s">
        <v>5364</v>
      </c>
      <c r="E941" s="11">
        <v>46028</v>
      </c>
      <c r="F941" t="s">
        <v>5365</v>
      </c>
      <c r="G941" t="s">
        <v>45</v>
      </c>
      <c r="J941" t="s">
        <v>720</v>
      </c>
      <c r="K941" t="s">
        <v>5366</v>
      </c>
      <c r="L941" t="s">
        <v>152</v>
      </c>
      <c r="M941" t="s">
        <v>2156</v>
      </c>
      <c r="N941" t="s">
        <v>5367</v>
      </c>
      <c r="O941" t="s">
        <v>5368</v>
      </c>
      <c r="P941" s="46" t="str" cm="1">
        <f t="array" aca="1" ref="P941" ca="1">IFERROR(_xlfn.XLOOKUP(tblPedidos[[#This Row],[id_dropi]],tblNotas[[#This Row],[id__dropi]],tblNotas[[#This Row],[Notas Manuales]], “”, 0),"")</f>
        <v/>
      </c>
      <c r="Q941" t="s">
        <v>50</v>
      </c>
      <c r="R941" t="s">
        <v>2983</v>
      </c>
      <c r="S941">
        <v>28104.5</v>
      </c>
      <c r="T941">
        <v>-18345.5</v>
      </c>
      <c r="U941" cm="1">
        <f t="array" ref="U941">IFERROR(_xlfn.IFS(tblPedidos[[#This Row],[estado_operativo]]="ENTREGADO",tblPedidos[[#This Row],[ganancia_calc]],tblPedidos[[#This Row],[estado_operativo]]="DEVOLUCION",tblPedidos[[#This Row],[costo_devolucion_estimado]]),0)</f>
        <v>28104.5</v>
      </c>
      <c r="V941">
        <v>140522.5</v>
      </c>
      <c r="W941">
        <v>69900</v>
      </c>
      <c r="X941">
        <v>18345.5</v>
      </c>
      <c r="Y941">
        <v>23450</v>
      </c>
      <c r="Z941" s="11">
        <v>46039</v>
      </c>
      <c r="AA941">
        <v>5</v>
      </c>
      <c r="AB941" s="12">
        <v>0.61319444444444449</v>
      </c>
      <c r="AC941" t="s">
        <v>720</v>
      </c>
      <c r="AD941" t="s">
        <v>720</v>
      </c>
      <c r="AE941" t="s">
        <v>720</v>
      </c>
    </row>
    <row r="942" spans="1:31">
      <c r="A942" t="s">
        <v>1343</v>
      </c>
      <c r="B942" t="s">
        <v>2946</v>
      </c>
      <c r="C942">
        <v>106</v>
      </c>
      <c r="D942" t="s">
        <v>5369</v>
      </c>
      <c r="E942" s="11">
        <v>46028</v>
      </c>
      <c r="F942" t="s">
        <v>5370</v>
      </c>
      <c r="G942" t="s">
        <v>45</v>
      </c>
      <c r="J942" t="s">
        <v>720</v>
      </c>
      <c r="K942" t="s">
        <v>5371</v>
      </c>
      <c r="L942" t="s">
        <v>166</v>
      </c>
      <c r="M942" t="s">
        <v>1748</v>
      </c>
      <c r="N942" t="s">
        <v>5372</v>
      </c>
      <c r="O942" t="s">
        <v>5373</v>
      </c>
      <c r="P942" s="46" t="str" cm="1">
        <f t="array" aca="1" ref="P942" ca="1">IFERROR(_xlfn.XLOOKUP(tblPedidos[[#This Row],[id_dropi]],tblNotas[[#This Row],[id__dropi]],tblNotas[[#This Row],[Notas Manuales]], “”, 0),"")</f>
        <v/>
      </c>
      <c r="Q942" t="s">
        <v>5374</v>
      </c>
      <c r="R942" t="s">
        <v>2983</v>
      </c>
      <c r="S942">
        <v>28104.5</v>
      </c>
      <c r="T942">
        <v>-18345.5</v>
      </c>
      <c r="U942" cm="1">
        <f t="array" ref="U942">IFERROR(_xlfn.IFS(tblPedidos[[#This Row],[estado_operativo]]="ENTREGADO",tblPedidos[[#This Row],[ganancia_calc]],tblPedidos[[#This Row],[estado_operativo]]="DEVOLUCION",tblPedidos[[#This Row],[costo_devolucion_estimado]]),0)</f>
        <v>28104.5</v>
      </c>
      <c r="V942">
        <v>168627</v>
      </c>
      <c r="W942">
        <v>69900</v>
      </c>
      <c r="X942">
        <v>18345.5</v>
      </c>
      <c r="Y942">
        <v>23450</v>
      </c>
      <c r="Z942" s="11">
        <v>46032</v>
      </c>
      <c r="AA942">
        <v>12</v>
      </c>
      <c r="AB942" s="12">
        <v>0.75624999999999998</v>
      </c>
      <c r="AC942" t="s">
        <v>720</v>
      </c>
      <c r="AD942" t="s">
        <v>720</v>
      </c>
      <c r="AE942" t="s">
        <v>720</v>
      </c>
    </row>
    <row r="943" spans="1:31">
      <c r="A943" t="s">
        <v>1343</v>
      </c>
      <c r="B943" t="s">
        <v>2946</v>
      </c>
      <c r="C943">
        <v>141</v>
      </c>
      <c r="D943" t="s">
        <v>5375</v>
      </c>
      <c r="E943" s="11">
        <v>46028</v>
      </c>
      <c r="F943" t="s">
        <v>5376</v>
      </c>
      <c r="G943" t="s">
        <v>45</v>
      </c>
      <c r="J943" t="s">
        <v>720</v>
      </c>
      <c r="K943" t="s">
        <v>5377</v>
      </c>
      <c r="L943" t="s">
        <v>81</v>
      </c>
      <c r="M943" t="s">
        <v>2720</v>
      </c>
      <c r="N943" t="s">
        <v>5378</v>
      </c>
      <c r="O943" t="s">
        <v>5379</v>
      </c>
      <c r="P943" s="46" t="str" cm="1">
        <f t="array" aca="1" ref="P943" ca="1">IFERROR(_xlfn.XLOOKUP(tblPedidos[[#This Row],[id_dropi]],tblNotas[[#This Row],[id__dropi]],tblNotas[[#This Row],[Notas Manuales]], “”, 0),"")</f>
        <v/>
      </c>
      <c r="Q943" t="s">
        <v>50</v>
      </c>
      <c r="R943" t="s">
        <v>2983</v>
      </c>
      <c r="S943">
        <v>27879.5</v>
      </c>
      <c r="T943">
        <v>-13570.5</v>
      </c>
      <c r="U943" cm="1">
        <f t="array" ref="U943">IFERROR(_xlfn.IFS(tblPedidos[[#This Row],[estado_operativo]]="ENTREGADO",tblPedidos[[#This Row],[ganancia_calc]],tblPedidos[[#This Row],[estado_operativo]]="DEVOLUCION",tblPedidos[[#This Row],[costo_devolucion_estimado]]),0)</f>
        <v>27879.5</v>
      </c>
      <c r="V943">
        <v>167277</v>
      </c>
      <c r="W943">
        <v>64900</v>
      </c>
      <c r="X943">
        <v>13570.5</v>
      </c>
      <c r="Y943">
        <v>23450</v>
      </c>
      <c r="Z943" s="11">
        <v>46032</v>
      </c>
      <c r="AA943">
        <v>12</v>
      </c>
      <c r="AB943" s="12">
        <v>5.1388888888888887E-2</v>
      </c>
      <c r="AC943" t="s">
        <v>720</v>
      </c>
      <c r="AD943" t="s">
        <v>720</v>
      </c>
      <c r="AE943" t="s">
        <v>720</v>
      </c>
    </row>
    <row r="944" spans="1:31">
      <c r="A944" t="s">
        <v>1343</v>
      </c>
      <c r="B944" t="s">
        <v>2946</v>
      </c>
      <c r="C944">
        <v>142</v>
      </c>
      <c r="D944" t="s">
        <v>5380</v>
      </c>
      <c r="E944" s="11">
        <v>46028</v>
      </c>
      <c r="F944" t="s">
        <v>5381</v>
      </c>
      <c r="G944" t="s">
        <v>36</v>
      </c>
      <c r="J944" t="s">
        <v>720</v>
      </c>
      <c r="K944" t="s">
        <v>5382</v>
      </c>
      <c r="L944" t="s">
        <v>38</v>
      </c>
      <c r="M944" t="s">
        <v>39</v>
      </c>
      <c r="N944" t="s">
        <v>5383</v>
      </c>
      <c r="O944" t="s">
        <v>5384</v>
      </c>
      <c r="P944" s="46" t="str" cm="1">
        <f t="array" aca="1" ref="P944" ca="1">IFERROR(_xlfn.XLOOKUP(tblPedidos[[#This Row],[id_dropi]],tblNotas[[#This Row],[id__dropi]],tblNotas[[#This Row],[Notas Manuales]], “”, 0),"")</f>
        <v/>
      </c>
      <c r="R944" t="s">
        <v>2983</v>
      </c>
      <c r="S944">
        <v>30786.5</v>
      </c>
      <c r="T944">
        <v>-12530.800000000001</v>
      </c>
      <c r="U944" cm="1">
        <f t="array" ref="U944">IFERROR(_xlfn.IFS(tblPedidos[[#This Row],[estado_operativo]]="ENTREGADO",tblPedidos[[#This Row],[ganancia_calc]],tblPedidos[[#This Row],[estado_operativo]]="DEVOLUCION",tblPedidos[[#This Row],[costo_devolucion_estimado]]),0)</f>
        <v>30786.5</v>
      </c>
      <c r="V944">
        <v>184719</v>
      </c>
      <c r="W944">
        <v>69900</v>
      </c>
      <c r="X944">
        <v>15663.5</v>
      </c>
      <c r="Y944">
        <v>23450</v>
      </c>
      <c r="Z944" s="11">
        <v>46029</v>
      </c>
      <c r="AA944">
        <v>15</v>
      </c>
      <c r="AB944" s="12">
        <v>0.86319444444444449</v>
      </c>
      <c r="AC944" t="s">
        <v>399</v>
      </c>
      <c r="AD944" t="s">
        <v>720</v>
      </c>
      <c r="AE944" t="s">
        <v>720</v>
      </c>
    </row>
    <row r="945" spans="1:31">
      <c r="A945" t="s">
        <v>1343</v>
      </c>
      <c r="B945" t="s">
        <v>2946</v>
      </c>
      <c r="C945">
        <v>143</v>
      </c>
      <c r="D945" t="s">
        <v>5385</v>
      </c>
      <c r="E945" s="11">
        <v>46028</v>
      </c>
      <c r="F945" t="s">
        <v>5386</v>
      </c>
      <c r="G945" t="s">
        <v>45</v>
      </c>
      <c r="J945" t="s">
        <v>720</v>
      </c>
      <c r="K945" t="s">
        <v>5387</v>
      </c>
      <c r="L945" t="s">
        <v>212</v>
      </c>
      <c r="M945" t="s">
        <v>5388</v>
      </c>
      <c r="N945" t="s">
        <v>5389</v>
      </c>
      <c r="O945" t="s">
        <v>5390</v>
      </c>
      <c r="P945" s="46" t="str" cm="1">
        <f t="array" aca="1" ref="P945" ca="1">IFERROR(_xlfn.XLOOKUP(tblPedidos[[#This Row],[id_dropi]],tblNotas[[#This Row],[id__dropi]],tblNotas[[#This Row],[Notas Manuales]], “”, 0),"")</f>
        <v/>
      </c>
      <c r="Q945" t="s">
        <v>50</v>
      </c>
      <c r="R945" t="s">
        <v>2983</v>
      </c>
      <c r="S945">
        <v>28104.5</v>
      </c>
      <c r="T945">
        <v>-18345.5</v>
      </c>
      <c r="U945" cm="1">
        <f t="array" ref="U945">IFERROR(_xlfn.IFS(tblPedidos[[#This Row],[estado_operativo]]="ENTREGADO",tblPedidos[[#This Row],[ganancia_calc]],tblPedidos[[#This Row],[estado_operativo]]="DEVOLUCION",tblPedidos[[#This Row],[costo_devolucion_estimado]]),0)</f>
        <v>28104.5</v>
      </c>
      <c r="V945">
        <v>168627</v>
      </c>
      <c r="W945">
        <v>69900</v>
      </c>
      <c r="X945">
        <v>18345.5</v>
      </c>
      <c r="Y945">
        <v>23450</v>
      </c>
      <c r="Z945" s="11">
        <v>46035</v>
      </c>
      <c r="AA945">
        <v>9</v>
      </c>
      <c r="AB945" s="12">
        <v>0.77361111111111114</v>
      </c>
      <c r="AC945" t="s">
        <v>720</v>
      </c>
      <c r="AD945" t="s">
        <v>720</v>
      </c>
      <c r="AE945" t="s">
        <v>720</v>
      </c>
    </row>
    <row r="946" spans="1:31">
      <c r="A946" t="s">
        <v>1343</v>
      </c>
      <c r="B946" t="s">
        <v>2946</v>
      </c>
      <c r="C946">
        <v>138</v>
      </c>
      <c r="D946" t="s">
        <v>5391</v>
      </c>
      <c r="E946" s="11">
        <v>46028</v>
      </c>
      <c r="F946" t="s">
        <v>5392</v>
      </c>
      <c r="G946" t="s">
        <v>45</v>
      </c>
      <c r="J946" t="s">
        <v>720</v>
      </c>
      <c r="K946" t="s">
        <v>5393</v>
      </c>
      <c r="L946" t="s">
        <v>46</v>
      </c>
      <c r="M946" t="s">
        <v>100</v>
      </c>
      <c r="N946" t="s">
        <v>5394</v>
      </c>
      <c r="O946" t="s">
        <v>5395</v>
      </c>
      <c r="P946" s="46" t="str" cm="1">
        <f t="array" aca="1" ref="P946" ca="1">IFERROR(_xlfn.XLOOKUP(tblPedidos[[#This Row],[id_dropi]],tblNotas[[#This Row],[id__dropi]],tblNotas[[#This Row],[Notas Manuales]], “”, 0),"")</f>
        <v/>
      </c>
      <c r="R946" t="s">
        <v>4707</v>
      </c>
      <c r="S946">
        <v>32604.5</v>
      </c>
      <c r="T946">
        <v>-13295.5</v>
      </c>
      <c r="U946" cm="1">
        <f t="array" ref="U946">IFERROR(_xlfn.IFS(tblPedidos[[#This Row],[estado_operativo]]="ENTREGADO",tblPedidos[[#This Row],[ganancia_calc]],tblPedidos[[#This Row],[estado_operativo]]="DEVOLUCION",tblPedidos[[#This Row],[costo_devolucion_estimado]]),0)</f>
        <v>32604.5</v>
      </c>
      <c r="V946">
        <v>195627</v>
      </c>
      <c r="W946">
        <v>89900</v>
      </c>
      <c r="X946">
        <v>13295.5</v>
      </c>
      <c r="Y946">
        <v>44000</v>
      </c>
      <c r="Z946" s="11">
        <v>46032</v>
      </c>
      <c r="AA946">
        <v>12</v>
      </c>
      <c r="AB946" s="12">
        <v>0.67152777777777772</v>
      </c>
      <c r="AC946" t="s">
        <v>720</v>
      </c>
      <c r="AD946" t="s">
        <v>720</v>
      </c>
      <c r="AE946" t="s">
        <v>720</v>
      </c>
    </row>
    <row r="947" spans="1:31">
      <c r="A947" t="s">
        <v>33</v>
      </c>
      <c r="C947">
        <v>139</v>
      </c>
      <c r="D947" t="s">
        <v>5396</v>
      </c>
      <c r="E947" s="11">
        <v>46028</v>
      </c>
      <c r="F947" t="s">
        <v>5397</v>
      </c>
      <c r="G947" t="s">
        <v>958</v>
      </c>
      <c r="J947" t="s">
        <v>3550</v>
      </c>
      <c r="K947" t="s">
        <v>5398</v>
      </c>
      <c r="L947" t="s">
        <v>54</v>
      </c>
      <c r="M947" t="s">
        <v>224</v>
      </c>
      <c r="N947" t="s">
        <v>5399</v>
      </c>
      <c r="O947" t="s">
        <v>5400</v>
      </c>
      <c r="P947" s="46" t="str" cm="1">
        <f t="array" aca="1" ref="P947" ca="1">IFERROR(_xlfn.XLOOKUP(tblPedidos[[#This Row],[id_dropi]],tblNotas[[#This Row],[id__dropi]],tblNotas[[#This Row],[Notas Manuales]], “”, 0),"")</f>
        <v/>
      </c>
      <c r="R947" t="s">
        <v>3060</v>
      </c>
      <c r="S947">
        <v>31603.5</v>
      </c>
      <c r="T947">
        <v>-10637.2</v>
      </c>
      <c r="U947" cm="1">
        <f t="array" ref="U947">IFERROR(_xlfn.IFS(tblPedidos[[#This Row],[estado_operativo]]="ENTREGADO",tblPedidos[[#This Row],[ganancia_calc]],tblPedidos[[#This Row],[estado_operativo]]="DEVOLUCION",tblPedidos[[#This Row],[costo_devolucion_estimado]]),0)</f>
        <v>0</v>
      </c>
      <c r="V947">
        <v>0</v>
      </c>
      <c r="W947">
        <v>79900</v>
      </c>
      <c r="X947">
        <v>13296.5</v>
      </c>
      <c r="Y947">
        <v>35000</v>
      </c>
      <c r="Z947" s="11">
        <v>46035</v>
      </c>
      <c r="AA947">
        <v>9</v>
      </c>
      <c r="AB947" s="12">
        <v>0.37777777777777777</v>
      </c>
      <c r="AC947" t="s">
        <v>3550</v>
      </c>
      <c r="AD947" t="s">
        <v>3550</v>
      </c>
      <c r="AE947" t="s">
        <v>3550</v>
      </c>
    </row>
    <row r="948" spans="1:31">
      <c r="A948" t="s">
        <v>1343</v>
      </c>
      <c r="B948" t="s">
        <v>2946</v>
      </c>
      <c r="C948">
        <v>140</v>
      </c>
      <c r="D948" t="s">
        <v>5401</v>
      </c>
      <c r="E948" s="11">
        <v>46028</v>
      </c>
      <c r="F948" t="s">
        <v>5402</v>
      </c>
      <c r="G948" t="s">
        <v>45</v>
      </c>
      <c r="J948" t="s">
        <v>720</v>
      </c>
      <c r="K948" t="s">
        <v>5403</v>
      </c>
      <c r="L948" t="s">
        <v>46</v>
      </c>
      <c r="M948" t="s">
        <v>100</v>
      </c>
      <c r="N948" t="s">
        <v>5404</v>
      </c>
      <c r="O948" t="s">
        <v>5405</v>
      </c>
      <c r="P948" s="46" t="str" cm="1">
        <f t="array" aca="1" ref="P948" ca="1">IFERROR(_xlfn.XLOOKUP(tblPedidos[[#This Row],[id_dropi]],tblNotas[[#This Row],[id__dropi]],tblNotas[[#This Row],[Notas Manuales]], “”, 0),"")</f>
        <v/>
      </c>
      <c r="R948" t="s">
        <v>3008</v>
      </c>
      <c r="S948">
        <v>27954.5</v>
      </c>
      <c r="T948">
        <v>-11945.5</v>
      </c>
      <c r="U948" cm="1">
        <f t="array" ref="U948">IFERROR(_xlfn.IFS(tblPedidos[[#This Row],[estado_operativo]]="ENTREGADO",tblPedidos[[#This Row],[ganancia_calc]],tblPedidos[[#This Row],[estado_operativo]]="DEVOLUCION",tblPedidos[[#This Row],[costo_devolucion_estimado]]),0)</f>
        <v>27954.5</v>
      </c>
      <c r="V948">
        <v>167727</v>
      </c>
      <c r="W948">
        <v>59900</v>
      </c>
      <c r="X948">
        <v>11945.5</v>
      </c>
      <c r="Y948">
        <v>20000</v>
      </c>
      <c r="Z948" s="11">
        <v>46031</v>
      </c>
      <c r="AA948">
        <v>13</v>
      </c>
      <c r="AB948" s="12">
        <v>0.62847222222222221</v>
      </c>
      <c r="AC948" t="s">
        <v>720</v>
      </c>
      <c r="AD948" t="s">
        <v>720</v>
      </c>
      <c r="AE948" t="s">
        <v>720</v>
      </c>
    </row>
    <row r="949" spans="1:31">
      <c r="A949" t="s">
        <v>1343</v>
      </c>
      <c r="B949" t="s">
        <v>2946</v>
      </c>
      <c r="C949">
        <v>144</v>
      </c>
      <c r="D949" t="s">
        <v>5406</v>
      </c>
      <c r="E949" s="11">
        <v>46028</v>
      </c>
      <c r="F949" t="s">
        <v>5407</v>
      </c>
      <c r="G949" t="s">
        <v>45</v>
      </c>
      <c r="J949" t="s">
        <v>720</v>
      </c>
      <c r="K949" t="s">
        <v>5408</v>
      </c>
      <c r="L949" t="s">
        <v>46</v>
      </c>
      <c r="M949" t="s">
        <v>350</v>
      </c>
      <c r="N949" t="s">
        <v>5409</v>
      </c>
      <c r="O949" t="s">
        <v>5410</v>
      </c>
      <c r="P949" s="46" t="str" cm="1">
        <f t="array" aca="1" ref="P949" ca="1">IFERROR(_xlfn.XLOOKUP(tblPedidos[[#This Row],[id_dropi]],tblNotas[[#This Row],[id__dropi]],tblNotas[[#This Row],[Notas Manuales]], “”, 0),"")</f>
        <v/>
      </c>
      <c r="Q949" t="s">
        <v>50</v>
      </c>
      <c r="R949" t="s">
        <v>3008</v>
      </c>
      <c r="S949">
        <v>26554.5</v>
      </c>
      <c r="T949">
        <v>-13345.5</v>
      </c>
      <c r="U949" cm="1">
        <f t="array" ref="U949">IFERROR(_xlfn.IFS(tblPedidos[[#This Row],[estado_operativo]]="ENTREGADO",tblPedidos[[#This Row],[ganancia_calc]],tblPedidos[[#This Row],[estado_operativo]]="DEVOLUCION",tblPedidos[[#This Row],[costo_devolucion_estimado]]),0)</f>
        <v>26554.5</v>
      </c>
      <c r="V949">
        <v>159327</v>
      </c>
      <c r="W949">
        <v>59900</v>
      </c>
      <c r="X949">
        <v>13345.5</v>
      </c>
      <c r="Y949">
        <v>20000</v>
      </c>
      <c r="Z949" s="11">
        <v>46031</v>
      </c>
      <c r="AA949">
        <v>13</v>
      </c>
      <c r="AB949" s="12">
        <v>0.63194444444444442</v>
      </c>
      <c r="AC949" t="s">
        <v>720</v>
      </c>
      <c r="AD949" t="s">
        <v>720</v>
      </c>
      <c r="AE949" t="s">
        <v>720</v>
      </c>
    </row>
    <row r="950" spans="1:31">
      <c r="A950" t="s">
        <v>1343</v>
      </c>
      <c r="B950" t="s">
        <v>2946</v>
      </c>
      <c r="C950">
        <v>148</v>
      </c>
      <c r="D950" t="s">
        <v>5411</v>
      </c>
      <c r="E950" s="11">
        <v>46028</v>
      </c>
      <c r="F950" t="s">
        <v>5412</v>
      </c>
      <c r="G950" t="s">
        <v>45</v>
      </c>
      <c r="J950" t="s">
        <v>720</v>
      </c>
      <c r="K950" t="s">
        <v>5413</v>
      </c>
      <c r="L950" t="s">
        <v>427</v>
      </c>
      <c r="M950" t="s">
        <v>634</v>
      </c>
      <c r="N950" t="s">
        <v>5414</v>
      </c>
      <c r="O950" t="s">
        <v>5415</v>
      </c>
      <c r="P950" s="46" t="str" cm="1">
        <f t="array" aca="1" ref="P950" ca="1">IFERROR(_xlfn.XLOOKUP(tblPedidos[[#This Row],[id_dropi]],tblNotas[[#This Row],[id__dropi]],tblNotas[[#This Row],[Notas Manuales]], “”, 0),"")</f>
        <v/>
      </c>
      <c r="Q950" t="s">
        <v>50</v>
      </c>
      <c r="R950" t="s">
        <v>3213</v>
      </c>
      <c r="S950">
        <v>21554.5</v>
      </c>
      <c r="T950">
        <v>-13345.5</v>
      </c>
      <c r="U950" cm="1">
        <f t="array" ref="U950">IFERROR(_xlfn.IFS(tblPedidos[[#This Row],[estado_operativo]]="ENTREGADO",tblPedidos[[#This Row],[ganancia_calc]],tblPedidos[[#This Row],[estado_operativo]]="DEVOLUCION",tblPedidos[[#This Row],[costo_devolucion_estimado]]),0)</f>
        <v>21554.5</v>
      </c>
      <c r="V950">
        <v>129327</v>
      </c>
      <c r="W950">
        <v>59900</v>
      </c>
      <c r="X950">
        <v>13345.5</v>
      </c>
      <c r="Y950">
        <v>25000</v>
      </c>
      <c r="Z950" s="11">
        <v>46036</v>
      </c>
      <c r="AA950">
        <v>8</v>
      </c>
      <c r="AB950" s="12">
        <v>0.76458333333333328</v>
      </c>
      <c r="AC950" t="s">
        <v>720</v>
      </c>
      <c r="AD950" t="s">
        <v>720</v>
      </c>
      <c r="AE950" t="s">
        <v>720</v>
      </c>
    </row>
    <row r="951" spans="1:31">
      <c r="A951" t="s">
        <v>33</v>
      </c>
      <c r="C951">
        <v>149</v>
      </c>
      <c r="D951" t="s">
        <v>5416</v>
      </c>
      <c r="E951" s="11">
        <v>46028</v>
      </c>
      <c r="F951" t="s">
        <v>5417</v>
      </c>
      <c r="G951" t="s">
        <v>36</v>
      </c>
      <c r="J951" t="s">
        <v>522</v>
      </c>
      <c r="K951" t="s">
        <v>5418</v>
      </c>
      <c r="L951" t="s">
        <v>54</v>
      </c>
      <c r="M951" t="s">
        <v>224</v>
      </c>
      <c r="N951" t="s">
        <v>5419</v>
      </c>
      <c r="O951" t="s">
        <v>5420</v>
      </c>
      <c r="P951" s="46" t="str" cm="1">
        <f t="array" aca="1" ref="P951" ca="1">IFERROR(_xlfn.XLOOKUP(tblPedidos[[#This Row],[id_dropi]],tblNotas[[#This Row],[id__dropi]],tblNotas[[#This Row],[Notas Manuales]], “”, 0),"")</f>
        <v/>
      </c>
      <c r="R951" t="s">
        <v>3213</v>
      </c>
      <c r="S951">
        <v>19686.5</v>
      </c>
      <c r="T951">
        <v>-12170.800000000001</v>
      </c>
      <c r="U951" cm="1">
        <f t="array" ref="U951">IFERROR(_xlfn.IFS(tblPedidos[[#This Row],[estado_operativo]]="ENTREGADO",tblPedidos[[#This Row],[ganancia_calc]],tblPedidos[[#This Row],[estado_operativo]]="DEVOLUCION",tblPedidos[[#This Row],[costo_devolucion_estimado]]),0)</f>
        <v>0</v>
      </c>
      <c r="V951">
        <v>0</v>
      </c>
      <c r="W951">
        <v>59900</v>
      </c>
      <c r="X951">
        <v>15213.5</v>
      </c>
      <c r="Y951">
        <v>25000</v>
      </c>
      <c r="Z951" s="11">
        <v>46030</v>
      </c>
      <c r="AA951">
        <v>14</v>
      </c>
      <c r="AB951" s="12">
        <v>0.57986111111111116</v>
      </c>
      <c r="AC951" t="s">
        <v>788</v>
      </c>
      <c r="AD951" t="s">
        <v>527</v>
      </c>
      <c r="AE951" t="s">
        <v>522</v>
      </c>
    </row>
    <row r="952" spans="1:31">
      <c r="A952" t="s">
        <v>1343</v>
      </c>
      <c r="B952" t="s">
        <v>2946</v>
      </c>
      <c r="C952">
        <v>150</v>
      </c>
      <c r="D952" t="s">
        <v>5421</v>
      </c>
      <c r="E952" s="11">
        <v>46028</v>
      </c>
      <c r="F952" t="s">
        <v>5422</v>
      </c>
      <c r="G952" t="s">
        <v>45</v>
      </c>
      <c r="J952" t="s">
        <v>720</v>
      </c>
      <c r="K952" t="s">
        <v>5423</v>
      </c>
      <c r="L952" t="s">
        <v>54</v>
      </c>
      <c r="M952" t="s">
        <v>3449</v>
      </c>
      <c r="N952" t="s">
        <v>3450</v>
      </c>
      <c r="O952" t="s">
        <v>5424</v>
      </c>
      <c r="P952" s="46" t="str" cm="1">
        <f t="array" aca="1" ref="P952" ca="1">IFERROR(_xlfn.XLOOKUP(tblPedidos[[#This Row],[id_dropi]],tblNotas[[#This Row],[id__dropi]],tblNotas[[#This Row],[Notas Manuales]], “”, 0),"")</f>
        <v/>
      </c>
      <c r="Q952" t="s">
        <v>50</v>
      </c>
      <c r="R952" t="s">
        <v>3213</v>
      </c>
      <c r="S952">
        <v>12229.5</v>
      </c>
      <c r="T952">
        <v>-17670.5</v>
      </c>
      <c r="U952" cm="1">
        <f t="array" ref="U952">IFERROR(_xlfn.IFS(tblPedidos[[#This Row],[estado_operativo]]="ENTREGADO",tblPedidos[[#This Row],[ganancia_calc]],tblPedidos[[#This Row],[estado_operativo]]="DEVOLUCION",tblPedidos[[#This Row],[costo_devolucion_estimado]]),0)</f>
        <v>12229.5</v>
      </c>
      <c r="V952">
        <v>73377</v>
      </c>
      <c r="W952">
        <v>54900</v>
      </c>
      <c r="X952">
        <v>17670.5</v>
      </c>
      <c r="Y952">
        <v>25000</v>
      </c>
      <c r="Z952" s="11">
        <v>46035</v>
      </c>
      <c r="AA952">
        <v>9</v>
      </c>
      <c r="AB952" s="12">
        <v>0.83958333333333335</v>
      </c>
      <c r="AC952" t="s">
        <v>720</v>
      </c>
      <c r="AD952" t="s">
        <v>720</v>
      </c>
      <c r="AE952" t="s">
        <v>720</v>
      </c>
    </row>
    <row r="953" spans="1:31">
      <c r="A953" t="s">
        <v>1343</v>
      </c>
      <c r="B953" t="s">
        <v>2946</v>
      </c>
      <c r="C953">
        <v>145</v>
      </c>
      <c r="D953" t="s">
        <v>5425</v>
      </c>
      <c r="E953" s="11">
        <v>46028</v>
      </c>
      <c r="F953" t="s">
        <v>5426</v>
      </c>
      <c r="G953" t="s">
        <v>45</v>
      </c>
      <c r="J953" t="s">
        <v>720</v>
      </c>
      <c r="K953" t="s">
        <v>5427</v>
      </c>
      <c r="L953" t="s">
        <v>166</v>
      </c>
      <c r="M953" t="s">
        <v>468</v>
      </c>
      <c r="N953" t="s">
        <v>5428</v>
      </c>
      <c r="O953" t="s">
        <v>5429</v>
      </c>
      <c r="P953" s="46" t="str" cm="1">
        <f t="array" aca="1" ref="P953" ca="1">IFERROR(_xlfn.XLOOKUP(tblPedidos[[#This Row],[id_dropi]],tblNotas[[#This Row],[id__dropi]],tblNotas[[#This Row],[Notas Manuales]], “”, 0),"")</f>
        <v/>
      </c>
      <c r="R953" t="s">
        <v>3213</v>
      </c>
      <c r="S953">
        <v>17004.5</v>
      </c>
      <c r="T953">
        <v>-17895.5</v>
      </c>
      <c r="U953" cm="1">
        <f t="array" ref="U953">IFERROR(_xlfn.IFS(tblPedidos[[#This Row],[estado_operativo]]="ENTREGADO",tblPedidos[[#This Row],[ganancia_calc]],tblPedidos[[#This Row],[estado_operativo]]="DEVOLUCION",tblPedidos[[#This Row],[costo_devolucion_estimado]]),0)</f>
        <v>17004.5</v>
      </c>
      <c r="V953">
        <v>85022.5</v>
      </c>
      <c r="W953">
        <v>59900</v>
      </c>
      <c r="X953">
        <v>17895.5</v>
      </c>
      <c r="Y953">
        <v>25000</v>
      </c>
      <c r="Z953" s="11">
        <v>46038</v>
      </c>
      <c r="AA953">
        <v>6</v>
      </c>
      <c r="AB953" s="12">
        <v>0.75694444444444442</v>
      </c>
      <c r="AC953" t="s">
        <v>720</v>
      </c>
      <c r="AD953" t="s">
        <v>720</v>
      </c>
      <c r="AE953" t="s">
        <v>720</v>
      </c>
    </row>
    <row r="954" spans="1:31">
      <c r="A954" t="s">
        <v>1343</v>
      </c>
      <c r="B954" t="s">
        <v>2946</v>
      </c>
      <c r="C954">
        <v>146</v>
      </c>
      <c r="D954" t="s">
        <v>5430</v>
      </c>
      <c r="E954" s="11">
        <v>46028</v>
      </c>
      <c r="F954" t="s">
        <v>5431</v>
      </c>
      <c r="G954" t="s">
        <v>45</v>
      </c>
      <c r="J954" t="s">
        <v>1657</v>
      </c>
      <c r="K954" t="s">
        <v>5432</v>
      </c>
      <c r="L954" t="s">
        <v>46</v>
      </c>
      <c r="M954" t="s">
        <v>94</v>
      </c>
      <c r="N954" t="s">
        <v>5433</v>
      </c>
      <c r="O954" t="s">
        <v>5434</v>
      </c>
      <c r="P954" s="46" t="str" cm="1">
        <f t="array" aca="1" ref="P954" ca="1">IFERROR(_xlfn.XLOOKUP(tblPedidos[[#This Row],[id_dropi]],tblNotas[[#This Row],[id__dropi]],tblNotas[[#This Row],[Notas Manuales]], “”, 0),"")</f>
        <v/>
      </c>
      <c r="R954" t="s">
        <v>3213</v>
      </c>
      <c r="S954">
        <v>18179.5</v>
      </c>
      <c r="T954">
        <v>-11720.5</v>
      </c>
      <c r="U954" cm="1">
        <f t="array" ref="U954">IFERROR(_xlfn.IFS(tblPedidos[[#This Row],[estado_operativo]]="ENTREGADO",tblPedidos[[#This Row],[ganancia_calc]],tblPedidos[[#This Row],[estado_operativo]]="DEVOLUCION",tblPedidos[[#This Row],[costo_devolucion_estimado]]),0)</f>
        <v>-11720.5</v>
      </c>
      <c r="V954">
        <v>-70323</v>
      </c>
      <c r="W954">
        <v>54900</v>
      </c>
      <c r="X954">
        <v>11720.5</v>
      </c>
      <c r="Y954">
        <v>25000</v>
      </c>
      <c r="Z954" s="11">
        <v>46038</v>
      </c>
      <c r="AA954">
        <v>6</v>
      </c>
      <c r="AB954" s="12">
        <v>5.2083333333333336E-2</v>
      </c>
      <c r="AC954" t="s">
        <v>1657</v>
      </c>
      <c r="AD954" t="s">
        <v>1657</v>
      </c>
      <c r="AE954" t="s">
        <v>1657</v>
      </c>
    </row>
    <row r="955" spans="1:31">
      <c r="A955" t="s">
        <v>1343</v>
      </c>
      <c r="B955" t="s">
        <v>2946</v>
      </c>
      <c r="C955">
        <v>147</v>
      </c>
      <c r="D955" t="s">
        <v>5435</v>
      </c>
      <c r="E955" s="11">
        <v>46028</v>
      </c>
      <c r="F955" t="s">
        <v>5436</v>
      </c>
      <c r="G955" t="s">
        <v>45</v>
      </c>
      <c r="J955" t="s">
        <v>720</v>
      </c>
      <c r="K955" t="s">
        <v>5437</v>
      </c>
      <c r="L955" t="s">
        <v>662</v>
      </c>
      <c r="M955" t="s">
        <v>5438</v>
      </c>
      <c r="N955" t="s">
        <v>5439</v>
      </c>
      <c r="O955" t="s">
        <v>5440</v>
      </c>
      <c r="P955" s="46" t="str" cm="1">
        <f t="array" aca="1" ref="P955" ca="1">IFERROR(_xlfn.XLOOKUP(tblPedidos[[#This Row],[id_dropi]],tblNotas[[#This Row],[id__dropi]],tblNotas[[#This Row],[Notas Manuales]], “”, 0),"")</f>
        <v/>
      </c>
      <c r="R955" t="s">
        <v>3213</v>
      </c>
      <c r="S955">
        <v>17004.5</v>
      </c>
      <c r="T955">
        <v>-17895.5</v>
      </c>
      <c r="U955" cm="1">
        <f t="array" ref="U955">IFERROR(_xlfn.IFS(tblPedidos[[#This Row],[estado_operativo]]="ENTREGADO",tblPedidos[[#This Row],[ganancia_calc]],tblPedidos[[#This Row],[estado_operativo]]="DEVOLUCION",tblPedidos[[#This Row],[costo_devolucion_estimado]]),0)</f>
        <v>17004.5</v>
      </c>
      <c r="V955">
        <v>102027</v>
      </c>
      <c r="W955">
        <v>59900</v>
      </c>
      <c r="X955">
        <v>17895.5</v>
      </c>
      <c r="Y955">
        <v>25000</v>
      </c>
      <c r="Z955" s="11">
        <v>46032</v>
      </c>
      <c r="AA955">
        <v>12</v>
      </c>
      <c r="AB955" s="12">
        <v>0.83819444444444446</v>
      </c>
      <c r="AC955" t="s">
        <v>720</v>
      </c>
      <c r="AD955" t="s">
        <v>720</v>
      </c>
      <c r="AE955" t="s">
        <v>720</v>
      </c>
    </row>
    <row r="956" spans="1:31">
      <c r="A956" t="s">
        <v>1343</v>
      </c>
      <c r="B956" t="s">
        <v>2946</v>
      </c>
      <c r="C956">
        <v>137</v>
      </c>
      <c r="D956" t="s">
        <v>5441</v>
      </c>
      <c r="E956" s="11">
        <v>46028</v>
      </c>
      <c r="F956" t="s">
        <v>5442</v>
      </c>
      <c r="G956" t="s">
        <v>45</v>
      </c>
      <c r="J956" t="s">
        <v>720</v>
      </c>
      <c r="K956" t="s">
        <v>5443</v>
      </c>
      <c r="L956" t="s">
        <v>166</v>
      </c>
      <c r="M956" t="s">
        <v>5444</v>
      </c>
      <c r="N956" t="s">
        <v>5445</v>
      </c>
      <c r="O956" t="s">
        <v>5446</v>
      </c>
      <c r="P956" s="46" t="str" cm="1">
        <f t="array" aca="1" ref="P956" ca="1">IFERROR(_xlfn.XLOOKUP(tblPedidos[[#This Row],[id_dropi]],tblNotas[[#This Row],[id__dropi]],tblNotas[[#This Row],[Notas Manuales]], “”, 0),"")</f>
        <v/>
      </c>
      <c r="Q956" t="s">
        <v>50</v>
      </c>
      <c r="R956" t="s">
        <v>3213</v>
      </c>
      <c r="S956">
        <v>17004.5</v>
      </c>
      <c r="T956">
        <v>-17895.5</v>
      </c>
      <c r="U956" cm="1">
        <f t="array" ref="U956">IFERROR(_xlfn.IFS(tblPedidos[[#This Row],[estado_operativo]]="ENTREGADO",tblPedidos[[#This Row],[ganancia_calc]],tblPedidos[[#This Row],[estado_operativo]]="DEVOLUCION",tblPedidos[[#This Row],[costo_devolucion_estimado]]),0)</f>
        <v>17004.5</v>
      </c>
      <c r="V956">
        <v>102027</v>
      </c>
      <c r="W956">
        <v>59900</v>
      </c>
      <c r="X956">
        <v>17895.5</v>
      </c>
      <c r="Y956">
        <v>25000</v>
      </c>
      <c r="Z956" s="11">
        <v>46031</v>
      </c>
      <c r="AA956">
        <v>13</v>
      </c>
      <c r="AB956" s="12">
        <v>0.63194444444444442</v>
      </c>
      <c r="AC956" t="s">
        <v>720</v>
      </c>
      <c r="AD956" t="s">
        <v>720</v>
      </c>
      <c r="AE956" t="s">
        <v>720</v>
      </c>
    </row>
    <row r="957" spans="1:31">
      <c r="A957" t="s">
        <v>1343</v>
      </c>
      <c r="B957" t="s">
        <v>2946</v>
      </c>
      <c r="C957">
        <v>127</v>
      </c>
      <c r="D957" t="s">
        <v>5447</v>
      </c>
      <c r="E957" s="11">
        <v>46028</v>
      </c>
      <c r="F957" t="s">
        <v>5448</v>
      </c>
      <c r="G957" t="s">
        <v>45</v>
      </c>
      <c r="J957" t="s">
        <v>720</v>
      </c>
      <c r="K957" t="s">
        <v>5449</v>
      </c>
      <c r="L957" t="s">
        <v>46</v>
      </c>
      <c r="M957" t="s">
        <v>311</v>
      </c>
      <c r="N957" t="s">
        <v>5450</v>
      </c>
      <c r="O957" t="s">
        <v>5451</v>
      </c>
      <c r="P957" s="46" t="str" cm="1">
        <f t="array" aca="1" ref="P957" ca="1">IFERROR(_xlfn.XLOOKUP(tblPedidos[[#This Row],[id_dropi]],tblNotas[[#This Row],[id__dropi]],tblNotas[[#This Row],[Notas Manuales]], “”, 0),"")</f>
        <v/>
      </c>
      <c r="Q957" t="s">
        <v>5452</v>
      </c>
      <c r="R957" t="s">
        <v>3213</v>
      </c>
      <c r="S957">
        <v>21554.5</v>
      </c>
      <c r="T957">
        <v>-13345.5</v>
      </c>
      <c r="U957" cm="1">
        <f t="array" ref="U957">IFERROR(_xlfn.IFS(tblPedidos[[#This Row],[estado_operativo]]="ENTREGADO",tblPedidos[[#This Row],[ganancia_calc]],tblPedidos[[#This Row],[estado_operativo]]="DEVOLUCION",tblPedidos[[#This Row],[costo_devolucion_estimado]]),0)</f>
        <v>21554.5</v>
      </c>
      <c r="V957">
        <v>129327</v>
      </c>
      <c r="W957">
        <v>59900</v>
      </c>
      <c r="X957">
        <v>13345.5</v>
      </c>
      <c r="Y957">
        <v>25000</v>
      </c>
      <c r="Z957" s="11">
        <v>46032</v>
      </c>
      <c r="AA957">
        <v>12</v>
      </c>
      <c r="AB957" s="12">
        <v>4.791666666666667E-2</v>
      </c>
      <c r="AC957" t="s">
        <v>720</v>
      </c>
      <c r="AD957" t="s">
        <v>720</v>
      </c>
      <c r="AE957" t="s">
        <v>720</v>
      </c>
    </row>
    <row r="958" spans="1:31">
      <c r="A958" t="s">
        <v>1343</v>
      </c>
      <c r="B958" t="s">
        <v>2946</v>
      </c>
      <c r="C958">
        <v>128</v>
      </c>
      <c r="D958" t="s">
        <v>5453</v>
      </c>
      <c r="E958" s="11">
        <v>46028</v>
      </c>
      <c r="F958" t="s">
        <v>5454</v>
      </c>
      <c r="G958" t="s">
        <v>45</v>
      </c>
      <c r="J958" t="s">
        <v>720</v>
      </c>
      <c r="K958" t="s">
        <v>5455</v>
      </c>
      <c r="L958" t="s">
        <v>46</v>
      </c>
      <c r="M958" t="s">
        <v>94</v>
      </c>
      <c r="N958" t="s">
        <v>5456</v>
      </c>
      <c r="O958" t="s">
        <v>5457</v>
      </c>
      <c r="P958" s="46" t="str" cm="1">
        <f t="array" aca="1" ref="P958" ca="1">IFERROR(_xlfn.XLOOKUP(tblPedidos[[#This Row],[id_dropi]],tblNotas[[#This Row],[id__dropi]],tblNotas[[#This Row],[Notas Manuales]], “”, 0),"")</f>
        <v/>
      </c>
      <c r="R958" t="s">
        <v>3213</v>
      </c>
      <c r="S958">
        <v>22954.5</v>
      </c>
      <c r="T958">
        <v>-11945.5</v>
      </c>
      <c r="U958" cm="1">
        <f t="array" ref="U958">IFERROR(_xlfn.IFS(tblPedidos[[#This Row],[estado_operativo]]="ENTREGADO",tblPedidos[[#This Row],[ganancia_calc]],tblPedidos[[#This Row],[estado_operativo]]="DEVOLUCION",tblPedidos[[#This Row],[costo_devolucion_estimado]]),0)</f>
        <v>22954.5</v>
      </c>
      <c r="V958">
        <v>137727</v>
      </c>
      <c r="W958">
        <v>59900</v>
      </c>
      <c r="X958">
        <v>11945.5</v>
      </c>
      <c r="Y958">
        <v>25000</v>
      </c>
      <c r="Z958" s="11">
        <v>46032</v>
      </c>
      <c r="AA958">
        <v>12</v>
      </c>
      <c r="AB958" s="12">
        <v>4.791666666666667E-2</v>
      </c>
      <c r="AC958" t="s">
        <v>720</v>
      </c>
      <c r="AD958" t="s">
        <v>720</v>
      </c>
      <c r="AE958" t="s">
        <v>720</v>
      </c>
    </row>
    <row r="959" spans="1:31">
      <c r="A959" t="s">
        <v>1343</v>
      </c>
      <c r="B959" t="s">
        <v>2946</v>
      </c>
      <c r="C959">
        <v>129</v>
      </c>
      <c r="D959" t="s">
        <v>5458</v>
      </c>
      <c r="E959" s="11">
        <v>46028</v>
      </c>
      <c r="F959" t="s">
        <v>5459</v>
      </c>
      <c r="G959" t="s">
        <v>45</v>
      </c>
      <c r="J959" t="s">
        <v>1657</v>
      </c>
      <c r="K959" t="s">
        <v>5460</v>
      </c>
      <c r="L959" t="s">
        <v>322</v>
      </c>
      <c r="M959" t="s">
        <v>5461</v>
      </c>
      <c r="N959" t="s">
        <v>5462</v>
      </c>
      <c r="O959" t="s">
        <v>5463</v>
      </c>
      <c r="P959" s="46" t="str" cm="1">
        <f t="array" aca="1" ref="P959" ca="1">IFERROR(_xlfn.XLOOKUP(tblPedidos[[#This Row],[id_dropi]],tblNotas[[#This Row],[id__dropi]],tblNotas[[#This Row],[Notas Manuales]], “”, 0),"")</f>
        <v/>
      </c>
      <c r="Q959" t="s">
        <v>50</v>
      </c>
      <c r="R959" t="s">
        <v>3213</v>
      </c>
      <c r="S959">
        <v>17004.5</v>
      </c>
      <c r="T959">
        <v>-17895.5</v>
      </c>
      <c r="U959" cm="1">
        <f t="array" ref="U959">IFERROR(_xlfn.IFS(tblPedidos[[#This Row],[estado_operativo]]="ENTREGADO",tblPedidos[[#This Row],[ganancia_calc]],tblPedidos[[#This Row],[estado_operativo]]="DEVOLUCION",tblPedidos[[#This Row],[costo_devolucion_estimado]]),0)</f>
        <v>-17895.5</v>
      </c>
      <c r="V959">
        <v>-89477.5</v>
      </c>
      <c r="W959">
        <v>59900</v>
      </c>
      <c r="X959">
        <v>17895.5</v>
      </c>
      <c r="Y959">
        <v>25000</v>
      </c>
      <c r="Z959" s="11">
        <v>46038</v>
      </c>
      <c r="AA959">
        <v>6</v>
      </c>
      <c r="AB959" s="12">
        <v>0.75694444444444442</v>
      </c>
      <c r="AC959" t="s">
        <v>1657</v>
      </c>
      <c r="AD959" t="s">
        <v>1657</v>
      </c>
      <c r="AE959" t="s">
        <v>1657</v>
      </c>
    </row>
    <row r="960" spans="1:31">
      <c r="A960" t="s">
        <v>33</v>
      </c>
      <c r="C960">
        <v>124</v>
      </c>
      <c r="D960" t="s">
        <v>5464</v>
      </c>
      <c r="E960" s="11">
        <v>46028</v>
      </c>
      <c r="F960" t="s">
        <v>5465</v>
      </c>
      <c r="G960" t="s">
        <v>45</v>
      </c>
      <c r="J960" t="s">
        <v>1090</v>
      </c>
      <c r="L960" t="s">
        <v>322</v>
      </c>
      <c r="M960" t="s">
        <v>5062</v>
      </c>
      <c r="N960" t="s">
        <v>5466</v>
      </c>
      <c r="O960" t="s">
        <v>5467</v>
      </c>
      <c r="P960" s="46" t="str" cm="1">
        <f t="array" aca="1" ref="P960" ca="1">IFERROR(_xlfn.XLOOKUP(tblPedidos[[#This Row],[id_dropi]],tblNotas[[#This Row],[id__dropi]],tblNotas[[#This Row],[Notas Manuales]], “”, 0),"")</f>
        <v/>
      </c>
      <c r="Q960" t="s">
        <v>5468</v>
      </c>
      <c r="R960" t="s">
        <v>3014</v>
      </c>
      <c r="S960">
        <v>16801</v>
      </c>
      <c r="T960">
        <v>-18699</v>
      </c>
      <c r="U960" cm="1">
        <f t="array" ref="U960">IFERROR(_xlfn.IFS(tblPedidos[[#This Row],[estado_operativo]]="ENTREGADO",tblPedidos[[#This Row],[ganancia_calc]],tblPedidos[[#This Row],[estado_operativo]]="DEVOLUCION",tblPedidos[[#This Row],[costo_devolucion_estimado]]),0)</f>
        <v>0</v>
      </c>
      <c r="V960">
        <v>0</v>
      </c>
      <c r="W960">
        <v>49900</v>
      </c>
      <c r="X960">
        <v>18699</v>
      </c>
      <c r="Y960">
        <v>14400</v>
      </c>
      <c r="Z960" s="11">
        <v>46028</v>
      </c>
      <c r="AA960">
        <v>16</v>
      </c>
      <c r="AB960" s="12">
        <v>0.82708333333333328</v>
      </c>
      <c r="AC960" t="s">
        <v>1090</v>
      </c>
      <c r="AD960" t="s">
        <v>1090</v>
      </c>
      <c r="AE960" t="s">
        <v>1090</v>
      </c>
    </row>
    <row r="961" spans="1:31">
      <c r="A961" t="s">
        <v>33</v>
      </c>
      <c r="C961">
        <v>125</v>
      </c>
      <c r="D961" t="s">
        <v>5469</v>
      </c>
      <c r="E961" s="11">
        <v>46028</v>
      </c>
      <c r="F961" t="s">
        <v>5470</v>
      </c>
      <c r="G961" t="s">
        <v>45</v>
      </c>
      <c r="J961" t="s">
        <v>1090</v>
      </c>
      <c r="L961" t="s">
        <v>74</v>
      </c>
      <c r="M961" t="s">
        <v>5471</v>
      </c>
      <c r="N961" t="s">
        <v>5472</v>
      </c>
      <c r="O961" t="s">
        <v>5473</v>
      </c>
      <c r="P961" s="46" t="str" cm="1">
        <f t="array" aca="1" ref="P961" ca="1">IFERROR(_xlfn.XLOOKUP(tblPedidos[[#This Row],[id_dropi]],tblNotas[[#This Row],[id__dropi]],tblNotas[[#This Row],[Notas Manuales]], “”, 0),"")</f>
        <v/>
      </c>
      <c r="R961" t="s">
        <v>3014</v>
      </c>
      <c r="S961">
        <v>22829.5</v>
      </c>
      <c r="T961">
        <v>-17670.5</v>
      </c>
      <c r="U961" cm="1">
        <f t="array" ref="U961">IFERROR(_xlfn.IFS(tblPedidos[[#This Row],[estado_operativo]]="ENTREGADO",tblPedidos[[#This Row],[ganancia_calc]],tblPedidos[[#This Row],[estado_operativo]]="DEVOLUCION",tblPedidos[[#This Row],[costo_devolucion_estimado]]),0)</f>
        <v>0</v>
      </c>
      <c r="V961">
        <v>0</v>
      </c>
      <c r="W961">
        <v>54900</v>
      </c>
      <c r="X961">
        <v>17670.5</v>
      </c>
      <c r="Y961">
        <v>14400</v>
      </c>
      <c r="Z961" s="11">
        <v>46029</v>
      </c>
      <c r="AA961">
        <v>15</v>
      </c>
      <c r="AB961" s="12">
        <v>0.54722222222222228</v>
      </c>
      <c r="AC961" t="s">
        <v>2146</v>
      </c>
      <c r="AD961" t="s">
        <v>2146</v>
      </c>
      <c r="AE961" t="s">
        <v>1090</v>
      </c>
    </row>
    <row r="962" spans="1:31">
      <c r="A962" t="s">
        <v>1343</v>
      </c>
      <c r="B962" t="s">
        <v>2946</v>
      </c>
      <c r="C962">
        <v>126</v>
      </c>
      <c r="D962" t="s">
        <v>5474</v>
      </c>
      <c r="E962" s="11">
        <v>46028</v>
      </c>
      <c r="F962" t="s">
        <v>5475</v>
      </c>
      <c r="G962" t="s">
        <v>45</v>
      </c>
      <c r="J962" t="s">
        <v>720</v>
      </c>
      <c r="K962" t="s">
        <v>5476</v>
      </c>
      <c r="L962" t="s">
        <v>46</v>
      </c>
      <c r="M962" t="s">
        <v>1421</v>
      </c>
      <c r="N962" t="s">
        <v>5477</v>
      </c>
      <c r="O962" t="s">
        <v>5478</v>
      </c>
      <c r="P962" s="46" t="str" cm="1">
        <f t="array" aca="1" ref="P962" ca="1">IFERROR(_xlfn.XLOOKUP(tblPedidos[[#This Row],[id_dropi]],tblNotas[[#This Row],[id__dropi]],tblNotas[[#This Row],[Notas Manuales]], “”, 0),"")</f>
        <v/>
      </c>
      <c r="Q962" t="s">
        <v>50</v>
      </c>
      <c r="R962" t="s">
        <v>3014</v>
      </c>
      <c r="S962">
        <v>28779.5</v>
      </c>
      <c r="T962">
        <v>-11720.5</v>
      </c>
      <c r="U962" cm="1">
        <f t="array" ref="U962">IFERROR(_xlfn.IFS(tblPedidos[[#This Row],[estado_operativo]]="ENTREGADO",tblPedidos[[#This Row],[ganancia_calc]],tblPedidos[[#This Row],[estado_operativo]]="DEVOLUCION",tblPedidos[[#This Row],[costo_devolucion_estimado]]),0)</f>
        <v>28779.5</v>
      </c>
      <c r="V962">
        <v>172677</v>
      </c>
      <c r="W962">
        <v>54900</v>
      </c>
      <c r="X962">
        <v>11720.5</v>
      </c>
      <c r="Y962">
        <v>14400</v>
      </c>
      <c r="Z962" s="11">
        <v>46032</v>
      </c>
      <c r="AA962">
        <v>12</v>
      </c>
      <c r="AB962" s="12">
        <v>0.50902777777777775</v>
      </c>
      <c r="AC962" t="s">
        <v>720</v>
      </c>
      <c r="AD962" t="s">
        <v>720</v>
      </c>
      <c r="AE962" t="s">
        <v>720</v>
      </c>
    </row>
    <row r="963" spans="1:31">
      <c r="A963" t="s">
        <v>1343</v>
      </c>
      <c r="B963" t="s">
        <v>2946</v>
      </c>
      <c r="C963">
        <v>130</v>
      </c>
      <c r="D963" t="s">
        <v>5479</v>
      </c>
      <c r="E963" s="11">
        <v>46028</v>
      </c>
      <c r="F963" t="s">
        <v>5480</v>
      </c>
      <c r="G963" t="s">
        <v>36</v>
      </c>
      <c r="J963" t="s">
        <v>720</v>
      </c>
      <c r="K963" t="s">
        <v>5481</v>
      </c>
      <c r="L963" t="s">
        <v>54</v>
      </c>
      <c r="M963" t="s">
        <v>373</v>
      </c>
      <c r="N963" t="s">
        <v>5482</v>
      </c>
      <c r="O963" t="s">
        <v>5483</v>
      </c>
      <c r="P963" s="46" t="str" cm="1">
        <f t="array" aca="1" ref="P963" ca="1">IFERROR(_xlfn.XLOOKUP(tblPedidos[[#This Row],[id_dropi]],tblNotas[[#This Row],[id__dropi]],tblNotas[[#This Row],[Notas Manuales]], “”, 0),"")</f>
        <v/>
      </c>
      <c r="R963" t="s">
        <v>3200</v>
      </c>
      <c r="S963">
        <v>30211.5</v>
      </c>
      <c r="T963">
        <v>-12710.800000000001</v>
      </c>
      <c r="U963" cm="1">
        <f t="array" ref="U963">IFERROR(_xlfn.IFS(tblPedidos[[#This Row],[estado_operativo]]="ENTREGADO",tblPedidos[[#This Row],[ganancia_calc]],tblPedidos[[#This Row],[estado_operativo]]="DEVOLUCION",tblPedidos[[#This Row],[costo_devolucion_estimado]]),0)</f>
        <v>30211.5</v>
      </c>
      <c r="V963">
        <v>181269</v>
      </c>
      <c r="W963">
        <v>74900</v>
      </c>
      <c r="X963">
        <v>15888.5</v>
      </c>
      <c r="Y963">
        <v>28800</v>
      </c>
      <c r="Z963" s="11">
        <v>46030</v>
      </c>
      <c r="AA963">
        <v>14</v>
      </c>
      <c r="AB963" s="12">
        <v>0.49444444444444446</v>
      </c>
      <c r="AC963" t="s">
        <v>399</v>
      </c>
      <c r="AD963" t="s">
        <v>720</v>
      </c>
      <c r="AE963" t="s">
        <v>720</v>
      </c>
    </row>
    <row r="964" spans="1:31">
      <c r="A964" t="s">
        <v>1343</v>
      </c>
      <c r="B964" t="s">
        <v>2946</v>
      </c>
      <c r="C964">
        <v>134</v>
      </c>
      <c r="D964" t="s">
        <v>5484</v>
      </c>
      <c r="E964" s="11">
        <v>46028</v>
      </c>
      <c r="F964" t="s">
        <v>5485</v>
      </c>
      <c r="G964" t="s">
        <v>36</v>
      </c>
      <c r="J964" t="s">
        <v>720</v>
      </c>
      <c r="K964" t="s">
        <v>5486</v>
      </c>
      <c r="L964" t="s">
        <v>81</v>
      </c>
      <c r="M964" t="s">
        <v>3134</v>
      </c>
      <c r="N964" t="s">
        <v>5487</v>
      </c>
      <c r="O964" t="s">
        <v>5488</v>
      </c>
      <c r="P964" s="46" t="str" cm="1">
        <f t="array" aca="1" ref="P964" ca="1">IFERROR(_xlfn.XLOOKUP(tblPedidos[[#This Row],[id_dropi]],tblNotas[[#This Row],[id__dropi]],tblNotas[[#This Row],[Notas Manuales]], “”, 0),"")</f>
        <v/>
      </c>
      <c r="R964" t="s">
        <v>3200</v>
      </c>
      <c r="S964">
        <v>25436.5</v>
      </c>
      <c r="T964">
        <v>-12530.800000000001</v>
      </c>
      <c r="U964" cm="1">
        <f t="array" ref="U964">IFERROR(_xlfn.IFS(tblPedidos[[#This Row],[estado_operativo]]="ENTREGADO",tblPedidos[[#This Row],[ganancia_calc]],tblPedidos[[#This Row],[estado_operativo]]="DEVOLUCION",tblPedidos[[#This Row],[costo_devolucion_estimado]]),0)</f>
        <v>25436.5</v>
      </c>
      <c r="V964">
        <v>152619</v>
      </c>
      <c r="W964">
        <v>69900</v>
      </c>
      <c r="X964">
        <v>15663.5</v>
      </c>
      <c r="Y964">
        <v>28800</v>
      </c>
      <c r="Z964" s="11">
        <v>46030</v>
      </c>
      <c r="AA964">
        <v>14</v>
      </c>
      <c r="AB964" s="12">
        <v>0.52222222222222225</v>
      </c>
      <c r="AC964" t="s">
        <v>399</v>
      </c>
      <c r="AD964" t="s">
        <v>720</v>
      </c>
      <c r="AE964" t="s">
        <v>720</v>
      </c>
    </row>
    <row r="965" spans="1:31">
      <c r="A965" t="s">
        <v>33</v>
      </c>
      <c r="C965">
        <v>135</v>
      </c>
      <c r="D965" t="s">
        <v>5489</v>
      </c>
      <c r="E965" s="11">
        <v>46028</v>
      </c>
      <c r="F965" t="s">
        <v>5490</v>
      </c>
      <c r="G965" t="s">
        <v>45</v>
      </c>
      <c r="J965" t="s">
        <v>1371</v>
      </c>
      <c r="K965" t="s">
        <v>5491</v>
      </c>
      <c r="L965" t="s">
        <v>87</v>
      </c>
      <c r="M965" t="s">
        <v>88</v>
      </c>
      <c r="N965" t="s">
        <v>3006</v>
      </c>
      <c r="O965" t="s">
        <v>5492</v>
      </c>
      <c r="P965" s="46" t="str" cm="1">
        <f t="array" aca="1" ref="P965" ca="1">IFERROR(_xlfn.XLOOKUP(tblPedidos[[#This Row],[id_dropi]],tblNotas[[#This Row],[id__dropi]],tblNotas[[#This Row],[Notas Manuales]], “”, 0),"")</f>
        <v/>
      </c>
      <c r="Q965" t="s">
        <v>50</v>
      </c>
      <c r="R965" t="s">
        <v>3014</v>
      </c>
      <c r="S965">
        <v>22829.5</v>
      </c>
      <c r="T965">
        <v>-17670.5</v>
      </c>
      <c r="U965" cm="1">
        <f t="array" ref="U965">IFERROR(_xlfn.IFS(tblPedidos[[#This Row],[estado_operativo]]="ENTREGADO",tblPedidos[[#This Row],[ganancia_calc]],tblPedidos[[#This Row],[estado_operativo]]="DEVOLUCION",tblPedidos[[#This Row],[costo_devolucion_estimado]]),0)</f>
        <v>0</v>
      </c>
      <c r="V965">
        <v>0</v>
      </c>
      <c r="W965">
        <v>54900</v>
      </c>
      <c r="X965">
        <v>17670.5</v>
      </c>
      <c r="Y965">
        <v>14400</v>
      </c>
      <c r="Z965" s="11">
        <v>46043</v>
      </c>
      <c r="AA965">
        <v>1</v>
      </c>
      <c r="AB965" s="12">
        <v>0.43819444444444444</v>
      </c>
      <c r="AC965" t="s">
        <v>982</v>
      </c>
      <c r="AD965" t="s">
        <v>982</v>
      </c>
      <c r="AE965" t="s">
        <v>1371</v>
      </c>
    </row>
    <row r="966" spans="1:31">
      <c r="A966" t="s">
        <v>1343</v>
      </c>
      <c r="B966" t="s">
        <v>2946</v>
      </c>
      <c r="C966">
        <v>136</v>
      </c>
      <c r="D966" t="s">
        <v>5493</v>
      </c>
      <c r="E966" s="11">
        <v>46028</v>
      </c>
      <c r="F966" t="s">
        <v>5494</v>
      </c>
      <c r="G966" t="s">
        <v>45</v>
      </c>
      <c r="J966" t="s">
        <v>720</v>
      </c>
      <c r="K966" t="s">
        <v>5495</v>
      </c>
      <c r="L966" t="s">
        <v>234</v>
      </c>
      <c r="M966" t="s">
        <v>3505</v>
      </c>
      <c r="N966" t="s">
        <v>5496</v>
      </c>
      <c r="O966" t="s">
        <v>5497</v>
      </c>
      <c r="P966" s="46" t="str" cm="1">
        <f t="array" aca="1" ref="P966" ca="1">IFERROR(_xlfn.XLOOKUP(tblPedidos[[#This Row],[id_dropi]],tblNotas[[#This Row],[id__dropi]],tblNotas[[#This Row],[Notas Manuales]], “”, 0),"")</f>
        <v/>
      </c>
      <c r="Q966" t="s">
        <v>50</v>
      </c>
      <c r="R966" t="s">
        <v>3014</v>
      </c>
      <c r="S966">
        <v>22829.5</v>
      </c>
      <c r="T966">
        <v>-17670.5</v>
      </c>
      <c r="U966" cm="1">
        <f t="array" ref="U966">IFERROR(_xlfn.IFS(tblPedidos[[#This Row],[estado_operativo]]="ENTREGADO",tblPedidos[[#This Row],[ganancia_calc]],tblPedidos[[#This Row],[estado_operativo]]="DEVOLUCION",tblPedidos[[#This Row],[costo_devolucion_estimado]]),0)</f>
        <v>22829.5</v>
      </c>
      <c r="V966">
        <v>136977</v>
      </c>
      <c r="W966">
        <v>54900</v>
      </c>
      <c r="X966">
        <v>17670.5</v>
      </c>
      <c r="Y966">
        <v>14400</v>
      </c>
      <c r="Z966" s="11">
        <v>46032</v>
      </c>
      <c r="AA966">
        <v>12</v>
      </c>
      <c r="AB966" s="12">
        <v>0.61041666666666672</v>
      </c>
      <c r="AC966" t="s">
        <v>720</v>
      </c>
      <c r="AD966" t="s">
        <v>720</v>
      </c>
      <c r="AE966" t="s">
        <v>720</v>
      </c>
    </row>
    <row r="967" spans="1:31">
      <c r="A967" t="s">
        <v>33</v>
      </c>
      <c r="C967">
        <v>131</v>
      </c>
      <c r="D967" t="s">
        <v>5498</v>
      </c>
      <c r="E967" s="11">
        <v>46028</v>
      </c>
      <c r="F967" t="s">
        <v>5499</v>
      </c>
      <c r="G967" t="s">
        <v>36</v>
      </c>
      <c r="J967" t="s">
        <v>522</v>
      </c>
      <c r="K967" t="s">
        <v>5500</v>
      </c>
      <c r="L967" t="s">
        <v>38</v>
      </c>
      <c r="M967" t="s">
        <v>39</v>
      </c>
      <c r="N967" t="s">
        <v>5501</v>
      </c>
      <c r="O967" t="s">
        <v>5502</v>
      </c>
      <c r="P967" s="46" t="str" cm="1">
        <f t="array" aca="1" ref="P967" ca="1">IFERROR(_xlfn.XLOOKUP(tblPedidos[[#This Row],[id_dropi]],tblNotas[[#This Row],[id__dropi]],tblNotas[[#This Row],[Notas Manuales]], “”, 0),"")</f>
        <v/>
      </c>
      <c r="R967" t="s">
        <v>3014</v>
      </c>
      <c r="S967">
        <v>25511.5</v>
      </c>
      <c r="T967">
        <v>-11990.800000000001</v>
      </c>
      <c r="U967" cm="1">
        <f t="array" ref="U967">IFERROR(_xlfn.IFS(tblPedidos[[#This Row],[estado_operativo]]="ENTREGADO",tblPedidos[[#This Row],[ganancia_calc]],tblPedidos[[#This Row],[estado_operativo]]="DEVOLUCION",tblPedidos[[#This Row],[costo_devolucion_estimado]]),0)</f>
        <v>0</v>
      </c>
      <c r="V967">
        <v>0</v>
      </c>
      <c r="W967">
        <v>54900</v>
      </c>
      <c r="X967">
        <v>14988.5</v>
      </c>
      <c r="Y967">
        <v>14400</v>
      </c>
      <c r="Z967" s="11">
        <v>46030</v>
      </c>
      <c r="AA967">
        <v>14</v>
      </c>
      <c r="AB967" s="12">
        <v>0.51388888888888884</v>
      </c>
      <c r="AC967" t="s">
        <v>399</v>
      </c>
      <c r="AD967" t="s">
        <v>527</v>
      </c>
      <c r="AE967" t="s">
        <v>522</v>
      </c>
    </row>
    <row r="968" spans="1:31">
      <c r="A968" t="s">
        <v>1343</v>
      </c>
      <c r="B968" t="s">
        <v>2946</v>
      </c>
      <c r="C968">
        <v>132</v>
      </c>
      <c r="D968" t="s">
        <v>5503</v>
      </c>
      <c r="E968" s="11">
        <v>46028</v>
      </c>
      <c r="F968" t="s">
        <v>5504</v>
      </c>
      <c r="G968" t="s">
        <v>45</v>
      </c>
      <c r="J968" t="s">
        <v>720</v>
      </c>
      <c r="K968" t="s">
        <v>5505</v>
      </c>
      <c r="L968" t="s">
        <v>46</v>
      </c>
      <c r="M968" t="s">
        <v>263</v>
      </c>
      <c r="N968" t="s">
        <v>5506</v>
      </c>
      <c r="O968" t="s">
        <v>5507</v>
      </c>
      <c r="P968" s="46" t="str" cm="1">
        <f t="array" aca="1" ref="P968" ca="1">IFERROR(_xlfn.XLOOKUP(tblPedidos[[#This Row],[id_dropi]],tblNotas[[#This Row],[id__dropi]],tblNotas[[#This Row],[Notas Manuales]], “”, 0),"")</f>
        <v/>
      </c>
      <c r="R968" t="s">
        <v>3200</v>
      </c>
      <c r="S968">
        <v>32079.5</v>
      </c>
      <c r="T968">
        <v>-14020.5</v>
      </c>
      <c r="U968" cm="1">
        <f t="array" ref="U968">IFERROR(_xlfn.IFS(tblPedidos[[#This Row],[estado_operativo]]="ENTREGADO",tblPedidos[[#This Row],[ganancia_calc]],tblPedidos[[#This Row],[estado_operativo]]="DEVOLUCION",tblPedidos[[#This Row],[costo_devolucion_estimado]]),0)</f>
        <v>32079.5</v>
      </c>
      <c r="V968">
        <v>192477</v>
      </c>
      <c r="W968">
        <v>74900</v>
      </c>
      <c r="X968">
        <v>14020.5</v>
      </c>
      <c r="Y968">
        <v>28800</v>
      </c>
      <c r="Z968" s="11">
        <v>46031</v>
      </c>
      <c r="AA968">
        <v>13</v>
      </c>
      <c r="AB968" s="12">
        <v>0.62430555555555556</v>
      </c>
      <c r="AC968" t="s">
        <v>720</v>
      </c>
      <c r="AD968" t="s">
        <v>720</v>
      </c>
      <c r="AE968" t="s">
        <v>720</v>
      </c>
    </row>
    <row r="969" spans="1:31">
      <c r="A969" t="s">
        <v>1343</v>
      </c>
      <c r="B969" t="s">
        <v>2946</v>
      </c>
      <c r="C969">
        <v>133</v>
      </c>
      <c r="D969" t="s">
        <v>5508</v>
      </c>
      <c r="E969" s="11">
        <v>46028</v>
      </c>
      <c r="F969" t="s">
        <v>5509</v>
      </c>
      <c r="G969" t="s">
        <v>36</v>
      </c>
      <c r="J969" t="s">
        <v>720</v>
      </c>
      <c r="K969" t="s">
        <v>5510</v>
      </c>
      <c r="L969" t="s">
        <v>54</v>
      </c>
      <c r="M969" t="s">
        <v>373</v>
      </c>
      <c r="N969" t="s">
        <v>5511</v>
      </c>
      <c r="O969" t="s">
        <v>5512</v>
      </c>
      <c r="P969" s="46" t="str" cm="1">
        <f t="array" aca="1" ref="P969" ca="1">IFERROR(_xlfn.XLOOKUP(tblPedidos[[#This Row],[id_dropi]],tblNotas[[#This Row],[id__dropi]],tblNotas[[#This Row],[Notas Manuales]], “”, 0),"")</f>
        <v/>
      </c>
      <c r="R969" t="s">
        <v>3014</v>
      </c>
      <c r="S969">
        <v>25511.5</v>
      </c>
      <c r="T969">
        <v>-11990.800000000001</v>
      </c>
      <c r="U969" cm="1">
        <f t="array" ref="U969">IFERROR(_xlfn.IFS(tblPedidos[[#This Row],[estado_operativo]]="ENTREGADO",tblPedidos[[#This Row],[ganancia_calc]],tblPedidos[[#This Row],[estado_operativo]]="DEVOLUCION",tblPedidos[[#This Row],[costo_devolucion_estimado]]),0)</f>
        <v>25511.5</v>
      </c>
      <c r="V969">
        <v>153069</v>
      </c>
      <c r="W969">
        <v>54900</v>
      </c>
      <c r="X969">
        <v>14988.5</v>
      </c>
      <c r="Y969">
        <v>14400</v>
      </c>
      <c r="Z969" s="11">
        <v>46030</v>
      </c>
      <c r="AA969">
        <v>14</v>
      </c>
      <c r="AB969" s="12">
        <v>0.55625000000000002</v>
      </c>
      <c r="AC969" t="s">
        <v>399</v>
      </c>
      <c r="AD969" t="s">
        <v>720</v>
      </c>
      <c r="AE969" t="s">
        <v>720</v>
      </c>
    </row>
    <row r="970" spans="1:31">
      <c r="A970" t="s">
        <v>1343</v>
      </c>
      <c r="B970" t="s">
        <v>2946</v>
      </c>
      <c r="C970">
        <v>70</v>
      </c>
      <c r="D970" t="s">
        <v>5513</v>
      </c>
      <c r="E970" s="11">
        <v>46027</v>
      </c>
      <c r="F970" t="s">
        <v>5514</v>
      </c>
      <c r="G970" t="s">
        <v>45</v>
      </c>
      <c r="J970" t="s">
        <v>720</v>
      </c>
      <c r="K970" t="s">
        <v>5515</v>
      </c>
      <c r="L970" t="s">
        <v>74</v>
      </c>
      <c r="M970" t="s">
        <v>871</v>
      </c>
      <c r="N970" t="s">
        <v>5516</v>
      </c>
      <c r="O970" t="s">
        <v>5517</v>
      </c>
      <c r="P970" s="46" t="str" cm="1">
        <f t="array" aca="1" ref="P970" ca="1">IFERROR(_xlfn.XLOOKUP(tblPedidos[[#This Row],[id_dropi]],tblNotas[[#This Row],[id__dropi]],tblNotas[[#This Row],[Notas Manuales]], “”, 0),"")</f>
        <v/>
      </c>
      <c r="R970" t="s">
        <v>5518</v>
      </c>
      <c r="S970">
        <v>18554.5</v>
      </c>
      <c r="T970">
        <v>-18345.5</v>
      </c>
      <c r="U970" cm="1">
        <f t="array" ref="U970">IFERROR(_xlfn.IFS(tblPedidos[[#This Row],[estado_operativo]]="ENTREGADO",tblPedidos[[#This Row],[ganancia_calc]],tblPedidos[[#This Row],[estado_operativo]]="DEVOLUCION",tblPedidos[[#This Row],[costo_devolucion_estimado]]),0)</f>
        <v>18554.5</v>
      </c>
      <c r="V970">
        <v>111327</v>
      </c>
      <c r="W970">
        <v>69900</v>
      </c>
      <c r="X970">
        <v>18345.5</v>
      </c>
      <c r="Y970">
        <v>33000</v>
      </c>
      <c r="Z970" s="11">
        <v>46032</v>
      </c>
      <c r="AA970">
        <v>12</v>
      </c>
      <c r="AB970" s="12">
        <v>0.75486111111111109</v>
      </c>
      <c r="AC970" t="s">
        <v>720</v>
      </c>
      <c r="AD970" t="s">
        <v>720</v>
      </c>
      <c r="AE970" t="s">
        <v>720</v>
      </c>
    </row>
    <row r="971" spans="1:31">
      <c r="A971" t="s">
        <v>1343</v>
      </c>
      <c r="B971" t="s">
        <v>2946</v>
      </c>
      <c r="C971">
        <v>71</v>
      </c>
      <c r="D971" t="s">
        <v>5519</v>
      </c>
      <c r="E971" s="11">
        <v>46027</v>
      </c>
      <c r="F971" t="s">
        <v>5520</v>
      </c>
      <c r="G971" t="s">
        <v>36</v>
      </c>
      <c r="J971" t="s">
        <v>720</v>
      </c>
      <c r="K971" t="s">
        <v>5521</v>
      </c>
      <c r="L971" t="s">
        <v>81</v>
      </c>
      <c r="M971" t="s">
        <v>118</v>
      </c>
      <c r="N971" t="s">
        <v>5522</v>
      </c>
      <c r="O971" t="s">
        <v>5523</v>
      </c>
      <c r="P971" s="46" t="str" cm="1">
        <f t="array" aca="1" ref="P971" ca="1">IFERROR(_xlfn.XLOOKUP(tblPedidos[[#This Row],[id_dropi]],tblNotas[[#This Row],[id__dropi]],tblNotas[[#This Row],[Notas Manuales]], “”, 0),"")</f>
        <v/>
      </c>
      <c r="R971" t="s">
        <v>3137</v>
      </c>
      <c r="S971">
        <v>26896.5</v>
      </c>
      <c r="T971">
        <v>-10442.800000000001</v>
      </c>
      <c r="U971" cm="1">
        <f t="array" ref="U971">IFERROR(_xlfn.IFS(tblPedidos[[#This Row],[estado_operativo]]="ENTREGADO",tblPedidos[[#This Row],[ganancia_calc]],tblPedidos[[#This Row],[estado_operativo]]="DEVOLUCION",tblPedidos[[#This Row],[costo_devolucion_estimado]]),0)</f>
        <v>26896.5</v>
      </c>
      <c r="V971">
        <v>161379</v>
      </c>
      <c r="W971">
        <v>59900</v>
      </c>
      <c r="X971">
        <v>13053.5</v>
      </c>
      <c r="Y971">
        <v>19950</v>
      </c>
      <c r="Z971" s="11">
        <v>46029</v>
      </c>
      <c r="AA971">
        <v>15</v>
      </c>
      <c r="AB971" s="12">
        <v>0.65277777777777779</v>
      </c>
      <c r="AC971" t="s">
        <v>5524</v>
      </c>
      <c r="AD971" t="s">
        <v>720</v>
      </c>
      <c r="AE971" t="s">
        <v>720</v>
      </c>
    </row>
    <row r="972" spans="1:31">
      <c r="A972" t="s">
        <v>1343</v>
      </c>
      <c r="B972" t="s">
        <v>2946</v>
      </c>
      <c r="C972">
        <v>69</v>
      </c>
      <c r="D972" t="s">
        <v>5525</v>
      </c>
      <c r="E972" s="11">
        <v>46027</v>
      </c>
      <c r="F972" t="s">
        <v>5526</v>
      </c>
      <c r="G972" t="s">
        <v>45</v>
      </c>
      <c r="J972" t="s">
        <v>720</v>
      </c>
      <c r="K972" t="s">
        <v>5527</v>
      </c>
      <c r="L972" t="s">
        <v>152</v>
      </c>
      <c r="M972" t="s">
        <v>153</v>
      </c>
      <c r="N972" t="s">
        <v>2163</v>
      </c>
      <c r="O972" t="s">
        <v>5528</v>
      </c>
      <c r="P972" s="46" t="str" cm="1">
        <f t="array" aca="1" ref="P972" ca="1">IFERROR(_xlfn.XLOOKUP(tblPedidos[[#This Row],[id_dropi]],tblNotas[[#This Row],[id__dropi]],tblNotas[[#This Row],[Notas Manuales]], “”, 0),"")</f>
        <v/>
      </c>
      <c r="Q972" t="s">
        <v>50</v>
      </c>
      <c r="R972" t="s">
        <v>3200</v>
      </c>
      <c r="S972">
        <v>27529.5</v>
      </c>
      <c r="T972">
        <v>-18570.5</v>
      </c>
      <c r="U972" cm="1">
        <f t="array" ref="U972">IFERROR(_xlfn.IFS(tblPedidos[[#This Row],[estado_operativo]]="ENTREGADO",tblPedidos[[#This Row],[ganancia_calc]],tblPedidos[[#This Row],[estado_operativo]]="DEVOLUCION",tblPedidos[[#This Row],[costo_devolucion_estimado]]),0)</f>
        <v>27529.5</v>
      </c>
      <c r="V972">
        <v>165177</v>
      </c>
      <c r="W972">
        <v>74900</v>
      </c>
      <c r="X972">
        <v>18570.5</v>
      </c>
      <c r="Y972">
        <v>28800</v>
      </c>
      <c r="Z972" s="11">
        <v>46037</v>
      </c>
      <c r="AA972">
        <v>7</v>
      </c>
      <c r="AB972" s="12">
        <v>0.51597222222222228</v>
      </c>
      <c r="AC972" t="s">
        <v>720</v>
      </c>
      <c r="AD972" t="s">
        <v>720</v>
      </c>
      <c r="AE972" t="s">
        <v>720</v>
      </c>
    </row>
    <row r="973" spans="1:31">
      <c r="A973" t="s">
        <v>33</v>
      </c>
      <c r="C973">
        <v>67</v>
      </c>
      <c r="D973" t="s">
        <v>5529</v>
      </c>
      <c r="E973" s="11">
        <v>46027</v>
      </c>
      <c r="F973" t="s">
        <v>5530</v>
      </c>
      <c r="G973" t="s">
        <v>45</v>
      </c>
      <c r="J973" t="s">
        <v>1371</v>
      </c>
      <c r="K973" t="s">
        <v>5531</v>
      </c>
      <c r="L973" t="s">
        <v>111</v>
      </c>
      <c r="M973" t="s">
        <v>5532</v>
      </c>
      <c r="N973" t="s">
        <v>5533</v>
      </c>
      <c r="O973">
        <v>3043681389</v>
      </c>
      <c r="P973" s="46" t="str" cm="1">
        <f t="array" aca="1" ref="P973" ca="1">IFERROR(_xlfn.XLOOKUP(tblPedidos[[#This Row],[id_dropi]],tblNotas[[#This Row],[id__dropi]],tblNotas[[#This Row],[Notas Manuales]], “”, 0),"")</f>
        <v/>
      </c>
      <c r="Q973" t="s">
        <v>50</v>
      </c>
      <c r="R973" t="s">
        <v>3014</v>
      </c>
      <c r="S973">
        <v>22829.5</v>
      </c>
      <c r="T973">
        <v>-17670.5</v>
      </c>
      <c r="U973" cm="1">
        <f t="array" ref="U973">IFERROR(_xlfn.IFS(tblPedidos[[#This Row],[estado_operativo]]="ENTREGADO",tblPedidos[[#This Row],[ganancia_calc]],tblPedidos[[#This Row],[estado_operativo]]="DEVOLUCION",tblPedidos[[#This Row],[costo_devolucion_estimado]]),0)</f>
        <v>0</v>
      </c>
      <c r="V973">
        <v>0</v>
      </c>
      <c r="W973">
        <v>54900</v>
      </c>
      <c r="X973">
        <v>17670.5</v>
      </c>
      <c r="Y973">
        <v>14400</v>
      </c>
      <c r="Z973" s="11">
        <v>46043</v>
      </c>
      <c r="AA973">
        <v>1</v>
      </c>
      <c r="AB973" s="12">
        <v>0.43611111111111112</v>
      </c>
      <c r="AC973" t="s">
        <v>982</v>
      </c>
      <c r="AD973" t="s">
        <v>982</v>
      </c>
      <c r="AE973" t="s">
        <v>1371</v>
      </c>
    </row>
    <row r="974" spans="1:31">
      <c r="A974" t="s">
        <v>1343</v>
      </c>
      <c r="B974" t="s">
        <v>2946</v>
      </c>
      <c r="C974">
        <v>68</v>
      </c>
      <c r="D974" t="s">
        <v>5534</v>
      </c>
      <c r="E974" s="11">
        <v>46027</v>
      </c>
      <c r="F974" t="s">
        <v>5535</v>
      </c>
      <c r="G974" t="s">
        <v>45</v>
      </c>
      <c r="J974" t="s">
        <v>720</v>
      </c>
      <c r="K974" t="s">
        <v>5536</v>
      </c>
      <c r="L974" t="s">
        <v>87</v>
      </c>
      <c r="M974" t="s">
        <v>743</v>
      </c>
      <c r="N974" t="s">
        <v>5537</v>
      </c>
      <c r="O974" t="s">
        <v>5538</v>
      </c>
      <c r="P974" s="46" t="str" cm="1">
        <f t="array" aca="1" ref="P974" ca="1">IFERROR(_xlfn.XLOOKUP(tblPedidos[[#This Row],[id_dropi]],tblNotas[[#This Row],[id__dropi]],tblNotas[[#This Row],[Notas Manuales]], “”, 0),"")</f>
        <v/>
      </c>
      <c r="R974" t="s">
        <v>3014</v>
      </c>
      <c r="S974">
        <v>22829.5</v>
      </c>
      <c r="T974">
        <v>-17670.5</v>
      </c>
      <c r="U974" cm="1">
        <f t="array" ref="U974">IFERROR(_xlfn.IFS(tblPedidos[[#This Row],[estado_operativo]]="ENTREGADO",tblPedidos[[#This Row],[ganancia_calc]],tblPedidos[[#This Row],[estado_operativo]]="DEVOLUCION",tblPedidos[[#This Row],[costo_devolucion_estimado]]),0)</f>
        <v>22829.5</v>
      </c>
      <c r="V974">
        <v>136977</v>
      </c>
      <c r="W974">
        <v>54900</v>
      </c>
      <c r="X974">
        <v>17670.5</v>
      </c>
      <c r="Y974">
        <v>14400</v>
      </c>
      <c r="Z974" s="11">
        <v>46032</v>
      </c>
      <c r="AA974">
        <v>12</v>
      </c>
      <c r="AB974" s="12">
        <v>0.75555555555555554</v>
      </c>
      <c r="AC974" t="s">
        <v>720</v>
      </c>
      <c r="AD974" t="s">
        <v>720</v>
      </c>
      <c r="AE974" t="s">
        <v>720</v>
      </c>
    </row>
    <row r="975" spans="1:31">
      <c r="A975" t="s">
        <v>1343</v>
      </c>
      <c r="B975" t="s">
        <v>2946</v>
      </c>
      <c r="C975">
        <v>75</v>
      </c>
      <c r="D975" t="s">
        <v>5539</v>
      </c>
      <c r="E975" s="11">
        <v>46027</v>
      </c>
      <c r="F975" t="s">
        <v>5540</v>
      </c>
      <c r="G975" t="s">
        <v>45</v>
      </c>
      <c r="J975" t="s">
        <v>720</v>
      </c>
      <c r="K975" t="s">
        <v>5541</v>
      </c>
      <c r="L975" t="s">
        <v>54</v>
      </c>
      <c r="M975" t="s">
        <v>2564</v>
      </c>
      <c r="N975" t="s">
        <v>5542</v>
      </c>
      <c r="O975" t="s">
        <v>5543</v>
      </c>
      <c r="P975" s="46" t="str" cm="1">
        <f t="array" aca="1" ref="P975" ca="1">IFERROR(_xlfn.XLOOKUP(tblPedidos[[#This Row],[id_dropi]],tblNotas[[#This Row],[id__dropi]],tblNotas[[#This Row],[Notas Manuales]], “”, 0),"")</f>
        <v/>
      </c>
      <c r="Q975" t="s">
        <v>5544</v>
      </c>
      <c r="R975" t="s">
        <v>3200</v>
      </c>
      <c r="S975">
        <v>27529.5</v>
      </c>
      <c r="T975">
        <v>-18570.5</v>
      </c>
      <c r="U975" cm="1">
        <f t="array" ref="U975">IFERROR(_xlfn.IFS(tblPedidos[[#This Row],[estado_operativo]]="ENTREGADO",tblPedidos[[#This Row],[ganancia_calc]],tblPedidos[[#This Row],[estado_operativo]]="DEVOLUCION",tblPedidos[[#This Row],[costo_devolucion_estimado]]),0)</f>
        <v>27529.5</v>
      </c>
      <c r="V975">
        <v>165177</v>
      </c>
      <c r="W975">
        <v>74900</v>
      </c>
      <c r="X975">
        <v>18570.5</v>
      </c>
      <c r="Y975">
        <v>28800</v>
      </c>
      <c r="Z975" s="11">
        <v>46035</v>
      </c>
      <c r="AA975">
        <v>9</v>
      </c>
      <c r="AB975" s="12">
        <v>0.76111111111111107</v>
      </c>
      <c r="AC975" t="s">
        <v>720</v>
      </c>
      <c r="AD975" t="s">
        <v>720</v>
      </c>
      <c r="AE975" t="s">
        <v>720</v>
      </c>
    </row>
    <row r="976" spans="1:31">
      <c r="A976" t="s">
        <v>1343</v>
      </c>
      <c r="B976" t="s">
        <v>2946</v>
      </c>
      <c r="C976">
        <v>76</v>
      </c>
      <c r="D976" t="s">
        <v>5545</v>
      </c>
      <c r="E976" s="11">
        <v>46027</v>
      </c>
      <c r="F976" t="s">
        <v>5546</v>
      </c>
      <c r="G976" t="s">
        <v>45</v>
      </c>
      <c r="J976" t="s">
        <v>720</v>
      </c>
      <c r="K976" t="s">
        <v>5547</v>
      </c>
      <c r="L976" t="s">
        <v>427</v>
      </c>
      <c r="M976" t="s">
        <v>628</v>
      </c>
      <c r="N976" t="s">
        <v>5548</v>
      </c>
      <c r="O976" t="s">
        <v>5549</v>
      </c>
      <c r="P976" s="46" t="str" cm="1">
        <f t="array" aca="1" ref="P976" ca="1">IFERROR(_xlfn.XLOOKUP(tblPedidos[[#This Row],[id_dropi]],tblNotas[[#This Row],[id__dropi]],tblNotas[[#This Row],[Notas Manuales]], “”, 0),"")</f>
        <v/>
      </c>
      <c r="R976" t="s">
        <v>3213</v>
      </c>
      <c r="S976">
        <v>21554.5</v>
      </c>
      <c r="T976">
        <v>-13345.5</v>
      </c>
      <c r="U976" cm="1">
        <f t="array" ref="U976">IFERROR(_xlfn.IFS(tblPedidos[[#This Row],[estado_operativo]]="ENTREGADO",tblPedidos[[#This Row],[ganancia_calc]],tblPedidos[[#This Row],[estado_operativo]]="DEVOLUCION",tblPedidos[[#This Row],[costo_devolucion_estimado]]),0)</f>
        <v>21554.5</v>
      </c>
      <c r="V976">
        <v>129327</v>
      </c>
      <c r="W976">
        <v>59900</v>
      </c>
      <c r="X976">
        <v>13345.5</v>
      </c>
      <c r="Y976">
        <v>25000</v>
      </c>
      <c r="Z976" s="11">
        <v>46031</v>
      </c>
      <c r="AA976">
        <v>13</v>
      </c>
      <c r="AB976" s="12">
        <v>0.62013888888888891</v>
      </c>
      <c r="AC976" t="s">
        <v>720</v>
      </c>
      <c r="AD976" t="s">
        <v>720</v>
      </c>
      <c r="AE976" t="s">
        <v>720</v>
      </c>
    </row>
    <row r="977" spans="1:31">
      <c r="A977" t="s">
        <v>33</v>
      </c>
      <c r="C977">
        <v>74</v>
      </c>
      <c r="D977" t="s">
        <v>5550</v>
      </c>
      <c r="E977" s="11">
        <v>46027</v>
      </c>
      <c r="F977" t="s">
        <v>5551</v>
      </c>
      <c r="G977" t="s">
        <v>45</v>
      </c>
      <c r="J977" t="s">
        <v>1371</v>
      </c>
      <c r="K977" t="s">
        <v>5552</v>
      </c>
      <c r="L977" t="s">
        <v>111</v>
      </c>
      <c r="M977" t="s">
        <v>112</v>
      </c>
      <c r="N977" t="s">
        <v>113</v>
      </c>
      <c r="O977" t="s">
        <v>5553</v>
      </c>
      <c r="P977" s="46" t="str" cm="1">
        <f t="array" aca="1" ref="P977" ca="1">IFERROR(_xlfn.XLOOKUP(tblPedidos[[#This Row],[id_dropi]],tblNotas[[#This Row],[id__dropi]],tblNotas[[#This Row],[Notas Manuales]], “”, 0),"")</f>
        <v/>
      </c>
      <c r="Q977" t="s">
        <v>50</v>
      </c>
      <c r="R977" t="s">
        <v>3213</v>
      </c>
      <c r="S977">
        <v>17004.5</v>
      </c>
      <c r="T977">
        <v>-17895.5</v>
      </c>
      <c r="U977" cm="1">
        <f t="array" ref="U977">IFERROR(_xlfn.IFS(tblPedidos[[#This Row],[estado_operativo]]="ENTREGADO",tblPedidos[[#This Row],[ganancia_calc]],tblPedidos[[#This Row],[estado_operativo]]="DEVOLUCION",tblPedidos[[#This Row],[costo_devolucion_estimado]]),0)</f>
        <v>0</v>
      </c>
      <c r="V977">
        <v>0</v>
      </c>
      <c r="W977">
        <v>59900</v>
      </c>
      <c r="X977">
        <v>17895.5</v>
      </c>
      <c r="Y977">
        <v>25000</v>
      </c>
      <c r="Z977" s="11">
        <v>46043</v>
      </c>
      <c r="AA977">
        <v>1</v>
      </c>
      <c r="AB977" s="12">
        <v>0.4375</v>
      </c>
      <c r="AC977" t="s">
        <v>982</v>
      </c>
      <c r="AD977" t="s">
        <v>982</v>
      </c>
      <c r="AE977" t="s">
        <v>1371</v>
      </c>
    </row>
    <row r="978" spans="1:31">
      <c r="A978" t="s">
        <v>1343</v>
      </c>
      <c r="B978" t="s">
        <v>2946</v>
      </c>
      <c r="C978">
        <v>72</v>
      </c>
      <c r="D978" t="s">
        <v>5554</v>
      </c>
      <c r="E978" s="11">
        <v>46027</v>
      </c>
      <c r="F978" t="s">
        <v>5555</v>
      </c>
      <c r="G978" t="s">
        <v>45</v>
      </c>
      <c r="J978" t="s">
        <v>720</v>
      </c>
      <c r="K978" t="s">
        <v>5556</v>
      </c>
      <c r="L978" t="s">
        <v>1003</v>
      </c>
      <c r="M978" t="s">
        <v>1823</v>
      </c>
      <c r="N978" t="s">
        <v>5557</v>
      </c>
      <c r="O978" t="s">
        <v>5558</v>
      </c>
      <c r="P978" s="46" t="str" cm="1">
        <f t="array" aca="1" ref="P978" ca="1">IFERROR(_xlfn.XLOOKUP(tblPedidos[[#This Row],[id_dropi]],tblNotas[[#This Row],[id__dropi]],tblNotas[[#This Row],[Notas Manuales]], “”, 0),"")</f>
        <v/>
      </c>
      <c r="Q978" t="s">
        <v>5559</v>
      </c>
      <c r="R978" t="s">
        <v>3213</v>
      </c>
      <c r="S978">
        <v>17004.5</v>
      </c>
      <c r="T978">
        <v>-17895.5</v>
      </c>
      <c r="U978" cm="1">
        <f t="array" ref="U978">IFERROR(_xlfn.IFS(tblPedidos[[#This Row],[estado_operativo]]="ENTREGADO",tblPedidos[[#This Row],[ganancia_calc]],tblPedidos[[#This Row],[estado_operativo]]="DEVOLUCION",tblPedidos[[#This Row],[costo_devolucion_estimado]]),0)</f>
        <v>17004.5</v>
      </c>
      <c r="V978">
        <v>102027</v>
      </c>
      <c r="W978">
        <v>59900</v>
      </c>
      <c r="X978">
        <v>17895.5</v>
      </c>
      <c r="Y978">
        <v>25000</v>
      </c>
      <c r="Z978" s="11">
        <v>46031</v>
      </c>
      <c r="AA978">
        <v>13</v>
      </c>
      <c r="AB978" s="12">
        <v>0.62083333333333335</v>
      </c>
      <c r="AC978" t="s">
        <v>720</v>
      </c>
      <c r="AD978" t="s">
        <v>720</v>
      </c>
      <c r="AE978" t="s">
        <v>720</v>
      </c>
    </row>
    <row r="979" spans="1:31">
      <c r="A979" t="s">
        <v>1343</v>
      </c>
      <c r="B979" t="s">
        <v>2946</v>
      </c>
      <c r="C979">
        <v>73</v>
      </c>
      <c r="D979" t="s">
        <v>5560</v>
      </c>
      <c r="E979" s="11">
        <v>46027</v>
      </c>
      <c r="F979" t="s">
        <v>5561</v>
      </c>
      <c r="G979" t="s">
        <v>36</v>
      </c>
      <c r="J979" t="s">
        <v>720</v>
      </c>
      <c r="K979" t="s">
        <v>5562</v>
      </c>
      <c r="L979" t="s">
        <v>46</v>
      </c>
      <c r="M979" t="s">
        <v>100</v>
      </c>
      <c r="N979" t="s">
        <v>5563</v>
      </c>
      <c r="O979" t="s">
        <v>5564</v>
      </c>
      <c r="P979" s="46" t="str" cm="1">
        <f t="array" aca="1" ref="P979" ca="1">IFERROR(_xlfn.XLOOKUP(tblPedidos[[#This Row],[id_dropi]],tblNotas[[#This Row],[id__dropi]],tblNotas[[#This Row],[Notas Manuales]], “”, 0),"")</f>
        <v/>
      </c>
      <c r="R979" t="s">
        <v>4707</v>
      </c>
      <c r="S979">
        <v>28017.5</v>
      </c>
      <c r="T979">
        <v>-10306</v>
      </c>
      <c r="U979" cm="1">
        <f t="array" ref="U979">IFERROR(_xlfn.IFS(tblPedidos[[#This Row],[estado_operativo]]="ENTREGADO",tblPedidos[[#This Row],[ganancia_calc]],tblPedidos[[#This Row],[estado_operativo]]="DEVOLUCION",tblPedidos[[#This Row],[costo_devolucion_estimado]]),0)</f>
        <v>28017.5</v>
      </c>
      <c r="V979">
        <v>140087.5</v>
      </c>
      <c r="W979">
        <v>84900</v>
      </c>
      <c r="X979">
        <v>12882.5</v>
      </c>
      <c r="Y979">
        <v>44000</v>
      </c>
      <c r="Z979" s="11">
        <v>46029</v>
      </c>
      <c r="AA979">
        <v>15</v>
      </c>
      <c r="AB979" s="12">
        <v>0.74305555555555558</v>
      </c>
      <c r="AC979" t="s">
        <v>399</v>
      </c>
      <c r="AD979" t="s">
        <v>720</v>
      </c>
      <c r="AE979" t="s">
        <v>720</v>
      </c>
    </row>
    <row r="980" spans="1:31">
      <c r="A980" t="s">
        <v>1343</v>
      </c>
      <c r="B980" t="s">
        <v>2946</v>
      </c>
      <c r="C980">
        <v>60</v>
      </c>
      <c r="D980" t="s">
        <v>5565</v>
      </c>
      <c r="E980" s="11">
        <v>46027</v>
      </c>
      <c r="F980" t="s">
        <v>5566</v>
      </c>
      <c r="G980" t="s">
        <v>45</v>
      </c>
      <c r="J980" t="s">
        <v>720</v>
      </c>
      <c r="K980" t="s">
        <v>5567</v>
      </c>
      <c r="L980" t="s">
        <v>38</v>
      </c>
      <c r="M980" t="s">
        <v>39</v>
      </c>
      <c r="N980" t="s">
        <v>5568</v>
      </c>
      <c r="O980" t="s">
        <v>5569</v>
      </c>
      <c r="P980" s="46" t="str" cm="1">
        <f t="array" aca="1" ref="P980" ca="1">IFERROR(_xlfn.XLOOKUP(tblPedidos[[#This Row],[id_dropi]],tblNotas[[#This Row],[id__dropi]],tblNotas[[#This Row],[Notas Manuales]], “”, 0),"")</f>
        <v/>
      </c>
      <c r="R980" t="s">
        <v>2983</v>
      </c>
      <c r="S980">
        <v>28104.5</v>
      </c>
      <c r="T980">
        <v>-18345.5</v>
      </c>
      <c r="U980" cm="1">
        <f t="array" ref="U980">IFERROR(_xlfn.IFS(tblPedidos[[#This Row],[estado_operativo]]="ENTREGADO",tblPedidos[[#This Row],[ganancia_calc]],tblPedidos[[#This Row],[estado_operativo]]="DEVOLUCION",tblPedidos[[#This Row],[costo_devolucion_estimado]]),0)</f>
        <v>28104.5</v>
      </c>
      <c r="V980">
        <v>168627</v>
      </c>
      <c r="W980">
        <v>69900</v>
      </c>
      <c r="X980">
        <v>18345.5</v>
      </c>
      <c r="Y980">
        <v>23450</v>
      </c>
      <c r="Z980" s="11">
        <v>46032</v>
      </c>
      <c r="AA980">
        <v>12</v>
      </c>
      <c r="AB980" s="12">
        <v>0.67708333333333337</v>
      </c>
      <c r="AC980" t="s">
        <v>720</v>
      </c>
      <c r="AD980" t="s">
        <v>720</v>
      </c>
      <c r="AE980" t="s">
        <v>720</v>
      </c>
    </row>
    <row r="981" spans="1:31" ht="45.75">
      <c r="A981" t="s">
        <v>33</v>
      </c>
      <c r="C981">
        <v>61</v>
      </c>
      <c r="D981" t="s">
        <v>5570</v>
      </c>
      <c r="E981" s="11">
        <v>46027</v>
      </c>
      <c r="F981" t="s">
        <v>5571</v>
      </c>
      <c r="G981" t="s">
        <v>45</v>
      </c>
      <c r="J981" t="s">
        <v>1371</v>
      </c>
      <c r="K981" t="s">
        <v>5572</v>
      </c>
      <c r="L981" t="s">
        <v>111</v>
      </c>
      <c r="M981" t="s">
        <v>193</v>
      </c>
      <c r="N981" t="s">
        <v>4108</v>
      </c>
      <c r="O981">
        <v>3128387983</v>
      </c>
      <c r="P981" s="46" t="s">
        <v>5573</v>
      </c>
      <c r="Q981" t="s">
        <v>50</v>
      </c>
      <c r="R981" t="s">
        <v>5574</v>
      </c>
      <c r="S981">
        <v>29654.5</v>
      </c>
      <c r="T981">
        <v>-14245.5</v>
      </c>
      <c r="U981" cm="1">
        <f t="array" ref="U981">IFERROR(_xlfn.IFS(tblPedidos[[#This Row],[estado_operativo]]="ENTREGADO",tblPedidos[[#This Row],[ganancia_calc]],tblPedidos[[#This Row],[estado_operativo]]="DEVOLUCION",tblPedidos[[#This Row],[costo_devolucion_estimado]]),0)</f>
        <v>0</v>
      </c>
      <c r="V981">
        <v>0</v>
      </c>
      <c r="W981">
        <v>79900</v>
      </c>
      <c r="X981">
        <v>14245.5</v>
      </c>
      <c r="Y981">
        <v>36000</v>
      </c>
      <c r="Z981" s="11">
        <v>46043</v>
      </c>
      <c r="AA981">
        <v>1</v>
      </c>
      <c r="AB981" s="12">
        <v>0.43888888888888888</v>
      </c>
      <c r="AC981" t="s">
        <v>982</v>
      </c>
      <c r="AD981" t="s">
        <v>982</v>
      </c>
      <c r="AE981" t="s">
        <v>1371</v>
      </c>
    </row>
    <row r="982" spans="1:31">
      <c r="A982" t="s">
        <v>1343</v>
      </c>
      <c r="B982" t="s">
        <v>2946</v>
      </c>
      <c r="C982">
        <v>59</v>
      </c>
      <c r="D982" t="s">
        <v>5575</v>
      </c>
      <c r="E982" s="11">
        <v>46027</v>
      </c>
      <c r="F982" t="s">
        <v>5576</v>
      </c>
      <c r="G982" t="s">
        <v>36</v>
      </c>
      <c r="J982" t="s">
        <v>720</v>
      </c>
      <c r="K982" t="s">
        <v>5577</v>
      </c>
      <c r="L982" t="s">
        <v>54</v>
      </c>
      <c r="M982" t="s">
        <v>5578</v>
      </c>
      <c r="N982" t="s">
        <v>5579</v>
      </c>
      <c r="O982" t="s">
        <v>5580</v>
      </c>
      <c r="P982" s="46" t="str" cm="1">
        <f t="array" aca="1" ref="P982" ca="1">IFERROR(_xlfn.XLOOKUP(tblPedidos[[#This Row],[id_dropi]],tblNotas[[#This Row],[id__dropi]],tblNotas[[#This Row],[Notas Manuales]], “”, 0),"")</f>
        <v/>
      </c>
      <c r="R982" t="s">
        <v>3008</v>
      </c>
      <c r="S982">
        <v>29461.5</v>
      </c>
      <c r="T982">
        <v>-12350.800000000001</v>
      </c>
      <c r="U982" cm="1">
        <f t="array" ref="U982">IFERROR(_xlfn.IFS(tblPedidos[[#This Row],[estado_operativo]]="ENTREGADO",tblPedidos[[#This Row],[ganancia_calc]],tblPedidos[[#This Row],[estado_operativo]]="DEVOLUCION",tblPedidos[[#This Row],[costo_devolucion_estimado]]),0)</f>
        <v>29461.5</v>
      </c>
      <c r="V982">
        <v>176769</v>
      </c>
      <c r="W982">
        <v>64900</v>
      </c>
      <c r="X982">
        <v>15438.5</v>
      </c>
      <c r="Y982">
        <v>20000</v>
      </c>
      <c r="Z982" s="11">
        <v>46029</v>
      </c>
      <c r="AA982">
        <v>15</v>
      </c>
      <c r="AB982" s="12">
        <v>0.77638888888888891</v>
      </c>
      <c r="AC982" t="s">
        <v>399</v>
      </c>
      <c r="AD982" t="s">
        <v>720</v>
      </c>
      <c r="AE982" t="s">
        <v>720</v>
      </c>
    </row>
    <row r="983" spans="1:31">
      <c r="A983" t="s">
        <v>1343</v>
      </c>
      <c r="B983" t="s">
        <v>2946</v>
      </c>
      <c r="C983">
        <v>57</v>
      </c>
      <c r="D983" t="s">
        <v>5581</v>
      </c>
      <c r="E983" s="11">
        <v>46027</v>
      </c>
      <c r="F983" t="s">
        <v>5582</v>
      </c>
      <c r="G983" t="s">
        <v>36</v>
      </c>
      <c r="J983" t="s">
        <v>720</v>
      </c>
      <c r="K983" t="s">
        <v>5583</v>
      </c>
      <c r="L983" t="s">
        <v>54</v>
      </c>
      <c r="M983" t="s">
        <v>373</v>
      </c>
      <c r="N983" t="s">
        <v>5584</v>
      </c>
      <c r="O983" t="s">
        <v>5585</v>
      </c>
      <c r="P983" s="46" t="str" cm="1">
        <f t="array" aca="1" ref="P983" ca="1">IFERROR(_xlfn.XLOOKUP(tblPedidos[[#This Row],[id_dropi]],tblNotas[[#This Row],[id__dropi]],tblNotas[[#This Row],[Notas Manuales]], “”, 0),"")</f>
        <v/>
      </c>
      <c r="R983" t="s">
        <v>2983</v>
      </c>
      <c r="S983">
        <v>32946.5</v>
      </c>
      <c r="T983">
        <v>-10802.800000000001</v>
      </c>
      <c r="U983" cm="1">
        <f t="array" ref="U983">IFERROR(_xlfn.IFS(tblPedidos[[#This Row],[estado_operativo]]="ENTREGADO",tblPedidos[[#This Row],[ganancia_calc]],tblPedidos[[#This Row],[estado_operativo]]="DEVOLUCION",tblPedidos[[#This Row],[costo_devolucion_estimado]]),0)</f>
        <v>32946.5</v>
      </c>
      <c r="V983">
        <v>197679</v>
      </c>
      <c r="W983">
        <v>69900</v>
      </c>
      <c r="X983">
        <v>13503.5</v>
      </c>
      <c r="Y983">
        <v>23450</v>
      </c>
      <c r="Z983" s="11">
        <v>46029</v>
      </c>
      <c r="AA983">
        <v>15</v>
      </c>
      <c r="AB983" s="12">
        <v>0.65277777777777779</v>
      </c>
      <c r="AC983" t="s">
        <v>5524</v>
      </c>
      <c r="AD983" t="s">
        <v>720</v>
      </c>
      <c r="AE983" t="s">
        <v>720</v>
      </c>
    </row>
    <row r="984" spans="1:31">
      <c r="A984" t="s">
        <v>1343</v>
      </c>
      <c r="B984" t="s">
        <v>2946</v>
      </c>
      <c r="C984">
        <v>58</v>
      </c>
      <c r="D984" t="s">
        <v>5586</v>
      </c>
      <c r="E984" s="11">
        <v>46027</v>
      </c>
      <c r="F984" t="s">
        <v>5587</v>
      </c>
      <c r="G984" t="s">
        <v>45</v>
      </c>
      <c r="J984" t="s">
        <v>720</v>
      </c>
      <c r="K984" t="s">
        <v>5588</v>
      </c>
      <c r="L984" t="s">
        <v>87</v>
      </c>
      <c r="M984" t="s">
        <v>743</v>
      </c>
      <c r="N984" t="s">
        <v>5589</v>
      </c>
      <c r="O984" t="s">
        <v>5590</v>
      </c>
      <c r="P984" s="46" t="str" cm="1">
        <f t="array" aca="1" ref="P984" ca="1">IFERROR(_xlfn.XLOOKUP(tblPedidos[[#This Row],[id_dropi]],tblNotas[[#This Row],[id__dropi]],tblNotas[[#This Row],[Notas Manuales]], “”, 0),"")</f>
        <v/>
      </c>
      <c r="R984" t="s">
        <v>3137</v>
      </c>
      <c r="S984">
        <v>22054.5</v>
      </c>
      <c r="T984">
        <v>-17895.5</v>
      </c>
      <c r="U984" cm="1">
        <f t="array" ref="U984">IFERROR(_xlfn.IFS(tblPedidos[[#This Row],[estado_operativo]]="ENTREGADO",tblPedidos[[#This Row],[ganancia_calc]],tblPedidos[[#This Row],[estado_operativo]]="DEVOLUCION",tblPedidos[[#This Row],[costo_devolucion_estimado]]),0)</f>
        <v>22054.5</v>
      </c>
      <c r="V984">
        <v>132327</v>
      </c>
      <c r="W984">
        <v>59900</v>
      </c>
      <c r="X984">
        <v>17895.5</v>
      </c>
      <c r="Y984">
        <v>19950</v>
      </c>
      <c r="Z984" s="11">
        <v>46031</v>
      </c>
      <c r="AA984">
        <v>13</v>
      </c>
      <c r="AB984" s="12">
        <v>0.63124999999999998</v>
      </c>
      <c r="AC984" t="s">
        <v>720</v>
      </c>
      <c r="AD984" t="s">
        <v>720</v>
      </c>
      <c r="AE984" t="s">
        <v>720</v>
      </c>
    </row>
    <row r="985" spans="1:31">
      <c r="A985" t="s">
        <v>1343</v>
      </c>
      <c r="B985" t="s">
        <v>2946</v>
      </c>
      <c r="C985">
        <v>65</v>
      </c>
      <c r="D985" t="s">
        <v>5591</v>
      </c>
      <c r="E985" s="11">
        <v>46027</v>
      </c>
      <c r="F985" t="s">
        <v>5592</v>
      </c>
      <c r="G985" t="s">
        <v>45</v>
      </c>
      <c r="J985" t="s">
        <v>720</v>
      </c>
      <c r="K985" t="s">
        <v>5593</v>
      </c>
      <c r="L985" t="s">
        <v>46</v>
      </c>
      <c r="M985" t="s">
        <v>973</v>
      </c>
      <c r="N985" t="s">
        <v>974</v>
      </c>
      <c r="O985" t="s">
        <v>5594</v>
      </c>
      <c r="P985" s="46" t="str" cm="1">
        <f t="array" aca="1" ref="P985" ca="1">IFERROR(_xlfn.XLOOKUP(tblPedidos[[#This Row],[id_dropi]],tblNotas[[#This Row],[id__dropi]],tblNotas[[#This Row],[Notas Manuales]], “”, 0),"")</f>
        <v/>
      </c>
      <c r="Q985" t="s">
        <v>50</v>
      </c>
      <c r="R985" t="s">
        <v>3137</v>
      </c>
      <c r="S985">
        <v>22054.5</v>
      </c>
      <c r="T985">
        <v>-17895.5</v>
      </c>
      <c r="U985" cm="1">
        <f t="array" ref="U985">IFERROR(_xlfn.IFS(tblPedidos[[#This Row],[estado_operativo]]="ENTREGADO",tblPedidos[[#This Row],[ganancia_calc]],tblPedidos[[#This Row],[estado_operativo]]="DEVOLUCION",tblPedidos[[#This Row],[costo_devolucion_estimado]]),0)</f>
        <v>22054.5</v>
      </c>
      <c r="V985">
        <v>132327</v>
      </c>
      <c r="W985">
        <v>59900</v>
      </c>
      <c r="X985">
        <v>17895.5</v>
      </c>
      <c r="Y985">
        <v>19950</v>
      </c>
      <c r="Z985" s="11">
        <v>46031</v>
      </c>
      <c r="AA985">
        <v>13</v>
      </c>
      <c r="AB985" s="12">
        <v>0.75624999999999998</v>
      </c>
      <c r="AC985" t="s">
        <v>720</v>
      </c>
      <c r="AD985" t="s">
        <v>720</v>
      </c>
      <c r="AE985" t="s">
        <v>720</v>
      </c>
    </row>
    <row r="986" spans="1:31">
      <c r="A986" t="s">
        <v>1343</v>
      </c>
      <c r="B986" t="s">
        <v>2946</v>
      </c>
      <c r="C986">
        <v>66</v>
      </c>
      <c r="D986" t="s">
        <v>5595</v>
      </c>
      <c r="E986" s="11">
        <v>46027</v>
      </c>
      <c r="F986" t="s">
        <v>1068</v>
      </c>
      <c r="G986" t="s">
        <v>45</v>
      </c>
      <c r="J986" t="s">
        <v>720</v>
      </c>
      <c r="K986" t="s">
        <v>5596</v>
      </c>
      <c r="L986" t="s">
        <v>545</v>
      </c>
      <c r="M986" t="s">
        <v>546</v>
      </c>
      <c r="N986" t="s">
        <v>5597</v>
      </c>
      <c r="O986" t="s">
        <v>1071</v>
      </c>
      <c r="P986" s="46" t="str" cm="1">
        <f t="array" aca="1" ref="P986" ca="1">IFERROR(_xlfn.XLOOKUP(tblPedidos[[#This Row],[id_dropi]],tblNotas[[#This Row],[id__dropi]],tblNotas[[#This Row],[Notas Manuales]], “”, 0),"")</f>
        <v/>
      </c>
      <c r="R986" t="s">
        <v>3137</v>
      </c>
      <c r="S986">
        <v>22054.5</v>
      </c>
      <c r="T986">
        <v>-17895.5</v>
      </c>
      <c r="U986" cm="1">
        <f t="array" ref="U986">IFERROR(_xlfn.IFS(tblPedidos[[#This Row],[estado_operativo]]="ENTREGADO",tblPedidos[[#This Row],[ganancia_calc]],tblPedidos[[#This Row],[estado_operativo]]="DEVOLUCION",tblPedidos[[#This Row],[costo_devolucion_estimado]]),0)</f>
        <v>22054.5</v>
      </c>
      <c r="V986">
        <v>132327</v>
      </c>
      <c r="W986">
        <v>59900</v>
      </c>
      <c r="X986">
        <v>17895.5</v>
      </c>
      <c r="Y986">
        <v>19950</v>
      </c>
      <c r="Z986" s="11">
        <v>46031</v>
      </c>
      <c r="AA986">
        <v>13</v>
      </c>
      <c r="AB986" s="12">
        <v>0.62152777777777779</v>
      </c>
      <c r="AC986" t="s">
        <v>720</v>
      </c>
      <c r="AD986" t="s">
        <v>720</v>
      </c>
      <c r="AE986" t="s">
        <v>720</v>
      </c>
    </row>
    <row r="987" spans="1:31">
      <c r="A987" t="s">
        <v>1343</v>
      </c>
      <c r="B987" t="s">
        <v>2946</v>
      </c>
      <c r="C987">
        <v>64</v>
      </c>
      <c r="D987" t="s">
        <v>5598</v>
      </c>
      <c r="E987" s="11">
        <v>46027</v>
      </c>
      <c r="F987" t="s">
        <v>5599</v>
      </c>
      <c r="G987" t="s">
        <v>45</v>
      </c>
      <c r="J987" t="s">
        <v>1657</v>
      </c>
      <c r="K987" t="s">
        <v>5600</v>
      </c>
      <c r="L987" t="s">
        <v>590</v>
      </c>
      <c r="M987" t="s">
        <v>5601</v>
      </c>
      <c r="N987" t="s">
        <v>5602</v>
      </c>
      <c r="O987" t="s">
        <v>5603</v>
      </c>
      <c r="P987" s="46" t="str" cm="1">
        <f t="array" aca="1" ref="P987" ca="1">IFERROR(_xlfn.XLOOKUP(tblPedidos[[#This Row],[id_dropi]],tblNotas[[#This Row],[id__dropi]],tblNotas[[#This Row],[Notas Manuales]], “”, 0),"")</f>
        <v/>
      </c>
      <c r="R987" t="s">
        <v>2983</v>
      </c>
      <c r="S987">
        <v>28104.5</v>
      </c>
      <c r="T987">
        <v>-18345.5</v>
      </c>
      <c r="U987" cm="1">
        <f t="array" ref="U987">IFERROR(_xlfn.IFS(tblPedidos[[#This Row],[estado_operativo]]="ENTREGADO",tblPedidos[[#This Row],[ganancia_calc]],tblPedidos[[#This Row],[estado_operativo]]="DEVOLUCION",tblPedidos[[#This Row],[costo_devolucion_estimado]]),0)</f>
        <v>-18345.5</v>
      </c>
      <c r="V987">
        <v>-110073</v>
      </c>
      <c r="W987">
        <v>69900</v>
      </c>
      <c r="X987">
        <v>18345.5</v>
      </c>
      <c r="Y987">
        <v>23450</v>
      </c>
      <c r="Z987" s="11">
        <v>46036</v>
      </c>
      <c r="AA987">
        <v>8</v>
      </c>
      <c r="AB987" s="12">
        <v>0.6118055555555556</v>
      </c>
      <c r="AC987" t="s">
        <v>1657</v>
      </c>
      <c r="AD987" t="s">
        <v>1657</v>
      </c>
      <c r="AE987" t="s">
        <v>1657</v>
      </c>
    </row>
    <row r="988" spans="1:31">
      <c r="A988" t="s">
        <v>1343</v>
      </c>
      <c r="B988" t="s">
        <v>2946</v>
      </c>
      <c r="C988">
        <v>62</v>
      </c>
      <c r="D988" t="s">
        <v>5604</v>
      </c>
      <c r="E988" s="11">
        <v>46027</v>
      </c>
      <c r="F988" t="s">
        <v>5605</v>
      </c>
      <c r="G988" t="s">
        <v>45</v>
      </c>
      <c r="J988" t="s">
        <v>720</v>
      </c>
      <c r="K988" t="s">
        <v>5606</v>
      </c>
      <c r="L988" t="s">
        <v>81</v>
      </c>
      <c r="M988" t="s">
        <v>118</v>
      </c>
      <c r="N988" t="s">
        <v>5607</v>
      </c>
      <c r="O988" t="s">
        <v>5608</v>
      </c>
      <c r="P988" s="46" t="str" cm="1">
        <f t="array" aca="1" ref="P988" ca="1">IFERROR(_xlfn.XLOOKUP(tblPedidos[[#This Row],[id_dropi]],tblNotas[[#This Row],[id__dropi]],tblNotas[[#This Row],[Notas Manuales]], “”, 0),"")</f>
        <v/>
      </c>
      <c r="Q988" t="s">
        <v>50</v>
      </c>
      <c r="R988" t="s">
        <v>4182</v>
      </c>
      <c r="S988">
        <v>17004.5</v>
      </c>
      <c r="T988">
        <v>-17895.5</v>
      </c>
      <c r="U988" cm="1">
        <f t="array" ref="U988">IFERROR(_xlfn.IFS(tblPedidos[[#This Row],[estado_operativo]]="ENTREGADO",tblPedidos[[#This Row],[ganancia_calc]],tblPedidos[[#This Row],[estado_operativo]]="DEVOLUCION",tblPedidos[[#This Row],[costo_devolucion_estimado]]),0)</f>
        <v>17004.5</v>
      </c>
      <c r="V988">
        <v>102027</v>
      </c>
      <c r="W988">
        <v>59900</v>
      </c>
      <c r="X988">
        <v>17895.5</v>
      </c>
      <c r="Y988">
        <v>25000</v>
      </c>
      <c r="Z988" s="11">
        <v>46037</v>
      </c>
      <c r="AA988">
        <v>7</v>
      </c>
      <c r="AB988" s="12">
        <v>0.75763888888888886</v>
      </c>
      <c r="AC988" t="s">
        <v>720</v>
      </c>
      <c r="AD988" t="s">
        <v>720</v>
      </c>
      <c r="AE988" t="s">
        <v>720</v>
      </c>
    </row>
    <row r="989" spans="1:31">
      <c r="A989" t="s">
        <v>1343</v>
      </c>
      <c r="B989" t="s">
        <v>2946</v>
      </c>
      <c r="C989">
        <v>63</v>
      </c>
      <c r="D989" t="s">
        <v>5609</v>
      </c>
      <c r="E989" s="11">
        <v>46027</v>
      </c>
      <c r="F989" t="s">
        <v>5610</v>
      </c>
      <c r="G989" t="s">
        <v>45</v>
      </c>
      <c r="J989" t="s">
        <v>720</v>
      </c>
      <c r="K989" t="s">
        <v>5611</v>
      </c>
      <c r="L989" t="s">
        <v>46</v>
      </c>
      <c r="M989" t="s">
        <v>100</v>
      </c>
      <c r="N989" t="s">
        <v>5612</v>
      </c>
      <c r="O989" t="s">
        <v>5613</v>
      </c>
      <c r="P989" s="46" t="str" cm="1">
        <f t="array" aca="1" ref="P989" ca="1">IFERROR(_xlfn.XLOOKUP(tblPedidos[[#This Row],[id_dropi]],tblNotas[[#This Row],[id__dropi]],tblNotas[[#This Row],[Notas Manuales]], “”, 0),"")</f>
        <v/>
      </c>
      <c r="R989" t="s">
        <v>3054</v>
      </c>
      <c r="S989">
        <v>19954.5</v>
      </c>
      <c r="T989">
        <v>-11945.5</v>
      </c>
      <c r="U989" cm="1">
        <f t="array" ref="U989">IFERROR(_xlfn.IFS(tblPedidos[[#This Row],[estado_operativo]]="ENTREGADO",tblPedidos[[#This Row],[ganancia_calc]],tblPedidos[[#This Row],[estado_operativo]]="DEVOLUCION",tblPedidos[[#This Row],[costo_devolucion_estimado]]),0)</f>
        <v>19954.5</v>
      </c>
      <c r="V989">
        <v>119727</v>
      </c>
      <c r="W989">
        <v>59900</v>
      </c>
      <c r="X989">
        <v>11945.5</v>
      </c>
      <c r="Y989">
        <v>28000</v>
      </c>
      <c r="Z989" s="11">
        <v>46031</v>
      </c>
      <c r="AA989">
        <v>13</v>
      </c>
      <c r="AB989" s="12">
        <v>0.63263888888888886</v>
      </c>
      <c r="AC989" t="s">
        <v>720</v>
      </c>
      <c r="AD989" t="s">
        <v>720</v>
      </c>
      <c r="AE989" t="s">
        <v>720</v>
      </c>
    </row>
    <row r="990" spans="1:31">
      <c r="A990" t="s">
        <v>33</v>
      </c>
      <c r="C990">
        <v>90</v>
      </c>
      <c r="D990" t="s">
        <v>5614</v>
      </c>
      <c r="E990" s="11">
        <v>46027</v>
      </c>
      <c r="F990" t="s">
        <v>5615</v>
      </c>
      <c r="G990" t="s">
        <v>45</v>
      </c>
      <c r="J990" t="s">
        <v>1371</v>
      </c>
      <c r="K990" t="s">
        <v>5616</v>
      </c>
      <c r="L990" t="s">
        <v>427</v>
      </c>
      <c r="M990" t="s">
        <v>5617</v>
      </c>
      <c r="N990" t="s">
        <v>5618</v>
      </c>
      <c r="O990" t="s">
        <v>5619</v>
      </c>
      <c r="P990" s="46" t="str" cm="1">
        <f t="array" aca="1" ref="P990" ca="1">IFERROR(_xlfn.XLOOKUP(tblPedidos[[#This Row],[id_dropi]],tblNotas[[#This Row],[id__dropi]],tblNotas[[#This Row],[Notas Manuales]], “”, 0),"")</f>
        <v/>
      </c>
      <c r="Q990" t="s">
        <v>50</v>
      </c>
      <c r="R990" t="s">
        <v>3213</v>
      </c>
      <c r="S990">
        <v>17004.5</v>
      </c>
      <c r="T990">
        <v>-17895.5</v>
      </c>
      <c r="U990" cm="1">
        <f t="array" ref="U990">IFERROR(_xlfn.IFS(tblPedidos[[#This Row],[estado_operativo]]="ENTREGADO",tblPedidos[[#This Row],[ganancia_calc]],tblPedidos[[#This Row],[estado_operativo]]="DEVOLUCION",tblPedidos[[#This Row],[costo_devolucion_estimado]]),0)</f>
        <v>0</v>
      </c>
      <c r="V990">
        <v>0</v>
      </c>
      <c r="W990">
        <v>59900</v>
      </c>
      <c r="X990">
        <v>17895.5</v>
      </c>
      <c r="Y990">
        <v>25000</v>
      </c>
      <c r="Z990" s="11">
        <v>46043</v>
      </c>
      <c r="AA990">
        <v>1</v>
      </c>
      <c r="AB990" s="12">
        <v>0.43402777777777779</v>
      </c>
      <c r="AC990" t="s">
        <v>982</v>
      </c>
      <c r="AD990" t="s">
        <v>982</v>
      </c>
      <c r="AE990" t="s">
        <v>1371</v>
      </c>
    </row>
    <row r="991" spans="1:31">
      <c r="A991" t="s">
        <v>1343</v>
      </c>
      <c r="B991" t="s">
        <v>2946</v>
      </c>
      <c r="C991">
        <v>91</v>
      </c>
      <c r="D991" t="s">
        <v>5620</v>
      </c>
      <c r="E991" s="11">
        <v>46027</v>
      </c>
      <c r="F991" t="s">
        <v>5621</v>
      </c>
      <c r="G991" t="s">
        <v>45</v>
      </c>
      <c r="J991" t="s">
        <v>720</v>
      </c>
      <c r="K991" t="s">
        <v>5622</v>
      </c>
      <c r="L991" t="s">
        <v>234</v>
      </c>
      <c r="M991" t="s">
        <v>5623</v>
      </c>
      <c r="N991" t="s">
        <v>5624</v>
      </c>
      <c r="O991" t="s">
        <v>5625</v>
      </c>
      <c r="P991" s="46" t="str" cm="1">
        <f t="array" aca="1" ref="P991" ca="1">IFERROR(_xlfn.XLOOKUP(tblPedidos[[#This Row],[id_dropi]],tblNotas[[#This Row],[id__dropi]],tblNotas[[#This Row],[Notas Manuales]], “”, 0),"")</f>
        <v/>
      </c>
      <c r="R991" t="s">
        <v>4182</v>
      </c>
      <c r="S991">
        <v>17004.5</v>
      </c>
      <c r="T991">
        <v>-17895.5</v>
      </c>
      <c r="U991" cm="1">
        <f t="array" ref="U991">IFERROR(_xlfn.IFS(tblPedidos[[#This Row],[estado_operativo]]="ENTREGADO",tblPedidos[[#This Row],[ganancia_calc]],tblPedidos[[#This Row],[estado_operativo]]="DEVOLUCION",tblPedidos[[#This Row],[costo_devolucion_estimado]]),0)</f>
        <v>17004.5</v>
      </c>
      <c r="V991">
        <v>102027</v>
      </c>
      <c r="W991">
        <v>59900</v>
      </c>
      <c r="X991">
        <v>17895.5</v>
      </c>
      <c r="Y991">
        <v>25000</v>
      </c>
      <c r="Z991" s="11">
        <v>46031</v>
      </c>
      <c r="AA991">
        <v>13</v>
      </c>
      <c r="AB991" s="12">
        <v>0.63263888888888886</v>
      </c>
      <c r="AC991" t="s">
        <v>720</v>
      </c>
      <c r="AD991" t="s">
        <v>720</v>
      </c>
      <c r="AE991" t="s">
        <v>720</v>
      </c>
    </row>
    <row r="992" spans="1:31">
      <c r="A992" t="s">
        <v>1343</v>
      </c>
      <c r="B992" t="s">
        <v>2946</v>
      </c>
      <c r="C992">
        <v>89</v>
      </c>
      <c r="D992" t="s">
        <v>5626</v>
      </c>
      <c r="E992" s="11">
        <v>46027</v>
      </c>
      <c r="F992" t="s">
        <v>5627</v>
      </c>
      <c r="G992" t="s">
        <v>45</v>
      </c>
      <c r="J992" t="s">
        <v>720</v>
      </c>
      <c r="K992" t="s">
        <v>5628</v>
      </c>
      <c r="L992" t="s">
        <v>46</v>
      </c>
      <c r="M992" t="s">
        <v>94</v>
      </c>
      <c r="N992" t="s">
        <v>5629</v>
      </c>
      <c r="O992" t="s">
        <v>5630</v>
      </c>
      <c r="P992" s="46" t="str" cm="1">
        <f t="array" aca="1" ref="P992" ca="1">IFERROR(_xlfn.XLOOKUP(tblPedidos[[#This Row],[id_dropi]],tblNotas[[#This Row],[id__dropi]],tblNotas[[#This Row],[Notas Manuales]], “”, 0),"")</f>
        <v/>
      </c>
      <c r="R992" t="s">
        <v>3213</v>
      </c>
      <c r="S992">
        <v>22954.5</v>
      </c>
      <c r="T992">
        <v>-11945.5</v>
      </c>
      <c r="U992" cm="1">
        <f t="array" ref="U992">IFERROR(_xlfn.IFS(tblPedidos[[#This Row],[estado_operativo]]="ENTREGADO",tblPedidos[[#This Row],[ganancia_calc]],tblPedidos[[#This Row],[estado_operativo]]="DEVOLUCION",tblPedidos[[#This Row],[costo_devolucion_estimado]]),0)</f>
        <v>22954.5</v>
      </c>
      <c r="V992">
        <v>137727</v>
      </c>
      <c r="W992">
        <v>59900</v>
      </c>
      <c r="X992">
        <v>11945.5</v>
      </c>
      <c r="Y992">
        <v>25000</v>
      </c>
      <c r="Z992" s="11">
        <v>46031</v>
      </c>
      <c r="AA992">
        <v>13</v>
      </c>
      <c r="AB992" s="12">
        <v>0.62013888888888891</v>
      </c>
      <c r="AC992" t="s">
        <v>720</v>
      </c>
      <c r="AD992" t="s">
        <v>720</v>
      </c>
      <c r="AE992" t="s">
        <v>720</v>
      </c>
    </row>
    <row r="993" spans="1:31">
      <c r="A993" t="s">
        <v>1343</v>
      </c>
      <c r="B993" t="s">
        <v>2946</v>
      </c>
      <c r="C993">
        <v>87</v>
      </c>
      <c r="D993" t="s">
        <v>5631</v>
      </c>
      <c r="E993" s="11">
        <v>46027</v>
      </c>
      <c r="F993" t="s">
        <v>5632</v>
      </c>
      <c r="G993" t="s">
        <v>45</v>
      </c>
      <c r="J993" t="s">
        <v>720</v>
      </c>
      <c r="K993" t="s">
        <v>5633</v>
      </c>
      <c r="L993" t="s">
        <v>212</v>
      </c>
      <c r="M993" t="s">
        <v>5634</v>
      </c>
      <c r="N993" t="s">
        <v>5635</v>
      </c>
      <c r="O993" t="s">
        <v>5636</v>
      </c>
      <c r="P993" s="46" t="str" cm="1">
        <f t="array" aca="1" ref="P993" ca="1">IFERROR(_xlfn.XLOOKUP(tblPedidos[[#This Row],[id_dropi]],tblNotas[[#This Row],[id__dropi]],tblNotas[[#This Row],[Notas Manuales]], “”, 0),"")</f>
        <v/>
      </c>
      <c r="Q993" t="s">
        <v>50</v>
      </c>
      <c r="R993" t="s">
        <v>3213</v>
      </c>
      <c r="S993">
        <v>17004.5</v>
      </c>
      <c r="T993">
        <v>-17895.5</v>
      </c>
      <c r="U993" cm="1">
        <f t="array" ref="U993">IFERROR(_xlfn.IFS(tblPedidos[[#This Row],[estado_operativo]]="ENTREGADO",tblPedidos[[#This Row],[ganancia_calc]],tblPedidos[[#This Row],[estado_operativo]]="DEVOLUCION",tblPedidos[[#This Row],[costo_devolucion_estimado]]),0)</f>
        <v>17004.5</v>
      </c>
      <c r="V993">
        <v>102027</v>
      </c>
      <c r="W993">
        <v>59900</v>
      </c>
      <c r="X993">
        <v>17895.5</v>
      </c>
      <c r="Y993">
        <v>25000</v>
      </c>
      <c r="Z993" s="11">
        <v>46031</v>
      </c>
      <c r="AA993">
        <v>13</v>
      </c>
      <c r="AB993" s="12">
        <v>0.62013888888888891</v>
      </c>
      <c r="AC993" t="s">
        <v>720</v>
      </c>
      <c r="AD993" t="s">
        <v>720</v>
      </c>
      <c r="AE993" t="s">
        <v>720</v>
      </c>
    </row>
    <row r="994" spans="1:31">
      <c r="A994" t="s">
        <v>1343</v>
      </c>
      <c r="B994" t="s">
        <v>2946</v>
      </c>
      <c r="C994">
        <v>88</v>
      </c>
      <c r="D994" t="s">
        <v>5637</v>
      </c>
      <c r="E994" s="11">
        <v>46027</v>
      </c>
      <c r="F994" t="s">
        <v>5638</v>
      </c>
      <c r="G994" t="s">
        <v>45</v>
      </c>
      <c r="J994" t="s">
        <v>720</v>
      </c>
      <c r="K994" t="s">
        <v>5639</v>
      </c>
      <c r="L994" t="s">
        <v>152</v>
      </c>
      <c r="M994" t="s">
        <v>5640</v>
      </c>
      <c r="N994" t="s">
        <v>5641</v>
      </c>
      <c r="O994" t="s">
        <v>5642</v>
      </c>
      <c r="P994" s="46" t="str" cm="1">
        <f t="array" aca="1" ref="P994" ca="1">IFERROR(_xlfn.XLOOKUP(tblPedidos[[#This Row],[id_dropi]],tblNotas[[#This Row],[id__dropi]],tblNotas[[#This Row],[Notas Manuales]], “”, 0),"")</f>
        <v/>
      </c>
      <c r="Q994" t="s">
        <v>50</v>
      </c>
      <c r="R994" t="s">
        <v>3014</v>
      </c>
      <c r="S994">
        <v>22829.5</v>
      </c>
      <c r="T994">
        <v>-17670.5</v>
      </c>
      <c r="U994" cm="1">
        <f t="array" ref="U994">IFERROR(_xlfn.IFS(tblPedidos[[#This Row],[estado_operativo]]="ENTREGADO",tblPedidos[[#This Row],[ganancia_calc]],tblPedidos[[#This Row],[estado_operativo]]="DEVOLUCION",tblPedidos[[#This Row],[costo_devolucion_estimado]]),0)</f>
        <v>22829.5</v>
      </c>
      <c r="V994">
        <v>136977</v>
      </c>
      <c r="W994">
        <v>54900</v>
      </c>
      <c r="X994">
        <v>17670.5</v>
      </c>
      <c r="Y994">
        <v>14400</v>
      </c>
      <c r="Z994" s="11">
        <v>46035</v>
      </c>
      <c r="AA994">
        <v>9</v>
      </c>
      <c r="AB994" s="12">
        <v>0.76875000000000004</v>
      </c>
      <c r="AC994" t="s">
        <v>720</v>
      </c>
      <c r="AD994" t="s">
        <v>720</v>
      </c>
      <c r="AE994" t="s">
        <v>720</v>
      </c>
    </row>
    <row r="995" spans="1:31">
      <c r="A995" t="s">
        <v>1343</v>
      </c>
      <c r="C995">
        <v>95</v>
      </c>
      <c r="D995" t="s">
        <v>5643</v>
      </c>
      <c r="E995" s="11">
        <v>46027</v>
      </c>
      <c r="F995" t="s">
        <v>5644</v>
      </c>
      <c r="G995" t="s">
        <v>958</v>
      </c>
      <c r="J995" t="s">
        <v>1657</v>
      </c>
      <c r="K995" t="s">
        <v>5645</v>
      </c>
      <c r="L995" t="s">
        <v>81</v>
      </c>
      <c r="M995" t="s">
        <v>118</v>
      </c>
      <c r="N995" t="s">
        <v>5646</v>
      </c>
      <c r="O995" t="s">
        <v>5647</v>
      </c>
      <c r="P995" s="46" t="str" cm="1">
        <f t="array" aca="1" ref="P995" ca="1">IFERROR(_xlfn.XLOOKUP(tblPedidos[[#This Row],[id_dropi]],tblNotas[[#This Row],[id__dropi]],tblNotas[[#This Row],[Notas Manuales]], “”, 0),"")</f>
        <v/>
      </c>
      <c r="R995" t="s">
        <v>3200</v>
      </c>
      <c r="S995">
        <v>32978.5</v>
      </c>
      <c r="T995">
        <v>-10497.2</v>
      </c>
      <c r="U995" cm="1">
        <f t="array" ref="U995">IFERROR(_xlfn.IFS(tblPedidos[[#This Row],[estado_operativo]]="ENTREGADO",tblPedidos[[#This Row],[ganancia_calc]],tblPedidos[[#This Row],[estado_operativo]]="DEVOLUCION",tblPedidos[[#This Row],[costo_devolucion_estimado]]),0)</f>
        <v>-10497.2</v>
      </c>
      <c r="V995">
        <v>-10500</v>
      </c>
      <c r="W995">
        <v>74900</v>
      </c>
      <c r="X995">
        <v>13121.5</v>
      </c>
      <c r="Y995">
        <v>28800</v>
      </c>
      <c r="Z995" s="11">
        <v>46043</v>
      </c>
      <c r="AA995">
        <v>1</v>
      </c>
      <c r="AB995" s="12">
        <v>0.73472222222222228</v>
      </c>
      <c r="AC995" t="s">
        <v>1657</v>
      </c>
      <c r="AD995" t="s">
        <v>1657</v>
      </c>
      <c r="AE995" t="s">
        <v>1657</v>
      </c>
    </row>
    <row r="996" spans="1:31">
      <c r="A996" t="s">
        <v>1343</v>
      </c>
      <c r="B996" t="s">
        <v>2946</v>
      </c>
      <c r="C996">
        <v>96</v>
      </c>
      <c r="D996" t="s">
        <v>5648</v>
      </c>
      <c r="E996" s="11">
        <v>46027</v>
      </c>
      <c r="F996" t="s">
        <v>5649</v>
      </c>
      <c r="G996" t="s">
        <v>45</v>
      </c>
      <c r="J996" t="s">
        <v>720</v>
      </c>
      <c r="K996" t="s">
        <v>5650</v>
      </c>
      <c r="L996" t="s">
        <v>159</v>
      </c>
      <c r="M996" t="s">
        <v>907</v>
      </c>
      <c r="N996" t="s">
        <v>5651</v>
      </c>
      <c r="O996" t="s">
        <v>5652</v>
      </c>
      <c r="P996" s="46" t="str" cm="1">
        <f t="array" aca="1" ref="P996" ca="1">IFERROR(_xlfn.XLOOKUP(tblPedidos[[#This Row],[id_dropi]],tblNotas[[#This Row],[id__dropi]],tblNotas[[#This Row],[Notas Manuales]], “”, 0),"")</f>
        <v/>
      </c>
      <c r="R996" t="s">
        <v>3014</v>
      </c>
      <c r="S996">
        <v>22829.5</v>
      </c>
      <c r="T996">
        <v>-17670.5</v>
      </c>
      <c r="U996" cm="1">
        <f t="array" ref="U996">IFERROR(_xlfn.IFS(tblPedidos[[#This Row],[estado_operativo]]="ENTREGADO",tblPedidos[[#This Row],[ganancia_calc]],tblPedidos[[#This Row],[estado_operativo]]="DEVOLUCION",tblPedidos[[#This Row],[costo_devolucion_estimado]]),0)</f>
        <v>22829.5</v>
      </c>
      <c r="V996">
        <v>136977</v>
      </c>
      <c r="W996">
        <v>54900</v>
      </c>
      <c r="X996">
        <v>17670.5</v>
      </c>
      <c r="Y996">
        <v>14400</v>
      </c>
      <c r="Z996" s="11">
        <v>46031</v>
      </c>
      <c r="AA996">
        <v>13</v>
      </c>
      <c r="AB996" s="12">
        <v>0.62430555555555556</v>
      </c>
      <c r="AC996" t="s">
        <v>720</v>
      </c>
      <c r="AD996" t="s">
        <v>720</v>
      </c>
      <c r="AE996" t="s">
        <v>720</v>
      </c>
    </row>
    <row r="997" spans="1:31">
      <c r="A997" t="s">
        <v>1343</v>
      </c>
      <c r="B997" t="s">
        <v>2946</v>
      </c>
      <c r="C997">
        <v>94</v>
      </c>
      <c r="D997" t="s">
        <v>5653</v>
      </c>
      <c r="E997" s="11">
        <v>46027</v>
      </c>
      <c r="F997" t="s">
        <v>5654</v>
      </c>
      <c r="G997" t="s">
        <v>36</v>
      </c>
      <c r="J997" t="s">
        <v>720</v>
      </c>
      <c r="K997" t="s">
        <v>5655</v>
      </c>
      <c r="L997" t="s">
        <v>322</v>
      </c>
      <c r="M997" t="s">
        <v>2788</v>
      </c>
      <c r="N997" t="s">
        <v>5656</v>
      </c>
      <c r="O997" t="s">
        <v>5657</v>
      </c>
      <c r="P997" s="46" t="str" cm="1">
        <f t="array" aca="1" ref="P997" ca="1">IFERROR(_xlfn.XLOOKUP(tblPedidos[[#This Row],[id_dropi]],tblNotas[[#This Row],[id__dropi]],tblNotas[[#This Row],[Notas Manuales]], “”, 0),"")</f>
        <v/>
      </c>
      <c r="R997" t="s">
        <v>3014</v>
      </c>
      <c r="S997">
        <v>25511.5</v>
      </c>
      <c r="T997">
        <v>-11990.800000000001</v>
      </c>
      <c r="U997" cm="1">
        <f t="array" ref="U997">IFERROR(_xlfn.IFS(tblPedidos[[#This Row],[estado_operativo]]="ENTREGADO",tblPedidos[[#This Row],[ganancia_calc]],tblPedidos[[#This Row],[estado_operativo]]="DEVOLUCION",tblPedidos[[#This Row],[costo_devolucion_estimado]]),0)</f>
        <v>25511.5</v>
      </c>
      <c r="V997">
        <v>153069</v>
      </c>
      <c r="W997">
        <v>54900</v>
      </c>
      <c r="X997">
        <v>14988.5</v>
      </c>
      <c r="Y997">
        <v>14400</v>
      </c>
      <c r="Z997" s="11">
        <v>46030</v>
      </c>
      <c r="AA997">
        <v>14</v>
      </c>
      <c r="AB997" s="12">
        <v>0.60555555555555551</v>
      </c>
      <c r="AC997" t="s">
        <v>399</v>
      </c>
      <c r="AD997" t="s">
        <v>720</v>
      </c>
      <c r="AE997" t="s">
        <v>720</v>
      </c>
    </row>
    <row r="998" spans="1:31">
      <c r="A998" t="s">
        <v>1343</v>
      </c>
      <c r="B998" t="s">
        <v>2946</v>
      </c>
      <c r="C998">
        <v>92</v>
      </c>
      <c r="D998" t="s">
        <v>5658</v>
      </c>
      <c r="E998" s="11">
        <v>46027</v>
      </c>
      <c r="F998" t="s">
        <v>5659</v>
      </c>
      <c r="G998" t="s">
        <v>45</v>
      </c>
      <c r="J998" t="s">
        <v>1657</v>
      </c>
      <c r="K998" t="s">
        <v>5660</v>
      </c>
      <c r="L998" t="s">
        <v>46</v>
      </c>
      <c r="M998" t="s">
        <v>558</v>
      </c>
      <c r="N998" t="s">
        <v>5661</v>
      </c>
      <c r="O998" t="s">
        <v>5662</v>
      </c>
      <c r="P998" s="46" t="str" cm="1">
        <f t="array" aca="1" ref="P998" ca="1">IFERROR(_xlfn.XLOOKUP(tblPedidos[[#This Row],[id_dropi]],tblNotas[[#This Row],[id__dropi]],tblNotas[[#This Row],[Notas Manuales]], “”, 0),"")</f>
        <v/>
      </c>
      <c r="Q998" t="s">
        <v>4566</v>
      </c>
      <c r="R998" t="s">
        <v>3014</v>
      </c>
      <c r="S998">
        <v>28779.5</v>
      </c>
      <c r="T998">
        <v>-11720.5</v>
      </c>
      <c r="U998" cm="1">
        <f t="array" ref="U998">IFERROR(_xlfn.IFS(tblPedidos[[#This Row],[estado_operativo]]="ENTREGADO",tblPedidos[[#This Row],[ganancia_calc]],tblPedidos[[#This Row],[estado_operativo]]="DEVOLUCION",tblPedidos[[#This Row],[costo_devolucion_estimado]]),0)</f>
        <v>-11720.5</v>
      </c>
      <c r="V998">
        <v>-70323</v>
      </c>
      <c r="W998">
        <v>54900</v>
      </c>
      <c r="X998">
        <v>11720.5</v>
      </c>
      <c r="Y998">
        <v>14400</v>
      </c>
      <c r="Z998" s="11">
        <v>46031</v>
      </c>
      <c r="AA998">
        <v>13</v>
      </c>
      <c r="AB998" s="12">
        <v>0.62430555555555556</v>
      </c>
      <c r="AC998" t="s">
        <v>1657</v>
      </c>
      <c r="AD998" t="s">
        <v>1657</v>
      </c>
      <c r="AE998" t="s">
        <v>1657</v>
      </c>
    </row>
    <row r="999" spans="1:31">
      <c r="A999" t="s">
        <v>1343</v>
      </c>
      <c r="B999" t="s">
        <v>2946</v>
      </c>
      <c r="C999">
        <v>93</v>
      </c>
      <c r="D999" t="s">
        <v>5663</v>
      </c>
      <c r="E999" s="11">
        <v>46027</v>
      </c>
      <c r="F999" t="s">
        <v>5664</v>
      </c>
      <c r="G999" t="s">
        <v>45</v>
      </c>
      <c r="J999" t="s">
        <v>720</v>
      </c>
      <c r="K999" t="s">
        <v>5665</v>
      </c>
      <c r="L999" t="s">
        <v>46</v>
      </c>
      <c r="M999" t="s">
        <v>5666</v>
      </c>
      <c r="N999" t="s">
        <v>5667</v>
      </c>
      <c r="O999" t="s">
        <v>5668</v>
      </c>
      <c r="P999" s="46" t="str" cm="1">
        <f t="array" aca="1" ref="P999" ca="1">IFERROR(_xlfn.XLOOKUP(tblPedidos[[#This Row],[id_dropi]],tblNotas[[#This Row],[id__dropi]],tblNotas[[#This Row],[Notas Manuales]], “”, 0),"")</f>
        <v/>
      </c>
      <c r="R999" t="s">
        <v>3200</v>
      </c>
      <c r="S999">
        <v>32079.5</v>
      </c>
      <c r="T999">
        <v>-14020.5</v>
      </c>
      <c r="U999" cm="1">
        <f t="array" ref="U999">IFERROR(_xlfn.IFS(tblPedidos[[#This Row],[estado_operativo]]="ENTREGADO",tblPedidos[[#This Row],[ganancia_calc]],tblPedidos[[#This Row],[estado_operativo]]="DEVOLUCION",tblPedidos[[#This Row],[costo_devolucion_estimado]]),0)</f>
        <v>32079.5</v>
      </c>
      <c r="V999">
        <v>192477</v>
      </c>
      <c r="W999">
        <v>74900</v>
      </c>
      <c r="X999">
        <v>14020.5</v>
      </c>
      <c r="Y999">
        <v>28800</v>
      </c>
      <c r="Z999" s="11">
        <v>46031</v>
      </c>
      <c r="AA999">
        <v>13</v>
      </c>
      <c r="AB999" s="12">
        <v>0.62430555555555556</v>
      </c>
      <c r="AC999" t="s">
        <v>720</v>
      </c>
      <c r="AD999" t="s">
        <v>720</v>
      </c>
      <c r="AE999" t="s">
        <v>720</v>
      </c>
    </row>
    <row r="1000" spans="1:31">
      <c r="A1000" t="s">
        <v>1343</v>
      </c>
      <c r="B1000" t="s">
        <v>2946</v>
      </c>
      <c r="C1000">
        <v>80</v>
      </c>
      <c r="D1000" t="s">
        <v>5669</v>
      </c>
      <c r="E1000" s="11">
        <v>46027</v>
      </c>
      <c r="F1000" t="s">
        <v>5670</v>
      </c>
      <c r="G1000" t="s">
        <v>45</v>
      </c>
      <c r="J1000" t="s">
        <v>720</v>
      </c>
      <c r="K1000" t="s">
        <v>5671</v>
      </c>
      <c r="L1000" t="s">
        <v>212</v>
      </c>
      <c r="M1000" t="s">
        <v>5672</v>
      </c>
      <c r="N1000" t="s">
        <v>5673</v>
      </c>
      <c r="O1000" t="s">
        <v>5674</v>
      </c>
      <c r="P1000" s="46" t="str" cm="1">
        <f t="array" aca="1" ref="P1000" ca="1">IFERROR(_xlfn.XLOOKUP(tblPedidos[[#This Row],[id_dropi]],tblNotas[[#This Row],[id__dropi]],tblNotas[[#This Row],[Notas Manuales]], “”, 0),"")</f>
        <v/>
      </c>
      <c r="Q1000" t="s">
        <v>50</v>
      </c>
      <c r="R1000" t="s">
        <v>3200</v>
      </c>
      <c r="S1000">
        <v>27529.5</v>
      </c>
      <c r="T1000">
        <v>-18570.5</v>
      </c>
      <c r="U1000" cm="1">
        <f t="array" ref="U1000">IFERROR(_xlfn.IFS(tblPedidos[[#This Row],[estado_operativo]]="ENTREGADO",tblPedidos[[#This Row],[ganancia_calc]],tblPedidos[[#This Row],[estado_operativo]]="DEVOLUCION",tblPedidos[[#This Row],[costo_devolucion_estimado]]),0)</f>
        <v>27529.5</v>
      </c>
      <c r="V1000">
        <v>165177</v>
      </c>
      <c r="W1000">
        <v>74900</v>
      </c>
      <c r="X1000">
        <v>18570.5</v>
      </c>
      <c r="Y1000">
        <v>28800</v>
      </c>
      <c r="Z1000" s="11">
        <v>46035</v>
      </c>
      <c r="AA1000">
        <v>9</v>
      </c>
      <c r="AB1000" s="12">
        <v>0.51458333333333328</v>
      </c>
      <c r="AC1000" t="s">
        <v>720</v>
      </c>
      <c r="AD1000" t="s">
        <v>720</v>
      </c>
      <c r="AE1000" t="s">
        <v>720</v>
      </c>
    </row>
    <row r="1001" spans="1:31">
      <c r="A1001" t="s">
        <v>1343</v>
      </c>
      <c r="B1001" t="s">
        <v>2946</v>
      </c>
      <c r="C1001">
        <v>81</v>
      </c>
      <c r="D1001" t="s">
        <v>5675</v>
      </c>
      <c r="E1001" s="11">
        <v>46027</v>
      </c>
      <c r="F1001" t="s">
        <v>5676</v>
      </c>
      <c r="G1001" t="s">
        <v>45</v>
      </c>
      <c r="J1001" t="s">
        <v>720</v>
      </c>
      <c r="K1001" t="s">
        <v>5677</v>
      </c>
      <c r="L1001" t="s">
        <v>111</v>
      </c>
      <c r="M1001" t="s">
        <v>5678</v>
      </c>
      <c r="N1001" t="s">
        <v>5679</v>
      </c>
      <c r="O1001" t="s">
        <v>5680</v>
      </c>
      <c r="P1001" s="46" t="str" cm="1">
        <f t="array" aca="1" ref="P1001" ca="1">IFERROR(_xlfn.XLOOKUP(tblPedidos[[#This Row],[id_dropi]],tblNotas[[#This Row],[id__dropi]],tblNotas[[#This Row],[Notas Manuales]], “”, 0),"")</f>
        <v/>
      </c>
      <c r="Q1001" t="s">
        <v>50</v>
      </c>
      <c r="R1001" t="s">
        <v>3200</v>
      </c>
      <c r="S1001">
        <v>27529.5</v>
      </c>
      <c r="T1001">
        <v>-18570.5</v>
      </c>
      <c r="U1001" cm="1">
        <f t="array" ref="U1001">IFERROR(_xlfn.IFS(tblPedidos[[#This Row],[estado_operativo]]="ENTREGADO",tblPedidos[[#This Row],[ganancia_calc]],tblPedidos[[#This Row],[estado_operativo]]="DEVOLUCION",tblPedidos[[#This Row],[costo_devolucion_estimado]]),0)</f>
        <v>27529.5</v>
      </c>
      <c r="V1001">
        <v>165177</v>
      </c>
      <c r="W1001">
        <v>74900</v>
      </c>
      <c r="X1001">
        <v>18570.5</v>
      </c>
      <c r="Y1001">
        <v>28800</v>
      </c>
      <c r="Z1001" s="11">
        <v>46031</v>
      </c>
      <c r="AA1001">
        <v>13</v>
      </c>
      <c r="AB1001" s="12">
        <v>0.62777777777777777</v>
      </c>
      <c r="AC1001" t="s">
        <v>720</v>
      </c>
      <c r="AD1001" t="s">
        <v>720</v>
      </c>
      <c r="AE1001" t="s">
        <v>720</v>
      </c>
    </row>
    <row r="1002" spans="1:31">
      <c r="A1002" t="s">
        <v>1343</v>
      </c>
      <c r="B1002" t="s">
        <v>2946</v>
      </c>
      <c r="C1002">
        <v>79</v>
      </c>
      <c r="D1002" t="s">
        <v>5681</v>
      </c>
      <c r="E1002" s="11">
        <v>46027</v>
      </c>
      <c r="F1002" t="s">
        <v>5682</v>
      </c>
      <c r="G1002" t="s">
        <v>36</v>
      </c>
      <c r="J1002" t="s">
        <v>720</v>
      </c>
      <c r="K1002" t="s">
        <v>5683</v>
      </c>
      <c r="L1002" t="s">
        <v>81</v>
      </c>
      <c r="M1002" t="s">
        <v>272</v>
      </c>
      <c r="N1002" t="s">
        <v>5684</v>
      </c>
      <c r="O1002" t="s">
        <v>5685</v>
      </c>
      <c r="P1002" s="46" t="str" cm="1">
        <f t="array" aca="1" ref="P1002" ca="1">IFERROR(_xlfn.XLOOKUP(tblPedidos[[#This Row],[id_dropi]],tblNotas[[#This Row],[id__dropi]],tblNotas[[#This Row],[Notas Manuales]], “”, 0),"")</f>
        <v/>
      </c>
      <c r="R1002" t="s">
        <v>3014</v>
      </c>
      <c r="S1002">
        <v>25511.5</v>
      </c>
      <c r="T1002">
        <v>-11990.800000000001</v>
      </c>
      <c r="U1002" cm="1">
        <f t="array" ref="U1002">IFERROR(_xlfn.IFS(tblPedidos[[#This Row],[estado_operativo]]="ENTREGADO",tblPedidos[[#This Row],[ganancia_calc]],tblPedidos[[#This Row],[estado_operativo]]="DEVOLUCION",tblPedidos[[#This Row],[costo_devolucion_estimado]]),0)</f>
        <v>25511.5</v>
      </c>
      <c r="V1002">
        <v>153069</v>
      </c>
      <c r="W1002">
        <v>54900</v>
      </c>
      <c r="X1002">
        <v>14988.5</v>
      </c>
      <c r="Y1002">
        <v>14400</v>
      </c>
      <c r="Z1002" s="11">
        <v>46030</v>
      </c>
      <c r="AA1002">
        <v>14</v>
      </c>
      <c r="AB1002" s="12">
        <v>0.60555555555555551</v>
      </c>
      <c r="AC1002" t="s">
        <v>399</v>
      </c>
      <c r="AD1002" t="s">
        <v>720</v>
      </c>
      <c r="AE1002" t="s">
        <v>720</v>
      </c>
    </row>
    <row r="1003" spans="1:31">
      <c r="A1003" t="s">
        <v>1343</v>
      </c>
      <c r="B1003" t="s">
        <v>2946</v>
      </c>
      <c r="C1003">
        <v>77</v>
      </c>
      <c r="D1003" t="s">
        <v>5686</v>
      </c>
      <c r="E1003" s="11">
        <v>46027</v>
      </c>
      <c r="F1003" t="s">
        <v>5687</v>
      </c>
      <c r="G1003" t="s">
        <v>45</v>
      </c>
      <c r="J1003" t="s">
        <v>720</v>
      </c>
      <c r="K1003" t="s">
        <v>5688</v>
      </c>
      <c r="L1003" t="s">
        <v>212</v>
      </c>
      <c r="M1003" t="s">
        <v>5689</v>
      </c>
      <c r="N1003" t="s">
        <v>5690</v>
      </c>
      <c r="O1003" t="s">
        <v>5691</v>
      </c>
      <c r="P1003" s="46" t="str" cm="1">
        <f t="array" aca="1" ref="P1003" ca="1">IFERROR(_xlfn.XLOOKUP(tblPedidos[[#This Row],[id_dropi]],tblNotas[[#This Row],[id__dropi]],tblNotas[[#This Row],[Notas Manuales]], “”, 0),"")</f>
        <v/>
      </c>
      <c r="Q1003" t="s">
        <v>50</v>
      </c>
      <c r="R1003" t="s">
        <v>3200</v>
      </c>
      <c r="S1003">
        <v>22754.5</v>
      </c>
      <c r="T1003">
        <v>-18345.5</v>
      </c>
      <c r="U1003" cm="1">
        <f t="array" ref="U1003">IFERROR(_xlfn.IFS(tblPedidos[[#This Row],[estado_operativo]]="ENTREGADO",tblPedidos[[#This Row],[ganancia_calc]],tblPedidos[[#This Row],[estado_operativo]]="DEVOLUCION",tblPedidos[[#This Row],[costo_devolucion_estimado]]),0)</f>
        <v>22754.5</v>
      </c>
      <c r="V1003">
        <v>136527</v>
      </c>
      <c r="W1003">
        <v>69900</v>
      </c>
      <c r="X1003">
        <v>18345.5</v>
      </c>
      <c r="Y1003">
        <v>28800</v>
      </c>
      <c r="Z1003" s="11">
        <v>46031</v>
      </c>
      <c r="AA1003">
        <v>13</v>
      </c>
      <c r="AB1003" s="12">
        <v>0.62430555555555556</v>
      </c>
      <c r="AC1003" t="s">
        <v>720</v>
      </c>
      <c r="AD1003" t="s">
        <v>720</v>
      </c>
      <c r="AE1003" t="s">
        <v>720</v>
      </c>
    </row>
    <row r="1004" spans="1:31">
      <c r="A1004" t="s">
        <v>1343</v>
      </c>
      <c r="B1004" t="s">
        <v>2946</v>
      </c>
      <c r="C1004">
        <v>78</v>
      </c>
      <c r="D1004" t="s">
        <v>5692</v>
      </c>
      <c r="E1004" s="11">
        <v>46027</v>
      </c>
      <c r="F1004" t="s">
        <v>5693</v>
      </c>
      <c r="G1004" t="s">
        <v>45</v>
      </c>
      <c r="J1004" t="s">
        <v>720</v>
      </c>
      <c r="K1004" t="s">
        <v>5694</v>
      </c>
      <c r="L1004" t="s">
        <v>166</v>
      </c>
      <c r="M1004" t="s">
        <v>851</v>
      </c>
      <c r="N1004" t="s">
        <v>5695</v>
      </c>
      <c r="O1004" t="s">
        <v>5696</v>
      </c>
      <c r="P1004" s="46" t="str" cm="1">
        <f t="array" aca="1" ref="P1004" ca="1">IFERROR(_xlfn.XLOOKUP(tblPedidos[[#This Row],[id_dropi]],tblNotas[[#This Row],[id__dropi]],tblNotas[[#This Row],[Notas Manuales]], “”, 0),"")</f>
        <v/>
      </c>
      <c r="Q1004" t="s">
        <v>50</v>
      </c>
      <c r="R1004" t="s">
        <v>3200</v>
      </c>
      <c r="S1004">
        <v>27529.5</v>
      </c>
      <c r="T1004">
        <v>-18570.5</v>
      </c>
      <c r="U1004" cm="1">
        <f t="array" ref="U1004">IFERROR(_xlfn.IFS(tblPedidos[[#This Row],[estado_operativo]]="ENTREGADO",tblPedidos[[#This Row],[ganancia_calc]],tblPedidos[[#This Row],[estado_operativo]]="DEVOLUCION",tblPedidos[[#This Row],[costo_devolucion_estimado]]),0)</f>
        <v>27529.5</v>
      </c>
      <c r="V1004">
        <v>165177</v>
      </c>
      <c r="W1004">
        <v>74900</v>
      </c>
      <c r="X1004">
        <v>18570.5</v>
      </c>
      <c r="Y1004">
        <v>28800</v>
      </c>
      <c r="Z1004" s="11">
        <v>46036</v>
      </c>
      <c r="AA1004">
        <v>8</v>
      </c>
      <c r="AB1004" s="12">
        <v>0.43402777777777779</v>
      </c>
      <c r="AC1004" t="s">
        <v>720</v>
      </c>
      <c r="AD1004" t="s">
        <v>720</v>
      </c>
      <c r="AE1004" t="s">
        <v>720</v>
      </c>
    </row>
    <row r="1005" spans="1:31">
      <c r="A1005" t="s">
        <v>1343</v>
      </c>
      <c r="B1005" t="s">
        <v>2946</v>
      </c>
      <c r="C1005">
        <v>85</v>
      </c>
      <c r="D1005" t="s">
        <v>5697</v>
      </c>
      <c r="E1005" s="11">
        <v>46027</v>
      </c>
      <c r="F1005" t="s">
        <v>5698</v>
      </c>
      <c r="G1005" t="s">
        <v>36</v>
      </c>
      <c r="J1005" t="s">
        <v>720</v>
      </c>
      <c r="K1005" t="s">
        <v>5699</v>
      </c>
      <c r="L1005" t="s">
        <v>38</v>
      </c>
      <c r="M1005" t="s">
        <v>39</v>
      </c>
      <c r="N1005" t="s">
        <v>5700</v>
      </c>
      <c r="O1005" t="s">
        <v>5701</v>
      </c>
      <c r="P1005" s="46" t="str" cm="1">
        <f t="array" aca="1" ref="P1005" ca="1">IFERROR(_xlfn.XLOOKUP(tblPedidos[[#This Row],[id_dropi]],tblNotas[[#This Row],[id__dropi]],tblNotas[[#This Row],[Notas Manuales]], “”, 0),"")</f>
        <v/>
      </c>
      <c r="R1005" t="s">
        <v>5702</v>
      </c>
      <c r="S1005">
        <v>26686.5</v>
      </c>
      <c r="T1005">
        <v>-12170.800000000001</v>
      </c>
      <c r="U1005" cm="1">
        <f t="array" ref="U1005">IFERROR(_xlfn.IFS(tblPedidos[[#This Row],[estado_operativo]]="ENTREGADO",tblPedidos[[#This Row],[ganancia_calc]],tblPedidos[[#This Row],[estado_operativo]]="DEVOLUCION",tblPedidos[[#This Row],[costo_devolucion_estimado]]),0)</f>
        <v>26686.5</v>
      </c>
      <c r="V1005">
        <v>160119</v>
      </c>
      <c r="W1005">
        <v>59900</v>
      </c>
      <c r="X1005">
        <v>15213.5</v>
      </c>
      <c r="Y1005">
        <v>18000</v>
      </c>
      <c r="Z1005" s="11">
        <v>46028</v>
      </c>
      <c r="AA1005">
        <v>16</v>
      </c>
      <c r="AB1005" s="12">
        <v>0.9291666666666667</v>
      </c>
      <c r="AC1005" t="s">
        <v>399</v>
      </c>
      <c r="AD1005" t="s">
        <v>720</v>
      </c>
      <c r="AE1005" t="s">
        <v>720</v>
      </c>
    </row>
    <row r="1006" spans="1:31">
      <c r="A1006" t="s">
        <v>1343</v>
      </c>
      <c r="B1006" t="s">
        <v>2946</v>
      </c>
      <c r="C1006">
        <v>86</v>
      </c>
      <c r="D1006" t="s">
        <v>5703</v>
      </c>
      <c r="E1006" s="11">
        <v>46027</v>
      </c>
      <c r="F1006" t="s">
        <v>5704</v>
      </c>
      <c r="G1006" t="s">
        <v>45</v>
      </c>
      <c r="J1006" t="s">
        <v>720</v>
      </c>
      <c r="K1006" t="s">
        <v>5705</v>
      </c>
      <c r="L1006" t="s">
        <v>46</v>
      </c>
      <c r="M1006" t="s">
        <v>5706</v>
      </c>
      <c r="N1006" t="s">
        <v>5707</v>
      </c>
      <c r="O1006" t="s">
        <v>5708</v>
      </c>
      <c r="P1006" s="46" t="str" cm="1">
        <f t="array" aca="1" ref="P1006" ca="1">IFERROR(_xlfn.XLOOKUP(tblPedidos[[#This Row],[id_dropi]],tblNotas[[#This Row],[id__dropi]],tblNotas[[#This Row],[Notas Manuales]], “”, 0),"")</f>
        <v/>
      </c>
      <c r="Q1006" t="s">
        <v>50</v>
      </c>
      <c r="R1006" t="s">
        <v>2983</v>
      </c>
      <c r="S1006">
        <v>28104.5</v>
      </c>
      <c r="T1006">
        <v>-18345.5</v>
      </c>
      <c r="U1006" cm="1">
        <f t="array" ref="U1006">IFERROR(_xlfn.IFS(tblPedidos[[#This Row],[estado_operativo]]="ENTREGADO",tblPedidos[[#This Row],[ganancia_calc]],tblPedidos[[#This Row],[estado_operativo]]="DEVOLUCION",tblPedidos[[#This Row],[costo_devolucion_estimado]]),0)</f>
        <v>28104.5</v>
      </c>
      <c r="V1006">
        <v>168627</v>
      </c>
      <c r="W1006">
        <v>69900</v>
      </c>
      <c r="X1006">
        <v>18345.5</v>
      </c>
      <c r="Y1006">
        <v>23450</v>
      </c>
      <c r="Z1006" s="11">
        <v>46031</v>
      </c>
      <c r="AA1006">
        <v>13</v>
      </c>
      <c r="AB1006" s="12">
        <v>0.63055555555555554</v>
      </c>
      <c r="AC1006" t="s">
        <v>720</v>
      </c>
      <c r="AD1006" t="s">
        <v>720</v>
      </c>
      <c r="AE1006" t="s">
        <v>720</v>
      </c>
    </row>
    <row r="1007" spans="1:31">
      <c r="A1007" t="s">
        <v>1343</v>
      </c>
      <c r="B1007" t="s">
        <v>2946</v>
      </c>
      <c r="C1007">
        <v>84</v>
      </c>
      <c r="D1007" t="s">
        <v>5709</v>
      </c>
      <c r="E1007" s="11">
        <v>46027</v>
      </c>
      <c r="F1007" t="s">
        <v>5710</v>
      </c>
      <c r="G1007" t="s">
        <v>45</v>
      </c>
      <c r="J1007" t="s">
        <v>720</v>
      </c>
      <c r="K1007" t="s">
        <v>5711</v>
      </c>
      <c r="L1007" t="s">
        <v>328</v>
      </c>
      <c r="M1007" t="s">
        <v>5712</v>
      </c>
      <c r="N1007" t="s">
        <v>5713</v>
      </c>
      <c r="O1007" t="s">
        <v>5714</v>
      </c>
      <c r="P1007" s="46" t="str" cm="1">
        <f t="array" aca="1" ref="P1007" ca="1">IFERROR(_xlfn.XLOOKUP(tblPedidos[[#This Row],[id_dropi]],tblNotas[[#This Row],[id__dropi]],tblNotas[[#This Row],[Notas Manuales]], “”, 0),"")</f>
        <v/>
      </c>
      <c r="Q1007" t="s">
        <v>50</v>
      </c>
      <c r="R1007" t="s">
        <v>2983</v>
      </c>
      <c r="S1007">
        <v>28104.5</v>
      </c>
      <c r="T1007">
        <v>-18345.5</v>
      </c>
      <c r="U1007" cm="1">
        <f t="array" ref="U1007">IFERROR(_xlfn.IFS(tblPedidos[[#This Row],[estado_operativo]]="ENTREGADO",tblPedidos[[#This Row],[ganancia_calc]],tblPedidos[[#This Row],[estado_operativo]]="DEVOLUCION",tblPedidos[[#This Row],[costo_devolucion_estimado]]),0)</f>
        <v>28104.5</v>
      </c>
      <c r="V1007">
        <v>168627</v>
      </c>
      <c r="W1007">
        <v>69900</v>
      </c>
      <c r="X1007">
        <v>18345.5</v>
      </c>
      <c r="Y1007">
        <v>23450</v>
      </c>
      <c r="Z1007" s="11">
        <v>46031</v>
      </c>
      <c r="AA1007">
        <v>13</v>
      </c>
      <c r="AB1007" s="12">
        <v>0.63055555555555554</v>
      </c>
      <c r="AC1007" t="s">
        <v>720</v>
      </c>
      <c r="AD1007" t="s">
        <v>720</v>
      </c>
      <c r="AE1007" t="s">
        <v>720</v>
      </c>
    </row>
    <row r="1008" spans="1:31">
      <c r="A1008" t="s">
        <v>1343</v>
      </c>
      <c r="B1008" t="s">
        <v>2946</v>
      </c>
      <c r="C1008">
        <v>82</v>
      </c>
      <c r="D1008" t="s">
        <v>5715</v>
      </c>
      <c r="E1008" s="11">
        <v>46027</v>
      </c>
      <c r="F1008" t="s">
        <v>5716</v>
      </c>
      <c r="G1008" t="s">
        <v>36</v>
      </c>
      <c r="J1008" t="s">
        <v>720</v>
      </c>
      <c r="K1008" t="s">
        <v>5717</v>
      </c>
      <c r="L1008" t="s">
        <v>322</v>
      </c>
      <c r="M1008" t="s">
        <v>323</v>
      </c>
      <c r="N1008" t="s">
        <v>5718</v>
      </c>
      <c r="O1008" t="s">
        <v>5719</v>
      </c>
      <c r="P1008" s="46" t="str" cm="1">
        <f t="array" aca="1" ref="P1008" ca="1">IFERROR(_xlfn.XLOOKUP(tblPedidos[[#This Row],[id_dropi]],tblNotas[[#This Row],[id__dropi]],tblNotas[[#This Row],[Notas Manuales]], “”, 0),"")</f>
        <v/>
      </c>
      <c r="R1008" t="s">
        <v>3014</v>
      </c>
      <c r="S1008">
        <v>25511.5</v>
      </c>
      <c r="T1008">
        <v>-11990.800000000001</v>
      </c>
      <c r="U1008" cm="1">
        <f t="array" ref="U1008">IFERROR(_xlfn.IFS(tblPedidos[[#This Row],[estado_operativo]]="ENTREGADO",tblPedidos[[#This Row],[ganancia_calc]],tblPedidos[[#This Row],[estado_operativo]]="DEVOLUCION",tblPedidos[[#This Row],[costo_devolucion_estimado]]),0)</f>
        <v>25511.5</v>
      </c>
      <c r="V1008">
        <v>153069</v>
      </c>
      <c r="W1008">
        <v>54900</v>
      </c>
      <c r="X1008">
        <v>14988.5</v>
      </c>
      <c r="Y1008">
        <v>14400</v>
      </c>
      <c r="Z1008" s="11">
        <v>46029</v>
      </c>
      <c r="AA1008">
        <v>15</v>
      </c>
      <c r="AB1008" s="12">
        <v>0.45555555555555555</v>
      </c>
      <c r="AC1008" t="s">
        <v>399</v>
      </c>
      <c r="AD1008" t="s">
        <v>720</v>
      </c>
      <c r="AE1008" t="s">
        <v>720</v>
      </c>
    </row>
    <row r="1009" spans="1:31">
      <c r="A1009" t="s">
        <v>1343</v>
      </c>
      <c r="B1009" t="s">
        <v>2946</v>
      </c>
      <c r="C1009">
        <v>83</v>
      </c>
      <c r="D1009" t="s">
        <v>5720</v>
      </c>
      <c r="E1009" s="11">
        <v>46027</v>
      </c>
      <c r="F1009" t="s">
        <v>5721</v>
      </c>
      <c r="G1009" t="s">
        <v>45</v>
      </c>
      <c r="J1009" t="s">
        <v>720</v>
      </c>
      <c r="K1009" t="s">
        <v>5722</v>
      </c>
      <c r="L1009" t="s">
        <v>54</v>
      </c>
      <c r="M1009" t="s">
        <v>5723</v>
      </c>
      <c r="N1009" t="s">
        <v>5724</v>
      </c>
      <c r="O1009" t="s">
        <v>5725</v>
      </c>
      <c r="P1009" s="46" t="str" cm="1">
        <f t="array" aca="1" ref="P1009" ca="1">IFERROR(_xlfn.XLOOKUP(tblPedidos[[#This Row],[id_dropi]],tblNotas[[#This Row],[id__dropi]],tblNotas[[#This Row],[Notas Manuales]], “”, 0),"")</f>
        <v/>
      </c>
      <c r="Q1009" t="s">
        <v>50</v>
      </c>
      <c r="R1009" t="s">
        <v>3014</v>
      </c>
      <c r="S1009">
        <v>22829.5</v>
      </c>
      <c r="T1009">
        <v>-17670.5</v>
      </c>
      <c r="U1009" cm="1">
        <f t="array" ref="U1009">IFERROR(_xlfn.IFS(tblPedidos[[#This Row],[estado_operativo]]="ENTREGADO",tblPedidos[[#This Row],[ganancia_calc]],tblPedidos[[#This Row],[estado_operativo]]="DEVOLUCION",tblPedidos[[#This Row],[costo_devolucion_estimado]]),0)</f>
        <v>22829.5</v>
      </c>
      <c r="V1009">
        <v>136977</v>
      </c>
      <c r="W1009">
        <v>54900</v>
      </c>
      <c r="X1009">
        <v>17670.5</v>
      </c>
      <c r="Y1009">
        <v>14400</v>
      </c>
      <c r="Z1009" s="11">
        <v>46032</v>
      </c>
      <c r="AA1009">
        <v>12</v>
      </c>
      <c r="AB1009" s="12">
        <v>0.61388888888888893</v>
      </c>
      <c r="AC1009" t="s">
        <v>720</v>
      </c>
      <c r="AD1009" t="s">
        <v>720</v>
      </c>
      <c r="AE1009" t="s">
        <v>720</v>
      </c>
    </row>
    <row r="1010" spans="1:31">
      <c r="A1010" t="s">
        <v>1343</v>
      </c>
      <c r="C1010">
        <v>44</v>
      </c>
      <c r="D1010" t="s">
        <v>5726</v>
      </c>
      <c r="E1010" s="11">
        <v>46026</v>
      </c>
      <c r="F1010" t="s">
        <v>5727</v>
      </c>
      <c r="G1010" t="s">
        <v>45</v>
      </c>
      <c r="J1010" t="s">
        <v>720</v>
      </c>
      <c r="K1010" t="s">
        <v>5728</v>
      </c>
      <c r="L1010" t="s">
        <v>111</v>
      </c>
      <c r="M1010" t="s">
        <v>1391</v>
      </c>
      <c r="N1010" t="s">
        <v>5729</v>
      </c>
      <c r="O1010" t="s">
        <v>5730</v>
      </c>
      <c r="P1010" s="46" t="str" cm="1">
        <f t="array" aca="1" ref="P1010" ca="1">IFERROR(_xlfn.XLOOKUP(tblPedidos[[#This Row],[id_dropi]],tblNotas[[#This Row],[id__dropi]],tblNotas[[#This Row],[Notas Manuales]], “”, 0),"")</f>
        <v/>
      </c>
      <c r="Q1010" t="s">
        <v>50</v>
      </c>
      <c r="R1010" t="s">
        <v>4707</v>
      </c>
      <c r="S1010">
        <v>21879.5</v>
      </c>
      <c r="T1010">
        <v>-19020.5</v>
      </c>
      <c r="U1010" cm="1">
        <f t="array" ref="U1010">IFERROR(_xlfn.IFS(tblPedidos[[#This Row],[estado_operativo]]="ENTREGADO",tblPedidos[[#This Row],[ganancia_calc]],tblPedidos[[#This Row],[estado_operativo]]="DEVOLUCION",tblPedidos[[#This Row],[costo_devolucion_estimado]]),0)</f>
        <v>21879.5</v>
      </c>
      <c r="V1010">
        <v>65638.5</v>
      </c>
      <c r="W1010">
        <v>84900</v>
      </c>
      <c r="X1010">
        <v>19020.5</v>
      </c>
      <c r="Y1010">
        <v>44000</v>
      </c>
      <c r="Z1010" s="11">
        <v>46041</v>
      </c>
      <c r="AA1010">
        <v>3</v>
      </c>
      <c r="AB1010" s="12">
        <v>0.43888888888888888</v>
      </c>
      <c r="AC1010" t="s">
        <v>720</v>
      </c>
      <c r="AD1010" t="s">
        <v>720</v>
      </c>
      <c r="AE1010" t="s">
        <v>720</v>
      </c>
    </row>
    <row r="1011" spans="1:31" ht="30.75">
      <c r="A1011" t="s">
        <v>1343</v>
      </c>
      <c r="B1011" s="46" t="s">
        <v>5731</v>
      </c>
      <c r="C1011">
        <v>43</v>
      </c>
      <c r="D1011" t="s">
        <v>5732</v>
      </c>
      <c r="E1011" s="11">
        <v>46026</v>
      </c>
      <c r="F1011" t="s">
        <v>5733</v>
      </c>
      <c r="G1011" t="s">
        <v>45</v>
      </c>
      <c r="J1011" t="s">
        <v>720</v>
      </c>
      <c r="K1011" t="s">
        <v>5734</v>
      </c>
      <c r="L1011" t="s">
        <v>159</v>
      </c>
      <c r="M1011" t="s">
        <v>160</v>
      </c>
      <c r="N1011" t="s">
        <v>5735</v>
      </c>
      <c r="O1011" t="s">
        <v>5736</v>
      </c>
      <c r="P1011" s="46" t="str" cm="1">
        <f t="array" aca="1" ref="P1011" ca="1">IFERROR(_xlfn.XLOOKUP(tblPedidos[[#This Row],[id_dropi]],tblNotas[[#This Row],[id__dropi]],tblNotas[[#This Row],[Notas Manuales]], “”, 0),"")</f>
        <v/>
      </c>
      <c r="R1011" t="s">
        <v>4707</v>
      </c>
      <c r="S1011">
        <v>21879.5</v>
      </c>
      <c r="T1011">
        <v>-19020.5</v>
      </c>
      <c r="U1011" cm="1">
        <f t="array" ref="U1011">IFERROR(_xlfn.IFS(tblPedidos[[#This Row],[estado_operativo]]="ENTREGADO",tblPedidos[[#This Row],[ganancia_calc]],tblPedidos[[#This Row],[estado_operativo]]="DEVOLUCION",tblPedidos[[#This Row],[costo_devolucion_estimado]]),0)</f>
        <v>21879.5</v>
      </c>
      <c r="V1011">
        <v>131277</v>
      </c>
      <c r="W1011">
        <v>84900</v>
      </c>
      <c r="X1011">
        <v>19020.5</v>
      </c>
      <c r="Y1011">
        <v>44000</v>
      </c>
      <c r="Z1011" s="11">
        <v>46031</v>
      </c>
      <c r="AA1011">
        <v>13</v>
      </c>
      <c r="AB1011" s="12">
        <v>0.61944444444444446</v>
      </c>
      <c r="AC1011" t="s">
        <v>720</v>
      </c>
      <c r="AD1011" t="s">
        <v>720</v>
      </c>
      <c r="AE1011" t="s">
        <v>720</v>
      </c>
    </row>
    <row r="1012" spans="1:31">
      <c r="A1012" t="s">
        <v>33</v>
      </c>
      <c r="C1012">
        <v>46</v>
      </c>
      <c r="D1012" t="s">
        <v>5737</v>
      </c>
      <c r="E1012" s="11">
        <v>46026</v>
      </c>
      <c r="F1012" t="s">
        <v>5738</v>
      </c>
      <c r="G1012" t="s">
        <v>45</v>
      </c>
      <c r="J1012" t="s">
        <v>522</v>
      </c>
      <c r="K1012" t="s">
        <v>5739</v>
      </c>
      <c r="L1012" t="s">
        <v>545</v>
      </c>
      <c r="M1012" t="s">
        <v>4080</v>
      </c>
      <c r="N1012" t="s">
        <v>4081</v>
      </c>
      <c r="O1012" t="s">
        <v>5740</v>
      </c>
      <c r="P1012" s="46" t="str" cm="1">
        <f t="array" aca="1" ref="P1012" ca="1">IFERROR(_xlfn.XLOOKUP(tblPedidos[[#This Row],[id_dropi]],tblNotas[[#This Row],[id__dropi]],tblNotas[[#This Row],[Notas Manuales]], “”, 0),"")</f>
        <v/>
      </c>
      <c r="Q1012" t="s">
        <v>50</v>
      </c>
      <c r="R1012" t="s">
        <v>5245</v>
      </c>
      <c r="S1012">
        <v>20004.5</v>
      </c>
      <c r="T1012">
        <v>-17895.5</v>
      </c>
      <c r="U1012" cm="1">
        <f t="array" ref="U1012">IFERROR(_xlfn.IFS(tblPedidos[[#This Row],[estado_operativo]]="ENTREGADO",tblPedidos[[#This Row],[ganancia_calc]],tblPedidos[[#This Row],[estado_operativo]]="DEVOLUCION",tblPedidos[[#This Row],[costo_devolucion_estimado]]),0)</f>
        <v>0</v>
      </c>
      <c r="V1012">
        <v>0</v>
      </c>
      <c r="W1012">
        <v>59900</v>
      </c>
      <c r="X1012">
        <v>17895.5</v>
      </c>
      <c r="Y1012">
        <v>22000</v>
      </c>
      <c r="Z1012" s="11">
        <v>46043</v>
      </c>
      <c r="AA1012">
        <v>1</v>
      </c>
      <c r="AB1012" s="12">
        <v>0.43888888888888888</v>
      </c>
      <c r="AC1012" t="s">
        <v>716</v>
      </c>
      <c r="AD1012" t="s">
        <v>717</v>
      </c>
      <c r="AE1012" t="s">
        <v>522</v>
      </c>
    </row>
    <row r="1013" spans="1:31" ht="60.75">
      <c r="A1013" t="s">
        <v>33</v>
      </c>
      <c r="C1013">
        <v>45</v>
      </c>
      <c r="D1013" t="s">
        <v>5741</v>
      </c>
      <c r="E1013" s="11">
        <v>46026</v>
      </c>
      <c r="F1013" t="s">
        <v>5742</v>
      </c>
      <c r="G1013" t="s">
        <v>45</v>
      </c>
      <c r="J1013" t="s">
        <v>1371</v>
      </c>
      <c r="K1013">
        <v>240043436969</v>
      </c>
      <c r="L1013" t="s">
        <v>81</v>
      </c>
      <c r="M1013" t="s">
        <v>5743</v>
      </c>
      <c r="N1013" t="s">
        <v>5744</v>
      </c>
      <c r="O1013" t="s">
        <v>5745</v>
      </c>
      <c r="P1013" s="46" t="s">
        <v>5746</v>
      </c>
      <c r="Q1013" t="s">
        <v>50</v>
      </c>
      <c r="R1013" t="s">
        <v>4707</v>
      </c>
      <c r="S1013">
        <v>26654.5</v>
      </c>
      <c r="T1013">
        <v>-19245.5</v>
      </c>
      <c r="U1013" cm="1">
        <f t="array" ref="U1013">IFERROR(_xlfn.IFS(tblPedidos[[#This Row],[estado_operativo]]="ENTREGADO",tblPedidos[[#This Row],[ganancia_calc]],tblPedidos[[#This Row],[estado_operativo]]="DEVOLUCION",tblPedidos[[#This Row],[costo_devolucion_estimado]]),0)</f>
        <v>0</v>
      </c>
      <c r="V1013">
        <v>0</v>
      </c>
      <c r="W1013">
        <v>89900</v>
      </c>
      <c r="X1013">
        <v>19245.5</v>
      </c>
      <c r="Y1013">
        <v>44000</v>
      </c>
      <c r="Z1013" s="11">
        <v>46043</v>
      </c>
      <c r="AA1013">
        <v>1</v>
      </c>
      <c r="AB1013" s="12">
        <v>0.43819444444444444</v>
      </c>
      <c r="AC1013" t="s">
        <v>982</v>
      </c>
      <c r="AD1013" t="s">
        <v>982</v>
      </c>
      <c r="AE1013" t="s">
        <v>1371</v>
      </c>
    </row>
    <row r="1014" spans="1:31" ht="30.75">
      <c r="A1014" t="s">
        <v>1343</v>
      </c>
      <c r="B1014" s="46" t="s">
        <v>5731</v>
      </c>
      <c r="C1014">
        <v>42</v>
      </c>
      <c r="D1014" t="s">
        <v>5747</v>
      </c>
      <c r="E1014" s="11">
        <v>46026</v>
      </c>
      <c r="F1014" t="s">
        <v>5748</v>
      </c>
      <c r="G1014" t="s">
        <v>958</v>
      </c>
      <c r="J1014" t="s">
        <v>720</v>
      </c>
      <c r="K1014" t="s">
        <v>5749</v>
      </c>
      <c r="L1014" t="s">
        <v>54</v>
      </c>
      <c r="M1014" t="s">
        <v>373</v>
      </c>
      <c r="N1014" t="s">
        <v>5750</v>
      </c>
      <c r="O1014" t="s">
        <v>5751</v>
      </c>
      <c r="P1014" s="46" t="str" cm="1">
        <f t="array" aca="1" ref="P1014" ca="1">IFERROR(_xlfn.XLOOKUP(tblPedidos[[#This Row],[id_dropi]],tblNotas[[#This Row],[id__dropi]],tblNotas[[#This Row],[Notas Manuales]], “”, 0),"")</f>
        <v/>
      </c>
      <c r="R1014" t="s">
        <v>5752</v>
      </c>
      <c r="S1014">
        <v>5720</v>
      </c>
      <c r="T1014">
        <v>-11424</v>
      </c>
      <c r="U1014" cm="1">
        <f t="array" ref="U1014">IFERROR(_xlfn.IFS(tblPedidos[[#This Row],[estado_operativo]]="ENTREGADO",tblPedidos[[#This Row],[ganancia_calc]],tblPedidos[[#This Row],[estado_operativo]]="DEVOLUCION",tblPedidos[[#This Row],[costo_devolucion_estimado]]),0)</f>
        <v>5720</v>
      </c>
      <c r="V1014">
        <v>34320</v>
      </c>
      <c r="W1014">
        <v>108000</v>
      </c>
      <c r="X1014">
        <v>14280</v>
      </c>
      <c r="Y1014">
        <v>88000</v>
      </c>
      <c r="Z1014" s="11">
        <v>46034</v>
      </c>
      <c r="AA1014">
        <v>10</v>
      </c>
      <c r="AB1014" s="12">
        <v>0.85347222222222219</v>
      </c>
      <c r="AC1014" t="s">
        <v>720</v>
      </c>
      <c r="AD1014" t="s">
        <v>720</v>
      </c>
      <c r="AE1014" t="s">
        <v>720</v>
      </c>
    </row>
    <row r="1015" spans="1:31" ht="30.75">
      <c r="A1015" t="s">
        <v>1343</v>
      </c>
      <c r="B1015" s="46" t="s">
        <v>5731</v>
      </c>
      <c r="C1015">
        <v>39</v>
      </c>
      <c r="D1015" t="s">
        <v>5753</v>
      </c>
      <c r="E1015" s="11">
        <v>46026</v>
      </c>
      <c r="F1015" t="s">
        <v>5754</v>
      </c>
      <c r="G1015" t="s">
        <v>45</v>
      </c>
      <c r="J1015" t="s">
        <v>720</v>
      </c>
      <c r="K1015" t="s">
        <v>5755</v>
      </c>
      <c r="L1015" t="s">
        <v>46</v>
      </c>
      <c r="M1015" t="s">
        <v>100</v>
      </c>
      <c r="N1015" t="s">
        <v>5756</v>
      </c>
      <c r="O1015" t="s">
        <v>5757</v>
      </c>
      <c r="P1015" s="46" t="str" cm="1">
        <f t="array" aca="1" ref="P1015" ca="1">IFERROR(_xlfn.XLOOKUP(tblPedidos[[#This Row],[id_dropi]],tblNotas[[#This Row],[id__dropi]],tblNotas[[#This Row],[Notas Manuales]], “”, 0),"")</f>
        <v/>
      </c>
      <c r="R1015" t="s">
        <v>4707</v>
      </c>
      <c r="S1015">
        <v>27829.5</v>
      </c>
      <c r="T1015">
        <v>-13070.5</v>
      </c>
      <c r="U1015" cm="1">
        <f t="array" ref="U1015">IFERROR(_xlfn.IFS(tblPedidos[[#This Row],[estado_operativo]]="ENTREGADO",tblPedidos[[#This Row],[ganancia_calc]],tblPedidos[[#This Row],[estado_operativo]]="DEVOLUCION",tblPedidos[[#This Row],[costo_devolucion_estimado]]),0)</f>
        <v>27829.5</v>
      </c>
      <c r="V1015">
        <v>166977</v>
      </c>
      <c r="W1015">
        <v>84900</v>
      </c>
      <c r="X1015">
        <v>13070.5</v>
      </c>
      <c r="Y1015">
        <v>44000</v>
      </c>
      <c r="Z1015" s="11">
        <v>46030</v>
      </c>
      <c r="AA1015">
        <v>14</v>
      </c>
      <c r="AB1015" s="12">
        <v>5.2083333333333336E-2</v>
      </c>
      <c r="AC1015" t="s">
        <v>720</v>
      </c>
      <c r="AD1015" t="s">
        <v>720</v>
      </c>
      <c r="AE1015" t="s">
        <v>720</v>
      </c>
    </row>
    <row r="1016" spans="1:31" ht="30.75">
      <c r="A1016" t="s">
        <v>1343</v>
      </c>
      <c r="B1016" s="46" t="s">
        <v>5731</v>
      </c>
      <c r="C1016">
        <v>38</v>
      </c>
      <c r="D1016" t="s">
        <v>5758</v>
      </c>
      <c r="E1016" s="11">
        <v>46026</v>
      </c>
      <c r="F1016" t="s">
        <v>5759</v>
      </c>
      <c r="G1016" t="s">
        <v>36</v>
      </c>
      <c r="J1016" t="s">
        <v>720</v>
      </c>
      <c r="K1016" t="s">
        <v>5760</v>
      </c>
      <c r="L1016" t="s">
        <v>166</v>
      </c>
      <c r="M1016" t="s">
        <v>1748</v>
      </c>
      <c r="N1016" t="s">
        <v>5761</v>
      </c>
      <c r="O1016" t="s">
        <v>5762</v>
      </c>
      <c r="P1016" s="46" t="str" cm="1">
        <f t="array" aca="1" ref="P1016" ca="1">IFERROR(_xlfn.XLOOKUP(tblPedidos[[#This Row],[id_dropi]],tblNotas[[#This Row],[id__dropi]],tblNotas[[#This Row],[Notas Manuales]], “”, 0),"")</f>
        <v/>
      </c>
      <c r="R1016" t="s">
        <v>4707</v>
      </c>
      <c r="S1016">
        <v>24561.5</v>
      </c>
      <c r="T1016">
        <v>-13070.800000000001</v>
      </c>
      <c r="U1016" cm="1">
        <f t="array" ref="U1016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16">
        <v>147369</v>
      </c>
      <c r="W1016">
        <v>84900</v>
      </c>
      <c r="X1016">
        <v>16338.5</v>
      </c>
      <c r="Y1016">
        <v>44000</v>
      </c>
      <c r="Z1016" s="11">
        <v>46028</v>
      </c>
      <c r="AA1016">
        <v>16</v>
      </c>
      <c r="AB1016" s="12">
        <v>0.71875</v>
      </c>
      <c r="AC1016" t="s">
        <v>399</v>
      </c>
      <c r="AD1016" t="s">
        <v>720</v>
      </c>
      <c r="AE1016" t="s">
        <v>720</v>
      </c>
    </row>
    <row r="1017" spans="1:31">
      <c r="A1017" t="s">
        <v>33</v>
      </c>
      <c r="C1017">
        <v>41</v>
      </c>
      <c r="D1017" t="s">
        <v>5763</v>
      </c>
      <c r="E1017" s="11">
        <v>46026</v>
      </c>
      <c r="F1017" t="s">
        <v>5764</v>
      </c>
      <c r="G1017" t="s">
        <v>45</v>
      </c>
      <c r="J1017" t="s">
        <v>1090</v>
      </c>
      <c r="L1017" t="s">
        <v>46</v>
      </c>
      <c r="M1017" t="s">
        <v>100</v>
      </c>
      <c r="N1017" t="s">
        <v>5563</v>
      </c>
      <c r="O1017" t="s">
        <v>5564</v>
      </c>
      <c r="P1017" s="46" t="str" cm="1">
        <f t="array" aca="1" ref="P1017" ca="1">IFERROR(_xlfn.XLOOKUP(tblPedidos[[#This Row],[id_dropi]],tblNotas[[#This Row],[id__dropi]],tblNotas[[#This Row],[Notas Manuales]], “”, 0),"")</f>
        <v/>
      </c>
      <c r="R1017" t="s">
        <v>4707</v>
      </c>
      <c r="S1017">
        <v>27829.5</v>
      </c>
      <c r="T1017">
        <v>-13070.5</v>
      </c>
      <c r="U1017" cm="1">
        <f t="array" ref="U1017">IFERROR(_xlfn.IFS(tblPedidos[[#This Row],[estado_operativo]]="ENTREGADO",tblPedidos[[#This Row],[ganancia_calc]],tblPedidos[[#This Row],[estado_operativo]]="DEVOLUCION",tblPedidos[[#This Row],[costo_devolucion_estimado]]),0)</f>
        <v>0</v>
      </c>
      <c r="V1017">
        <v>0</v>
      </c>
      <c r="W1017">
        <v>84900</v>
      </c>
      <c r="X1017">
        <v>13070.5</v>
      </c>
      <c r="Y1017">
        <v>44000</v>
      </c>
      <c r="Z1017" s="11">
        <v>46027</v>
      </c>
      <c r="AA1017">
        <v>17</v>
      </c>
      <c r="AB1017" s="12">
        <v>0.52569444444444446</v>
      </c>
      <c r="AC1017" t="s">
        <v>2146</v>
      </c>
      <c r="AD1017" t="s">
        <v>2146</v>
      </c>
      <c r="AE1017" t="s">
        <v>1090</v>
      </c>
    </row>
    <row r="1018" spans="1:31" ht="30.75">
      <c r="A1018" t="s">
        <v>1343</v>
      </c>
      <c r="B1018" s="46" t="s">
        <v>5731</v>
      </c>
      <c r="C1018">
        <v>40</v>
      </c>
      <c r="D1018" t="s">
        <v>5765</v>
      </c>
      <c r="E1018" s="11">
        <v>46026</v>
      </c>
      <c r="F1018" t="s">
        <v>5766</v>
      </c>
      <c r="G1018" t="s">
        <v>45</v>
      </c>
      <c r="J1018" t="s">
        <v>720</v>
      </c>
      <c r="K1018" t="s">
        <v>5767</v>
      </c>
      <c r="L1018" t="s">
        <v>46</v>
      </c>
      <c r="M1018" t="s">
        <v>100</v>
      </c>
      <c r="N1018" t="s">
        <v>5768</v>
      </c>
      <c r="O1018" t="s">
        <v>5769</v>
      </c>
      <c r="P1018" s="46" t="str" cm="1">
        <f t="array" aca="1" ref="P1018" ca="1">IFERROR(_xlfn.XLOOKUP(tblPedidos[[#This Row],[id_dropi]],tblNotas[[#This Row],[id__dropi]],tblNotas[[#This Row],[Notas Manuales]], “”, 0),"")</f>
        <v/>
      </c>
      <c r="R1018" t="s">
        <v>4707</v>
      </c>
      <c r="S1018">
        <v>32604.5</v>
      </c>
      <c r="T1018">
        <v>-13295.5</v>
      </c>
      <c r="U1018" cm="1">
        <f t="array" ref="U1018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18">
        <v>195627</v>
      </c>
      <c r="W1018">
        <v>89900</v>
      </c>
      <c r="X1018">
        <v>13295.5</v>
      </c>
      <c r="Y1018">
        <v>44000</v>
      </c>
      <c r="Z1018" s="11">
        <v>46029</v>
      </c>
      <c r="AA1018">
        <v>15</v>
      </c>
      <c r="AB1018" s="12">
        <v>0.62569444444444444</v>
      </c>
      <c r="AC1018" t="s">
        <v>720</v>
      </c>
      <c r="AD1018" t="s">
        <v>720</v>
      </c>
      <c r="AE1018" t="s">
        <v>720</v>
      </c>
    </row>
    <row r="1019" spans="1:31" ht="30.75">
      <c r="A1019" t="s">
        <v>1343</v>
      </c>
      <c r="B1019" s="46" t="s">
        <v>5731</v>
      </c>
      <c r="C1019">
        <v>47</v>
      </c>
      <c r="D1019" t="s">
        <v>5770</v>
      </c>
      <c r="E1019" s="11">
        <v>46026</v>
      </c>
      <c r="F1019" t="s">
        <v>5771</v>
      </c>
      <c r="G1019" t="s">
        <v>45</v>
      </c>
      <c r="J1019" t="s">
        <v>720</v>
      </c>
      <c r="K1019" t="s">
        <v>5772</v>
      </c>
      <c r="L1019" t="s">
        <v>46</v>
      </c>
      <c r="M1019" t="s">
        <v>100</v>
      </c>
      <c r="N1019" t="s">
        <v>5773</v>
      </c>
      <c r="O1019" t="s">
        <v>5774</v>
      </c>
      <c r="P1019" s="46" t="str" cm="1">
        <f t="array" aca="1" ref="P1019" ca="1">IFERROR(_xlfn.XLOOKUP(tblPedidos[[#This Row],[id_dropi]],tblNotas[[#This Row],[id__dropi]],tblNotas[[#This Row],[Notas Manuales]], “”, 0),"")</f>
        <v/>
      </c>
      <c r="R1019" t="s">
        <v>5245</v>
      </c>
      <c r="S1019">
        <v>25954.5</v>
      </c>
      <c r="T1019">
        <v>-11945.5</v>
      </c>
      <c r="U1019" cm="1">
        <f t="array" ref="U1019">IFERROR(_xlfn.IFS(tblPedidos[[#This Row],[estado_operativo]]="ENTREGADO",tblPedidos[[#This Row],[ganancia_calc]],tblPedidos[[#This Row],[estado_operativo]]="DEVOLUCION",tblPedidos[[#This Row],[costo_devolucion_estimado]]),0)</f>
        <v>25954.5</v>
      </c>
      <c r="V1019">
        <v>155727</v>
      </c>
      <c r="W1019">
        <v>59900</v>
      </c>
      <c r="X1019">
        <v>11945.5</v>
      </c>
      <c r="Y1019">
        <v>22000</v>
      </c>
      <c r="Z1019" s="11">
        <v>46029</v>
      </c>
      <c r="AA1019">
        <v>15</v>
      </c>
      <c r="AB1019" s="12">
        <v>0.62569444444444444</v>
      </c>
      <c r="AC1019" t="s">
        <v>720</v>
      </c>
      <c r="AD1019" t="s">
        <v>720</v>
      </c>
      <c r="AE1019" t="s">
        <v>720</v>
      </c>
    </row>
    <row r="1020" spans="1:31" ht="30.75">
      <c r="A1020" t="s">
        <v>1343</v>
      </c>
      <c r="B1020" s="46" t="s">
        <v>5731</v>
      </c>
      <c r="C1020">
        <v>54</v>
      </c>
      <c r="D1020" t="s">
        <v>5775</v>
      </c>
      <c r="E1020" s="11">
        <v>46026</v>
      </c>
      <c r="F1020" t="s">
        <v>5776</v>
      </c>
      <c r="G1020" t="s">
        <v>45</v>
      </c>
      <c r="J1020" t="s">
        <v>720</v>
      </c>
      <c r="K1020" t="s">
        <v>5777</v>
      </c>
      <c r="L1020" t="s">
        <v>545</v>
      </c>
      <c r="M1020" t="s">
        <v>5778</v>
      </c>
      <c r="N1020" t="s">
        <v>5779</v>
      </c>
      <c r="O1020" t="s">
        <v>5780</v>
      </c>
      <c r="P1020" s="46" t="str" cm="1">
        <f t="array" aca="1" ref="P1020" ca="1">IFERROR(_xlfn.XLOOKUP(tblPedidos[[#This Row],[id_dropi]],tblNotas[[#This Row],[id__dropi]],tblNotas[[#This Row],[Notas Manuales]], “”, 0),"")</f>
        <v/>
      </c>
      <c r="Q1020" t="s">
        <v>50</v>
      </c>
      <c r="R1020" t="s">
        <v>4707</v>
      </c>
      <c r="S1020">
        <v>26654.5</v>
      </c>
      <c r="T1020">
        <v>-19245.5</v>
      </c>
      <c r="U1020" cm="1">
        <f t="array" ref="U1020">IFERROR(_xlfn.IFS(tblPedidos[[#This Row],[estado_operativo]]="ENTREGADO",tblPedidos[[#This Row],[ganancia_calc]],tblPedidos[[#This Row],[estado_operativo]]="DEVOLUCION",tblPedidos[[#This Row],[costo_devolucion_estimado]]),0)</f>
        <v>26654.5</v>
      </c>
      <c r="V1020">
        <v>159927</v>
      </c>
      <c r="W1020">
        <v>89900</v>
      </c>
      <c r="X1020">
        <v>19245.5</v>
      </c>
      <c r="Y1020">
        <v>44000</v>
      </c>
      <c r="Z1020" s="11">
        <v>46031</v>
      </c>
      <c r="AA1020">
        <v>13</v>
      </c>
      <c r="AB1020" s="12">
        <v>0.62222222222222223</v>
      </c>
      <c r="AC1020" t="s">
        <v>720</v>
      </c>
      <c r="AD1020" t="s">
        <v>720</v>
      </c>
      <c r="AE1020" t="s">
        <v>720</v>
      </c>
    </row>
    <row r="1021" spans="1:31" ht="30.75">
      <c r="A1021" t="s">
        <v>1343</v>
      </c>
      <c r="B1021" s="46" t="s">
        <v>5731</v>
      </c>
      <c r="C1021">
        <v>53</v>
      </c>
      <c r="D1021" t="s">
        <v>5781</v>
      </c>
      <c r="E1021" s="11">
        <v>46026</v>
      </c>
      <c r="F1021" t="s">
        <v>5782</v>
      </c>
      <c r="G1021" t="s">
        <v>45</v>
      </c>
      <c r="J1021" t="s">
        <v>720</v>
      </c>
      <c r="K1021" t="s">
        <v>5783</v>
      </c>
      <c r="L1021" t="s">
        <v>46</v>
      </c>
      <c r="M1021" t="s">
        <v>100</v>
      </c>
      <c r="N1021" t="s">
        <v>5784</v>
      </c>
      <c r="O1021" t="s">
        <v>5785</v>
      </c>
      <c r="P1021" s="46" t="str" cm="1">
        <f t="array" aca="1" ref="P1021" ca="1">IFERROR(_xlfn.XLOOKUP(tblPedidos[[#This Row],[id_dropi]],tblNotas[[#This Row],[id__dropi]],tblNotas[[#This Row],[Notas Manuales]], “”, 0),"")</f>
        <v/>
      </c>
      <c r="R1021" t="s">
        <v>4707</v>
      </c>
      <c r="S1021">
        <v>32604.5</v>
      </c>
      <c r="T1021">
        <v>-13295.5</v>
      </c>
      <c r="U1021" cm="1">
        <f t="array" ref="U1021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21">
        <v>195627</v>
      </c>
      <c r="W1021">
        <v>89900</v>
      </c>
      <c r="X1021">
        <v>13295.5</v>
      </c>
      <c r="Y1021">
        <v>44000</v>
      </c>
      <c r="Z1021" s="11">
        <v>46030</v>
      </c>
      <c r="AA1021">
        <v>14</v>
      </c>
      <c r="AB1021" s="12">
        <v>5.4166666666666669E-2</v>
      </c>
      <c r="AC1021" t="s">
        <v>720</v>
      </c>
      <c r="AD1021" t="s">
        <v>720</v>
      </c>
      <c r="AE1021" t="s">
        <v>720</v>
      </c>
    </row>
    <row r="1022" spans="1:31" ht="30.75">
      <c r="A1022" t="s">
        <v>1343</v>
      </c>
      <c r="B1022" s="46" t="s">
        <v>5731</v>
      </c>
      <c r="C1022">
        <v>56</v>
      </c>
      <c r="D1022" t="s">
        <v>5786</v>
      </c>
      <c r="E1022" s="11">
        <v>46026</v>
      </c>
      <c r="F1022" t="s">
        <v>5787</v>
      </c>
      <c r="G1022" t="s">
        <v>45</v>
      </c>
      <c r="J1022" t="s">
        <v>720</v>
      </c>
      <c r="K1022" t="s">
        <v>5788</v>
      </c>
      <c r="L1022" t="s">
        <v>427</v>
      </c>
      <c r="M1022" t="s">
        <v>634</v>
      </c>
      <c r="N1022" t="s">
        <v>5789</v>
      </c>
      <c r="O1022" t="s">
        <v>5790</v>
      </c>
      <c r="P1022" s="46" t="str" cm="1">
        <f t="array" aca="1" ref="P1022" ca="1">IFERROR(_xlfn.XLOOKUP(tblPedidos[[#This Row],[id_dropi]],tblNotas[[#This Row],[id__dropi]],tblNotas[[#This Row],[Notas Manuales]], “”, 0),"")</f>
        <v/>
      </c>
      <c r="Q1022" t="s">
        <v>5791</v>
      </c>
      <c r="R1022" t="s">
        <v>4707</v>
      </c>
      <c r="S1022">
        <v>31204.5</v>
      </c>
      <c r="T1022">
        <v>-14695.5</v>
      </c>
      <c r="U1022" cm="1">
        <f t="array" ref="U1022">IFERROR(_xlfn.IFS(tblPedidos[[#This Row],[estado_operativo]]="ENTREGADO",tblPedidos[[#This Row],[ganancia_calc]],tblPedidos[[#This Row],[estado_operativo]]="DEVOLUCION",tblPedidos[[#This Row],[costo_devolucion_estimado]]),0)</f>
        <v>31204.5</v>
      </c>
      <c r="V1022">
        <v>187227</v>
      </c>
      <c r="W1022">
        <v>89900</v>
      </c>
      <c r="X1022">
        <v>14695.5</v>
      </c>
      <c r="Y1022">
        <v>44000</v>
      </c>
      <c r="Z1022" s="11">
        <v>46029</v>
      </c>
      <c r="AA1022">
        <v>15</v>
      </c>
      <c r="AB1022" s="12">
        <v>0.62083333333333335</v>
      </c>
      <c r="AC1022" t="s">
        <v>720</v>
      </c>
      <c r="AD1022" t="s">
        <v>720</v>
      </c>
      <c r="AE1022" t="s">
        <v>720</v>
      </c>
    </row>
    <row r="1023" spans="1:31">
      <c r="A1023" t="s">
        <v>1343</v>
      </c>
      <c r="B1023" t="s">
        <v>2946</v>
      </c>
      <c r="C1023">
        <v>55</v>
      </c>
      <c r="D1023" t="s">
        <v>5792</v>
      </c>
      <c r="E1023" s="11">
        <v>46026</v>
      </c>
      <c r="F1023" t="s">
        <v>5793</v>
      </c>
      <c r="G1023" t="s">
        <v>36</v>
      </c>
      <c r="J1023" t="s">
        <v>720</v>
      </c>
      <c r="K1023" t="s">
        <v>5794</v>
      </c>
      <c r="L1023" t="s">
        <v>87</v>
      </c>
      <c r="M1023" t="s">
        <v>743</v>
      </c>
      <c r="N1023" t="s">
        <v>5795</v>
      </c>
      <c r="O1023" t="s">
        <v>5796</v>
      </c>
      <c r="P1023" s="46" t="str" cm="1">
        <f t="array" aca="1" ref="P1023" ca="1">IFERROR(_xlfn.XLOOKUP(tblPedidos[[#This Row],[id_dropi]],tblNotas[[#This Row],[id__dropi]],tblNotas[[#This Row],[Notas Manuales]], “”, 0),"")</f>
        <v/>
      </c>
      <c r="R1023" t="s">
        <v>4707</v>
      </c>
      <c r="S1023">
        <v>24561.5</v>
      </c>
      <c r="T1023">
        <v>-13070.800000000001</v>
      </c>
      <c r="U1023" cm="1">
        <f t="array" ref="U1023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23">
        <v>147369</v>
      </c>
      <c r="W1023">
        <v>84900</v>
      </c>
      <c r="X1023">
        <v>16338.5</v>
      </c>
      <c r="Y1023">
        <v>44000</v>
      </c>
      <c r="Z1023" s="11">
        <v>46028</v>
      </c>
      <c r="AA1023">
        <v>16</v>
      </c>
      <c r="AB1023" s="12">
        <v>0.81874999999999998</v>
      </c>
      <c r="AC1023" t="s">
        <v>399</v>
      </c>
      <c r="AD1023" t="s">
        <v>720</v>
      </c>
      <c r="AE1023" t="s">
        <v>720</v>
      </c>
    </row>
    <row r="1024" spans="1:31" ht="30.75">
      <c r="A1024" t="s">
        <v>1343</v>
      </c>
      <c r="B1024" s="46" t="s">
        <v>5731</v>
      </c>
      <c r="C1024">
        <v>52</v>
      </c>
      <c r="D1024" t="s">
        <v>5797</v>
      </c>
      <c r="E1024" s="11">
        <v>46026</v>
      </c>
      <c r="F1024" t="s">
        <v>5798</v>
      </c>
      <c r="G1024" t="s">
        <v>45</v>
      </c>
      <c r="J1024" t="s">
        <v>720</v>
      </c>
      <c r="K1024" t="s">
        <v>5799</v>
      </c>
      <c r="L1024" t="s">
        <v>46</v>
      </c>
      <c r="M1024" t="s">
        <v>94</v>
      </c>
      <c r="N1024" t="s">
        <v>5800</v>
      </c>
      <c r="O1024" t="s">
        <v>5801</v>
      </c>
      <c r="P1024" s="46" t="str" cm="1">
        <f t="array" aca="1" ref="P1024" ca="1">IFERROR(_xlfn.XLOOKUP(tblPedidos[[#This Row],[id_dropi]],tblNotas[[#This Row],[id__dropi]],tblNotas[[#This Row],[Notas Manuales]], “”, 0),"")</f>
        <v/>
      </c>
      <c r="R1024" t="s">
        <v>4707</v>
      </c>
      <c r="S1024">
        <v>32604.5</v>
      </c>
      <c r="T1024">
        <v>-13295.5</v>
      </c>
      <c r="U1024" cm="1">
        <f t="array" ref="U1024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24">
        <v>195627</v>
      </c>
      <c r="W1024">
        <v>89900</v>
      </c>
      <c r="X1024">
        <v>13295.5</v>
      </c>
      <c r="Y1024">
        <v>44000</v>
      </c>
      <c r="Z1024" s="11">
        <v>46029</v>
      </c>
      <c r="AA1024">
        <v>15</v>
      </c>
      <c r="AB1024" s="12">
        <v>0.62083333333333335</v>
      </c>
      <c r="AC1024" t="s">
        <v>720</v>
      </c>
      <c r="AD1024" t="s">
        <v>720</v>
      </c>
      <c r="AE1024" t="s">
        <v>720</v>
      </c>
    </row>
    <row r="1025" spans="1:31" ht="30.75">
      <c r="A1025" t="s">
        <v>1343</v>
      </c>
      <c r="B1025" s="46" t="s">
        <v>5731</v>
      </c>
      <c r="C1025">
        <v>49</v>
      </c>
      <c r="D1025" t="s">
        <v>5802</v>
      </c>
      <c r="E1025" s="11">
        <v>46026</v>
      </c>
      <c r="F1025" t="s">
        <v>5803</v>
      </c>
      <c r="G1025" t="s">
        <v>45</v>
      </c>
      <c r="J1025" t="s">
        <v>720</v>
      </c>
      <c r="K1025" t="s">
        <v>5804</v>
      </c>
      <c r="L1025" t="s">
        <v>1003</v>
      </c>
      <c r="M1025" t="s">
        <v>5805</v>
      </c>
      <c r="N1025" t="s">
        <v>5806</v>
      </c>
      <c r="O1025" t="s">
        <v>5807</v>
      </c>
      <c r="P1025" s="46" t="str" cm="1">
        <f t="array" aca="1" ref="P1025" ca="1">IFERROR(_xlfn.XLOOKUP(tblPedidos[[#This Row],[id_dropi]],tblNotas[[#This Row],[id__dropi]],tblNotas[[#This Row],[Notas Manuales]], “”, 0),"")</f>
        <v/>
      </c>
      <c r="Q1025" t="s">
        <v>50</v>
      </c>
      <c r="R1025" t="s">
        <v>4707</v>
      </c>
      <c r="S1025">
        <v>26654.5</v>
      </c>
      <c r="T1025">
        <v>-19245.5</v>
      </c>
      <c r="U1025" cm="1">
        <f t="array" ref="U1025">IFERROR(_xlfn.IFS(tblPedidos[[#This Row],[estado_operativo]]="ENTREGADO",tblPedidos[[#This Row],[ganancia_calc]],tblPedidos[[#This Row],[estado_operativo]]="DEVOLUCION",tblPedidos[[#This Row],[costo_devolucion_estimado]]),0)</f>
        <v>26654.5</v>
      </c>
      <c r="V1025">
        <v>159927</v>
      </c>
      <c r="W1025">
        <v>89900</v>
      </c>
      <c r="X1025">
        <v>19245.5</v>
      </c>
      <c r="Y1025">
        <v>44000</v>
      </c>
      <c r="Z1025" s="11">
        <v>46036</v>
      </c>
      <c r="AA1025">
        <v>8</v>
      </c>
      <c r="AB1025" s="12">
        <v>0.51875000000000004</v>
      </c>
      <c r="AC1025" t="s">
        <v>720</v>
      </c>
      <c r="AD1025" t="s">
        <v>720</v>
      </c>
      <c r="AE1025" t="s">
        <v>720</v>
      </c>
    </row>
    <row r="1026" spans="1:31" ht="30.75">
      <c r="A1026" t="s">
        <v>1343</v>
      </c>
      <c r="B1026" s="46" t="s">
        <v>5731</v>
      </c>
      <c r="C1026">
        <v>48</v>
      </c>
      <c r="D1026" t="s">
        <v>5808</v>
      </c>
      <c r="E1026" s="11">
        <v>46026</v>
      </c>
      <c r="F1026" t="s">
        <v>5809</v>
      </c>
      <c r="G1026" t="s">
        <v>45</v>
      </c>
      <c r="J1026" t="s">
        <v>720</v>
      </c>
      <c r="K1026" t="s">
        <v>5810</v>
      </c>
      <c r="L1026" t="s">
        <v>46</v>
      </c>
      <c r="M1026" t="s">
        <v>100</v>
      </c>
      <c r="N1026" t="s">
        <v>5811</v>
      </c>
      <c r="O1026" t="s">
        <v>5812</v>
      </c>
      <c r="P1026" s="46" t="str" cm="1">
        <f t="array" aca="1" ref="P1026" ca="1">IFERROR(_xlfn.XLOOKUP(tblPedidos[[#This Row],[id_dropi]],tblNotas[[#This Row],[id__dropi]],tblNotas[[#This Row],[Notas Manuales]], “”, 0),"")</f>
        <v/>
      </c>
      <c r="R1026" t="s">
        <v>4707</v>
      </c>
      <c r="S1026">
        <v>27829.5</v>
      </c>
      <c r="T1026">
        <v>-13070.5</v>
      </c>
      <c r="U1026" cm="1">
        <f t="array" ref="U1026">IFERROR(_xlfn.IFS(tblPedidos[[#This Row],[estado_operativo]]="ENTREGADO",tblPedidos[[#This Row],[ganancia_calc]],tblPedidos[[#This Row],[estado_operativo]]="DEVOLUCION",tblPedidos[[#This Row],[costo_devolucion_estimado]]),0)</f>
        <v>27829.5</v>
      </c>
      <c r="V1026">
        <v>166977</v>
      </c>
      <c r="W1026">
        <v>84900</v>
      </c>
      <c r="X1026">
        <v>13070.5</v>
      </c>
      <c r="Y1026">
        <v>44000</v>
      </c>
      <c r="Z1026" s="11">
        <v>46030</v>
      </c>
      <c r="AA1026">
        <v>14</v>
      </c>
      <c r="AB1026" s="12">
        <v>5.4166666666666669E-2</v>
      </c>
      <c r="AC1026" t="s">
        <v>720</v>
      </c>
      <c r="AD1026" t="s">
        <v>720</v>
      </c>
      <c r="AE1026" t="s">
        <v>720</v>
      </c>
    </row>
    <row r="1027" spans="1:31" ht="30.75">
      <c r="A1027" t="s">
        <v>1343</v>
      </c>
      <c r="B1027" s="46" t="s">
        <v>5731</v>
      </c>
      <c r="C1027">
        <v>51</v>
      </c>
      <c r="D1027" t="s">
        <v>5813</v>
      </c>
      <c r="E1027" s="11">
        <v>46026</v>
      </c>
      <c r="F1027" t="s">
        <v>5814</v>
      </c>
      <c r="G1027" t="s">
        <v>45</v>
      </c>
      <c r="J1027" t="s">
        <v>720</v>
      </c>
      <c r="K1027" t="s">
        <v>5815</v>
      </c>
      <c r="L1027" t="s">
        <v>54</v>
      </c>
      <c r="M1027" t="s">
        <v>5816</v>
      </c>
      <c r="N1027" t="s">
        <v>5817</v>
      </c>
      <c r="O1027" t="s">
        <v>5818</v>
      </c>
      <c r="P1027" s="46" t="str" cm="1">
        <f t="array" aca="1" ref="P1027" ca="1">IFERROR(_xlfn.XLOOKUP(tblPedidos[[#This Row],[id_dropi]],tblNotas[[#This Row],[id__dropi]],tblNotas[[#This Row],[Notas Manuales]], “”, 0),"")</f>
        <v/>
      </c>
      <c r="Q1027" t="s">
        <v>50</v>
      </c>
      <c r="R1027" t="s">
        <v>5245</v>
      </c>
      <c r="S1027">
        <v>20004.5</v>
      </c>
      <c r="T1027">
        <v>-17895.5</v>
      </c>
      <c r="U1027" cm="1">
        <f t="array" ref="U1027">IFERROR(_xlfn.IFS(tblPedidos[[#This Row],[estado_operativo]]="ENTREGADO",tblPedidos[[#This Row],[ganancia_calc]],tblPedidos[[#This Row],[estado_operativo]]="DEVOLUCION",tblPedidos[[#This Row],[costo_devolucion_estimado]]),0)</f>
        <v>20004.5</v>
      </c>
      <c r="V1027">
        <v>120027</v>
      </c>
      <c r="W1027">
        <v>59900</v>
      </c>
      <c r="X1027">
        <v>17895.5</v>
      </c>
      <c r="Y1027">
        <v>22000</v>
      </c>
      <c r="Z1027" s="11">
        <v>46032</v>
      </c>
      <c r="AA1027">
        <v>12</v>
      </c>
      <c r="AB1027" s="12">
        <v>0.5131944444444444</v>
      </c>
      <c r="AC1027" t="s">
        <v>720</v>
      </c>
      <c r="AD1027" t="s">
        <v>720</v>
      </c>
      <c r="AE1027" t="s">
        <v>720</v>
      </c>
    </row>
    <row r="1028" spans="1:31" ht="30.75">
      <c r="A1028" t="s">
        <v>1343</v>
      </c>
      <c r="B1028" s="46" t="s">
        <v>5731</v>
      </c>
      <c r="C1028">
        <v>50</v>
      </c>
      <c r="D1028" t="s">
        <v>5819</v>
      </c>
      <c r="E1028" s="11">
        <v>46026</v>
      </c>
      <c r="F1028" t="s">
        <v>5820</v>
      </c>
      <c r="G1028" t="s">
        <v>36</v>
      </c>
      <c r="J1028" t="s">
        <v>720</v>
      </c>
      <c r="K1028" t="s">
        <v>5821</v>
      </c>
      <c r="L1028" t="s">
        <v>54</v>
      </c>
      <c r="M1028" t="s">
        <v>373</v>
      </c>
      <c r="N1028" t="s">
        <v>5822</v>
      </c>
      <c r="O1028" t="s">
        <v>5823</v>
      </c>
      <c r="P1028" s="46" t="str" cm="1">
        <f t="array" aca="1" ref="P1028" ca="1">IFERROR(_xlfn.XLOOKUP(tblPedidos[[#This Row],[id_dropi]],tblNotas[[#This Row],[id__dropi]],tblNotas[[#This Row],[Notas Manuales]], “”, 0),"")</f>
        <v/>
      </c>
      <c r="R1028" t="s">
        <v>4707</v>
      </c>
      <c r="S1028">
        <v>24561.5</v>
      </c>
      <c r="T1028">
        <v>-13070.800000000001</v>
      </c>
      <c r="U1028" cm="1">
        <f t="array" ref="U1028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28">
        <v>147369</v>
      </c>
      <c r="W1028">
        <v>84900</v>
      </c>
      <c r="X1028">
        <v>16338.5</v>
      </c>
      <c r="Y1028">
        <v>44000</v>
      </c>
      <c r="Z1028" s="11">
        <v>46027</v>
      </c>
      <c r="AA1028">
        <v>17</v>
      </c>
      <c r="AB1028" s="12">
        <v>0.56319444444444444</v>
      </c>
      <c r="AC1028" t="s">
        <v>788</v>
      </c>
      <c r="AD1028" t="s">
        <v>720</v>
      </c>
      <c r="AE1028" t="s">
        <v>720</v>
      </c>
    </row>
    <row r="1029" spans="1:31" ht="30.75">
      <c r="A1029" s="44" t="s">
        <v>1343</v>
      </c>
      <c r="B1029" s="46" t="s">
        <v>5731</v>
      </c>
      <c r="C1029" s="44">
        <v>15</v>
      </c>
      <c r="D1029" s="44" t="s">
        <v>5824</v>
      </c>
      <c r="E1029" s="45">
        <v>46025</v>
      </c>
      <c r="F1029" t="s">
        <v>5825</v>
      </c>
      <c r="G1029" s="44" t="s">
        <v>45</v>
      </c>
      <c r="H1029" s="44"/>
      <c r="I1029" s="44"/>
      <c r="J1029" s="44" t="s">
        <v>1657</v>
      </c>
      <c r="K1029" s="44" t="s">
        <v>5826</v>
      </c>
      <c r="L1029" s="44" t="s">
        <v>46</v>
      </c>
      <c r="M1029" s="44" t="s">
        <v>100</v>
      </c>
      <c r="N1029" s="44" t="s">
        <v>5827</v>
      </c>
      <c r="O1029" s="44" t="s">
        <v>5828</v>
      </c>
      <c r="P1029" s="46" t="str" cm="1">
        <f t="array" aca="1" ref="P1029" ca="1">IFERROR(_xlfn.XLOOKUP(tblPedidos[[#This Row],[id_dropi]],tblNotas[[#This Row],[id__dropi]],tblNotas[[#This Row],[Notas Manuales]], “”, 0),"")</f>
        <v/>
      </c>
      <c r="Q1029" s="44"/>
      <c r="R1029" s="44" t="s">
        <v>4707</v>
      </c>
      <c r="S1029" s="44">
        <v>32604.5</v>
      </c>
      <c r="T1029" s="44">
        <v>-13295.5</v>
      </c>
      <c r="U1029" s="44" cm="1">
        <f t="array" ref="U1029">IFERROR(_xlfn.IFS(tblPedidos[[#This Row],[estado_operativo]]="ENTREGADO",tblPedidos[[#This Row],[ganancia_calc]],tblPedidos[[#This Row],[estado_operativo]]="DEVOLUCION",tblPedidos[[#This Row],[costo_devolucion_estimado]]),0)</f>
        <v>-13295.5</v>
      </c>
      <c r="V1029" s="44">
        <v>-79773</v>
      </c>
      <c r="W1029" s="44">
        <v>89900</v>
      </c>
      <c r="X1029" s="44">
        <v>13295.5</v>
      </c>
      <c r="Y1029" s="44">
        <v>44000</v>
      </c>
      <c r="Z1029" s="11">
        <v>46036</v>
      </c>
      <c r="AA1029">
        <v>8</v>
      </c>
      <c r="AB1029" s="12">
        <v>0.84236111111111112</v>
      </c>
      <c r="AC1029" s="44" t="s">
        <v>1657</v>
      </c>
      <c r="AD1029" s="44" t="s">
        <v>1657</v>
      </c>
      <c r="AE1029" s="44" t="s">
        <v>1657</v>
      </c>
    </row>
    <row r="1030" spans="1:31">
      <c r="A1030" t="s">
        <v>33</v>
      </c>
      <c r="C1030">
        <v>16</v>
      </c>
      <c r="D1030" t="s">
        <v>5829</v>
      </c>
      <c r="E1030" s="11">
        <v>46025</v>
      </c>
      <c r="F1030" t="s">
        <v>5830</v>
      </c>
      <c r="G1030" t="s">
        <v>36</v>
      </c>
      <c r="J1030" t="s">
        <v>1090</v>
      </c>
      <c r="L1030" t="s">
        <v>54</v>
      </c>
      <c r="M1030" t="s">
        <v>373</v>
      </c>
      <c r="N1030" t="s">
        <v>5831</v>
      </c>
      <c r="O1030" t="s">
        <v>5832</v>
      </c>
      <c r="P1030" s="46" t="str" cm="1">
        <f t="array" aca="1" ref="P1030" ca="1">IFERROR(_xlfn.XLOOKUP(tblPedidos[[#This Row],[id_dropi]],tblNotas[[#This Row],[id__dropi]],tblNotas[[#This Row],[Notas Manuales]], “”, 0),"")</f>
        <v/>
      </c>
      <c r="R1030" t="s">
        <v>5245</v>
      </c>
      <c r="S1030">
        <v>22686.5</v>
      </c>
      <c r="T1030">
        <v>-12170.800000000001</v>
      </c>
      <c r="U1030" cm="1">
        <f t="array" ref="U1030">IFERROR(_xlfn.IFS(tblPedidos[[#This Row],[estado_operativo]]="ENTREGADO",tblPedidos[[#This Row],[ganancia_calc]],tblPedidos[[#This Row],[estado_operativo]]="DEVOLUCION",tblPedidos[[#This Row],[costo_devolucion_estimado]]),0)</f>
        <v>0</v>
      </c>
      <c r="V1030">
        <v>0</v>
      </c>
      <c r="W1030">
        <v>59900</v>
      </c>
      <c r="X1030">
        <v>15213.5</v>
      </c>
      <c r="Y1030">
        <v>22000</v>
      </c>
      <c r="Z1030" s="11">
        <v>46025</v>
      </c>
      <c r="AA1030">
        <v>19</v>
      </c>
      <c r="AB1030" s="12">
        <v>0.81458333333333333</v>
      </c>
      <c r="AC1030" t="s">
        <v>37</v>
      </c>
      <c r="AD1030" t="s">
        <v>1090</v>
      </c>
      <c r="AE1030" t="s">
        <v>1090</v>
      </c>
    </row>
    <row r="1031" spans="1:31" ht="30.75">
      <c r="A1031" s="44" t="s">
        <v>1343</v>
      </c>
      <c r="B1031" s="46" t="s">
        <v>5731</v>
      </c>
      <c r="C1031" s="44">
        <v>13</v>
      </c>
      <c r="D1031" s="44" t="s">
        <v>5833</v>
      </c>
      <c r="E1031" s="45">
        <v>46025</v>
      </c>
      <c r="F1031" t="s">
        <v>5834</v>
      </c>
      <c r="G1031" s="44" t="s">
        <v>45</v>
      </c>
      <c r="H1031" s="44"/>
      <c r="I1031" s="44"/>
      <c r="J1031" s="44" t="s">
        <v>1657</v>
      </c>
      <c r="K1031" s="44" t="s">
        <v>5835</v>
      </c>
      <c r="L1031" s="44" t="s">
        <v>46</v>
      </c>
      <c r="M1031" s="44" t="s">
        <v>1441</v>
      </c>
      <c r="N1031" s="44" t="s">
        <v>5836</v>
      </c>
      <c r="O1031" s="44" t="s">
        <v>5837</v>
      </c>
      <c r="P1031" s="46" t="str" cm="1">
        <f t="array" aca="1" ref="P1031" ca="1">IFERROR(_xlfn.XLOOKUP(tblPedidos[[#This Row],[id_dropi]],tblNotas[[#This Row],[id__dropi]],tblNotas[[#This Row],[Notas Manuales]], “”, 0),"")</f>
        <v/>
      </c>
      <c r="Q1031" s="44"/>
      <c r="R1031" s="44" t="s">
        <v>4707</v>
      </c>
      <c r="S1031" s="44">
        <v>32604.5</v>
      </c>
      <c r="T1031" s="44">
        <v>-13295.5</v>
      </c>
      <c r="U1031" s="44" cm="1">
        <f t="array" ref="U1031">IFERROR(_xlfn.IFS(tblPedidos[[#This Row],[estado_operativo]]="ENTREGADO",tblPedidos[[#This Row],[ganancia_calc]],tblPedidos[[#This Row],[estado_operativo]]="DEVOLUCION",tblPedidos[[#This Row],[costo_devolucion_estimado]]),0)</f>
        <v>-13295.5</v>
      </c>
      <c r="V1031" s="44">
        <v>-79773</v>
      </c>
      <c r="W1031" s="44">
        <v>89900</v>
      </c>
      <c r="X1031" s="44">
        <v>13295.5</v>
      </c>
      <c r="Y1031" s="44">
        <v>44000</v>
      </c>
      <c r="Z1031" s="11">
        <v>46032</v>
      </c>
      <c r="AA1031">
        <v>12</v>
      </c>
      <c r="AB1031" s="12">
        <v>0.42291666666666666</v>
      </c>
      <c r="AC1031" s="44" t="s">
        <v>1657</v>
      </c>
      <c r="AD1031" s="44" t="s">
        <v>1657</v>
      </c>
      <c r="AE1031" s="44" t="s">
        <v>1657</v>
      </c>
    </row>
    <row r="1032" spans="1:31" ht="30.75">
      <c r="A1032" t="s">
        <v>1343</v>
      </c>
      <c r="B1032" s="46" t="s">
        <v>5731</v>
      </c>
      <c r="C1032">
        <v>14</v>
      </c>
      <c r="D1032" t="s">
        <v>5838</v>
      </c>
      <c r="E1032" s="11">
        <v>46025</v>
      </c>
      <c r="F1032" t="s">
        <v>5839</v>
      </c>
      <c r="G1032" t="s">
        <v>45</v>
      </c>
      <c r="J1032" t="s">
        <v>720</v>
      </c>
      <c r="K1032" t="s">
        <v>5840</v>
      </c>
      <c r="L1032" t="s">
        <v>234</v>
      </c>
      <c r="M1032" t="s">
        <v>235</v>
      </c>
      <c r="N1032" t="s">
        <v>5841</v>
      </c>
      <c r="O1032" t="s">
        <v>5842</v>
      </c>
      <c r="P1032" s="46" t="str" cm="1">
        <f t="array" aca="1" ref="P1032" ca="1">IFERROR(_xlfn.XLOOKUP(tblPedidos[[#This Row],[id_dropi]],tblNotas[[#This Row],[id__dropi]],tblNotas[[#This Row],[Notas Manuales]], “”, 0),"")</f>
        <v/>
      </c>
      <c r="R1032" t="s">
        <v>5245</v>
      </c>
      <c r="S1032">
        <v>24554.5</v>
      </c>
      <c r="T1032">
        <v>-13345.5</v>
      </c>
      <c r="U1032" cm="1">
        <f t="array" ref="U1032">IFERROR(_xlfn.IFS(tblPedidos[[#This Row],[estado_operativo]]="ENTREGADO",tblPedidos[[#This Row],[ganancia_calc]],tblPedidos[[#This Row],[estado_operativo]]="DEVOLUCION",tblPedidos[[#This Row],[costo_devolucion_estimado]]),0)</f>
        <v>24554.5</v>
      </c>
      <c r="V1032">
        <v>147327</v>
      </c>
      <c r="W1032">
        <v>59900</v>
      </c>
      <c r="X1032">
        <v>13345.5</v>
      </c>
      <c r="Y1032">
        <v>22000</v>
      </c>
      <c r="Z1032" s="11">
        <v>46029</v>
      </c>
      <c r="AA1032">
        <v>15</v>
      </c>
      <c r="AB1032" s="12">
        <v>0.62708333333333333</v>
      </c>
      <c r="AC1032" t="s">
        <v>720</v>
      </c>
      <c r="AD1032" t="s">
        <v>720</v>
      </c>
      <c r="AE1032" t="s">
        <v>720</v>
      </c>
    </row>
    <row r="1033" spans="1:31">
      <c r="A1033" t="s">
        <v>1343</v>
      </c>
      <c r="C1033">
        <v>19</v>
      </c>
      <c r="D1033" t="s">
        <v>5843</v>
      </c>
      <c r="E1033" s="11">
        <v>46025</v>
      </c>
      <c r="F1033" t="s">
        <v>5844</v>
      </c>
      <c r="G1033" t="s">
        <v>36</v>
      </c>
      <c r="J1033" t="s">
        <v>1657</v>
      </c>
      <c r="K1033" t="s">
        <v>5845</v>
      </c>
      <c r="L1033" t="s">
        <v>166</v>
      </c>
      <c r="M1033" t="s">
        <v>468</v>
      </c>
      <c r="N1033" t="s">
        <v>5846</v>
      </c>
      <c r="O1033" t="s">
        <v>5847</v>
      </c>
      <c r="P1033" s="46" t="str" cm="1">
        <f t="array" aca="1" ref="P1033" ca="1">IFERROR(_xlfn.XLOOKUP(tblPedidos[[#This Row],[id_dropi]],tblNotas[[#This Row],[id__dropi]],tblNotas[[#This Row],[Notas Manuales]], “”, 0),"")</f>
        <v/>
      </c>
      <c r="R1033" t="s">
        <v>4707</v>
      </c>
      <c r="S1033">
        <v>29336.5</v>
      </c>
      <c r="T1033">
        <v>-13250.800000000001</v>
      </c>
      <c r="U1033" cm="1">
        <f t="array" ref="U1033">IFERROR(_xlfn.IFS(tblPedidos[[#This Row],[estado_operativo]]="ENTREGADO",tblPedidos[[#This Row],[ganancia_calc]],tblPedidos[[#This Row],[estado_operativo]]="DEVOLUCION",tblPedidos[[#This Row],[costo_devolucion_estimado]]),0)</f>
        <v>-13250.800000000001</v>
      </c>
      <c r="V1033">
        <v>-25036</v>
      </c>
      <c r="W1033">
        <v>89900</v>
      </c>
      <c r="X1033">
        <v>16563.5</v>
      </c>
      <c r="Y1033">
        <v>44000</v>
      </c>
      <c r="Z1033" s="11">
        <v>46027</v>
      </c>
      <c r="AA1033">
        <v>17</v>
      </c>
      <c r="AB1033" s="12">
        <v>0.56319444444444444</v>
      </c>
      <c r="AC1033" t="s">
        <v>788</v>
      </c>
      <c r="AD1033" t="s">
        <v>1657</v>
      </c>
      <c r="AE1033" t="s">
        <v>1657</v>
      </c>
    </row>
    <row r="1034" spans="1:31">
      <c r="A1034" t="s">
        <v>33</v>
      </c>
      <c r="C1034">
        <v>20</v>
      </c>
      <c r="D1034" t="s">
        <v>5848</v>
      </c>
      <c r="E1034" s="11">
        <v>46025</v>
      </c>
      <c r="F1034" t="s">
        <v>5849</v>
      </c>
      <c r="G1034" t="s">
        <v>36</v>
      </c>
      <c r="J1034" t="s">
        <v>522</v>
      </c>
      <c r="K1034" t="s">
        <v>5850</v>
      </c>
      <c r="L1034" t="s">
        <v>152</v>
      </c>
      <c r="M1034" t="s">
        <v>2156</v>
      </c>
      <c r="N1034" t="s">
        <v>5851</v>
      </c>
      <c r="O1034" t="s">
        <v>5852</v>
      </c>
      <c r="P1034" s="46" t="str" cm="1">
        <f t="array" aca="1" ref="P1034" ca="1">IFERROR(_xlfn.XLOOKUP(tblPedidos[[#This Row],[id_dropi]],tblNotas[[#This Row],[id__dropi]],tblNotas[[#This Row],[Notas Manuales]], “”, 0),"")</f>
        <v/>
      </c>
      <c r="Q1034" t="s">
        <v>5309</v>
      </c>
      <c r="R1034" t="s">
        <v>5245</v>
      </c>
      <c r="S1034">
        <v>22686.5</v>
      </c>
      <c r="T1034">
        <v>-12170.800000000001</v>
      </c>
      <c r="U1034" cm="1">
        <f t="array" ref="U1034">IFERROR(_xlfn.IFS(tblPedidos[[#This Row],[estado_operativo]]="ENTREGADO",tblPedidos[[#This Row],[ganancia_calc]],tblPedidos[[#This Row],[estado_operativo]]="DEVOLUCION",tblPedidos[[#This Row],[costo_devolucion_estimado]]),0)</f>
        <v>0</v>
      </c>
      <c r="V1034">
        <v>0</v>
      </c>
      <c r="W1034">
        <v>59900</v>
      </c>
      <c r="X1034">
        <v>15213.5</v>
      </c>
      <c r="Y1034">
        <v>22000</v>
      </c>
      <c r="Z1034" s="11">
        <v>46027</v>
      </c>
      <c r="AA1034">
        <v>17</v>
      </c>
      <c r="AB1034" s="12">
        <v>0.56319444444444444</v>
      </c>
      <c r="AC1034" t="s">
        <v>788</v>
      </c>
      <c r="AD1034" t="s">
        <v>527</v>
      </c>
      <c r="AE1034" t="s">
        <v>522</v>
      </c>
    </row>
    <row r="1035" spans="1:31" ht="30.75">
      <c r="A1035" t="s">
        <v>1343</v>
      </c>
      <c r="B1035" s="46" t="s">
        <v>5731</v>
      </c>
      <c r="C1035">
        <v>17</v>
      </c>
      <c r="D1035" t="s">
        <v>5853</v>
      </c>
      <c r="E1035" s="11">
        <v>46025</v>
      </c>
      <c r="F1035" t="s">
        <v>5854</v>
      </c>
      <c r="G1035" t="s">
        <v>958</v>
      </c>
      <c r="J1035" t="s">
        <v>720</v>
      </c>
      <c r="K1035" t="s">
        <v>5855</v>
      </c>
      <c r="L1035" t="s">
        <v>54</v>
      </c>
      <c r="M1035" t="s">
        <v>1491</v>
      </c>
      <c r="N1035" t="s">
        <v>5856</v>
      </c>
      <c r="O1035" t="s">
        <v>5857</v>
      </c>
      <c r="P1035" s="46" t="str" cm="1">
        <f t="array" aca="1" ref="P1035" ca="1">IFERROR(_xlfn.XLOOKUP(tblPedidos[[#This Row],[id_dropi]],tblNotas[[#This Row],[id__dropi]],tblNotas[[#This Row],[Notas Manuales]], “”, 0),"")</f>
        <v/>
      </c>
      <c r="R1035" t="s">
        <v>4707</v>
      </c>
      <c r="S1035">
        <v>27428.5</v>
      </c>
      <c r="T1035">
        <v>-10777.2</v>
      </c>
      <c r="U1035" cm="1">
        <f t="array" ref="U1035">IFERROR(_xlfn.IFS(tblPedidos[[#This Row],[estado_operativo]]="ENTREGADO",tblPedidos[[#This Row],[ganancia_calc]],tblPedidos[[#This Row],[estado_operativo]]="DEVOLUCION",tblPedidos[[#This Row],[costo_devolucion_estimado]]),0)</f>
        <v>27428.5</v>
      </c>
      <c r="V1035">
        <v>164571</v>
      </c>
      <c r="W1035">
        <v>84900</v>
      </c>
      <c r="X1035">
        <v>13471.5</v>
      </c>
      <c r="Y1035">
        <v>44000</v>
      </c>
      <c r="Z1035" s="11">
        <v>46031</v>
      </c>
      <c r="AA1035">
        <v>13</v>
      </c>
      <c r="AB1035" s="12">
        <v>0.93680555555555556</v>
      </c>
      <c r="AC1035" t="s">
        <v>720</v>
      </c>
      <c r="AD1035" t="s">
        <v>720</v>
      </c>
      <c r="AE1035" t="s">
        <v>720</v>
      </c>
    </row>
    <row r="1036" spans="1:31" ht="30.75">
      <c r="A1036" t="s">
        <v>1343</v>
      </c>
      <c r="B1036" s="46" t="s">
        <v>5731</v>
      </c>
      <c r="C1036">
        <v>18</v>
      </c>
      <c r="D1036" t="s">
        <v>5858</v>
      </c>
      <c r="E1036" s="11">
        <v>46025</v>
      </c>
      <c r="F1036" t="s">
        <v>5859</v>
      </c>
      <c r="G1036" t="s">
        <v>45</v>
      </c>
      <c r="J1036" t="s">
        <v>720</v>
      </c>
      <c r="K1036" t="s">
        <v>5860</v>
      </c>
      <c r="L1036" t="s">
        <v>212</v>
      </c>
      <c r="M1036" t="s">
        <v>5861</v>
      </c>
      <c r="N1036" t="s">
        <v>5862</v>
      </c>
      <c r="O1036" t="s">
        <v>5863</v>
      </c>
      <c r="P1036" s="46" t="str" cm="1">
        <f t="array" aca="1" ref="P1036" ca="1">IFERROR(_xlfn.XLOOKUP(tblPedidos[[#This Row],[id_dropi]],tblNotas[[#This Row],[id__dropi]],tblNotas[[#This Row],[Notas Manuales]], “”, 0),"")</f>
        <v/>
      </c>
      <c r="R1036" t="s">
        <v>4707</v>
      </c>
      <c r="S1036">
        <v>21879.5</v>
      </c>
      <c r="T1036">
        <v>-19020.5</v>
      </c>
      <c r="U1036" cm="1">
        <f t="array" ref="U1036">IFERROR(_xlfn.IFS(tblPedidos[[#This Row],[estado_operativo]]="ENTREGADO",tblPedidos[[#This Row],[ganancia_calc]],tblPedidos[[#This Row],[estado_operativo]]="DEVOLUCION",tblPedidos[[#This Row],[costo_devolucion_estimado]]),0)</f>
        <v>21879.5</v>
      </c>
      <c r="V1036">
        <v>131277</v>
      </c>
      <c r="W1036">
        <v>84900</v>
      </c>
      <c r="X1036">
        <v>19020.5</v>
      </c>
      <c r="Y1036">
        <v>44000</v>
      </c>
      <c r="Z1036" s="11">
        <v>46031</v>
      </c>
      <c r="AA1036">
        <v>13</v>
      </c>
      <c r="AB1036" s="12">
        <v>0.62986111111111109</v>
      </c>
      <c r="AC1036" t="s">
        <v>720</v>
      </c>
      <c r="AD1036" t="s">
        <v>720</v>
      </c>
      <c r="AE1036" t="s">
        <v>720</v>
      </c>
    </row>
    <row r="1037" spans="1:31" ht="30.75">
      <c r="A1037" t="s">
        <v>1343</v>
      </c>
      <c r="B1037" s="46" t="s">
        <v>5731</v>
      </c>
      <c r="C1037">
        <v>12</v>
      </c>
      <c r="D1037" t="s">
        <v>5864</v>
      </c>
      <c r="E1037" s="11">
        <v>46025</v>
      </c>
      <c r="F1037" t="s">
        <v>5865</v>
      </c>
      <c r="G1037" t="s">
        <v>45</v>
      </c>
      <c r="J1037" t="s">
        <v>720</v>
      </c>
      <c r="K1037" t="s">
        <v>5866</v>
      </c>
      <c r="L1037" t="s">
        <v>136</v>
      </c>
      <c r="M1037" t="s">
        <v>206</v>
      </c>
      <c r="N1037" t="s">
        <v>5867</v>
      </c>
      <c r="O1037" t="s">
        <v>5868</v>
      </c>
      <c r="P1037" s="46" t="str" cm="1">
        <f t="array" aca="1" ref="P1037" ca="1">IFERROR(_xlfn.XLOOKUP(tblPedidos[[#This Row],[id_dropi]],tblNotas[[#This Row],[id__dropi]],tblNotas[[#This Row],[Notas Manuales]], “”, 0),"")</f>
        <v/>
      </c>
      <c r="R1037" t="s">
        <v>4707</v>
      </c>
      <c r="S1037">
        <v>31204.5</v>
      </c>
      <c r="T1037">
        <v>-14695.5</v>
      </c>
      <c r="U1037" cm="1">
        <f t="array" ref="U1037">IFERROR(_xlfn.IFS(tblPedidos[[#This Row],[estado_operativo]]="ENTREGADO",tblPedidos[[#This Row],[ganancia_calc]],tblPedidos[[#This Row],[estado_operativo]]="DEVOLUCION",tblPedidos[[#This Row],[costo_devolucion_estimado]]),0)</f>
        <v>31204.5</v>
      </c>
      <c r="V1037">
        <v>187227</v>
      </c>
      <c r="W1037">
        <v>89900</v>
      </c>
      <c r="X1037">
        <v>14695.5</v>
      </c>
      <c r="Y1037">
        <v>44000</v>
      </c>
      <c r="Z1037" s="11">
        <v>46029</v>
      </c>
      <c r="AA1037">
        <v>15</v>
      </c>
      <c r="AB1037" s="12">
        <v>0.62708333333333333</v>
      </c>
      <c r="AC1037" t="s">
        <v>720</v>
      </c>
      <c r="AD1037" t="s">
        <v>720</v>
      </c>
      <c r="AE1037" t="s">
        <v>720</v>
      </c>
    </row>
    <row r="1038" spans="1:31" ht="30.75">
      <c r="A1038" t="s">
        <v>1343</v>
      </c>
      <c r="B1038" s="46" t="s">
        <v>5731</v>
      </c>
      <c r="C1038">
        <v>6</v>
      </c>
      <c r="D1038" t="s">
        <v>5869</v>
      </c>
      <c r="E1038" s="11">
        <v>46025</v>
      </c>
      <c r="F1038" t="s">
        <v>5870</v>
      </c>
      <c r="G1038" t="s">
        <v>45</v>
      </c>
      <c r="J1038" t="s">
        <v>720</v>
      </c>
      <c r="K1038" t="s">
        <v>5871</v>
      </c>
      <c r="L1038" t="s">
        <v>46</v>
      </c>
      <c r="M1038" t="s">
        <v>100</v>
      </c>
      <c r="N1038" t="s">
        <v>5872</v>
      </c>
      <c r="O1038" t="s">
        <v>5873</v>
      </c>
      <c r="P1038" s="46" t="str" cm="1">
        <f t="array" aca="1" ref="P1038" ca="1">IFERROR(_xlfn.XLOOKUP(tblPedidos[[#This Row],[id_dropi]],tblNotas[[#This Row],[id__dropi]],tblNotas[[#This Row],[Notas Manuales]], “”, 0),"")</f>
        <v/>
      </c>
      <c r="R1038" t="s">
        <v>4707</v>
      </c>
      <c r="S1038">
        <v>32604.5</v>
      </c>
      <c r="T1038">
        <v>-13295.5</v>
      </c>
      <c r="U1038" cm="1">
        <f t="array" ref="U1038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38">
        <v>195627</v>
      </c>
      <c r="W1038">
        <v>89900</v>
      </c>
      <c r="X1038">
        <v>13295.5</v>
      </c>
      <c r="Y1038">
        <v>44000</v>
      </c>
      <c r="Z1038" s="11">
        <v>46031</v>
      </c>
      <c r="AA1038">
        <v>13</v>
      </c>
      <c r="AB1038" s="12">
        <v>0.61944444444444446</v>
      </c>
      <c r="AC1038" t="s">
        <v>720</v>
      </c>
      <c r="AD1038" t="s">
        <v>720</v>
      </c>
      <c r="AE1038" t="s">
        <v>720</v>
      </c>
    </row>
    <row r="1039" spans="1:31">
      <c r="A1039" t="s">
        <v>33</v>
      </c>
      <c r="C1039">
        <v>7</v>
      </c>
      <c r="D1039" t="s">
        <v>5874</v>
      </c>
      <c r="E1039" s="11">
        <v>46025</v>
      </c>
      <c r="F1039" t="s">
        <v>5875</v>
      </c>
      <c r="G1039" t="s">
        <v>36</v>
      </c>
      <c r="J1039" t="s">
        <v>959</v>
      </c>
      <c r="K1039" t="s">
        <v>5876</v>
      </c>
      <c r="L1039" t="s">
        <v>152</v>
      </c>
      <c r="M1039" t="s">
        <v>2156</v>
      </c>
      <c r="N1039" t="s">
        <v>5877</v>
      </c>
      <c r="O1039" t="s">
        <v>5878</v>
      </c>
      <c r="P1039" s="46" t="str" cm="1">
        <f t="array" aca="1" ref="P1039" ca="1">IFERROR(_xlfn.XLOOKUP(tblPedidos[[#This Row],[id_dropi]],tblNotas[[#This Row],[id__dropi]],tblNotas[[#This Row],[Notas Manuales]], “”, 0),"")</f>
        <v/>
      </c>
      <c r="R1039" t="s">
        <v>5245</v>
      </c>
      <c r="S1039">
        <v>22686.5</v>
      </c>
      <c r="T1039">
        <v>-12170.800000000001</v>
      </c>
      <c r="U1039" cm="1">
        <f t="array" ref="U1039">IFERROR(_xlfn.IFS(tblPedidos[[#This Row],[estado_operativo]]="ENTREGADO",tblPedidos[[#This Row],[ganancia_calc]],tblPedidos[[#This Row],[estado_operativo]]="DEVOLUCION",tblPedidos[[#This Row],[costo_devolucion_estimado]]),0)</f>
        <v>0</v>
      </c>
      <c r="V1039">
        <v>0</v>
      </c>
      <c r="W1039">
        <v>59900</v>
      </c>
      <c r="X1039">
        <v>15213.5</v>
      </c>
      <c r="Y1039">
        <v>22000</v>
      </c>
      <c r="Z1039" s="11">
        <v>46027</v>
      </c>
      <c r="AA1039">
        <v>17</v>
      </c>
      <c r="AB1039" s="12">
        <v>0.56319444444444444</v>
      </c>
      <c r="AC1039" t="s">
        <v>788</v>
      </c>
      <c r="AD1039" t="s">
        <v>1103</v>
      </c>
      <c r="AE1039" t="s">
        <v>959</v>
      </c>
    </row>
    <row r="1040" spans="1:31" ht="30.75">
      <c r="A1040" t="s">
        <v>1343</v>
      </c>
      <c r="B1040" s="46" t="s">
        <v>5731</v>
      </c>
      <c r="C1040">
        <v>4</v>
      </c>
      <c r="D1040" t="s">
        <v>5879</v>
      </c>
      <c r="E1040" s="11">
        <v>46025</v>
      </c>
      <c r="F1040" t="s">
        <v>5880</v>
      </c>
      <c r="G1040" t="s">
        <v>36</v>
      </c>
      <c r="J1040" t="s">
        <v>720</v>
      </c>
      <c r="K1040" t="s">
        <v>5881</v>
      </c>
      <c r="L1040" t="s">
        <v>38</v>
      </c>
      <c r="M1040" t="s">
        <v>39</v>
      </c>
      <c r="N1040" t="s">
        <v>5882</v>
      </c>
      <c r="O1040" t="s">
        <v>5883</v>
      </c>
      <c r="P1040" s="46" t="str" cm="1">
        <f t="array" aca="1" ref="P1040" ca="1">IFERROR(_xlfn.XLOOKUP(tblPedidos[[#This Row],[id_dropi]],tblNotas[[#This Row],[id__dropi]],tblNotas[[#This Row],[Notas Manuales]], “”, 0),"")</f>
        <v/>
      </c>
      <c r="R1040" t="s">
        <v>4707</v>
      </c>
      <c r="S1040">
        <v>24561.5</v>
      </c>
      <c r="T1040">
        <v>-13070.800000000001</v>
      </c>
      <c r="U1040" cm="1">
        <f t="array" ref="U1040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40">
        <v>147369</v>
      </c>
      <c r="W1040">
        <v>84900</v>
      </c>
      <c r="X1040">
        <v>16338.5</v>
      </c>
      <c r="Y1040">
        <v>44000</v>
      </c>
      <c r="Z1040" s="11">
        <v>46027</v>
      </c>
      <c r="AA1040">
        <v>17</v>
      </c>
      <c r="AB1040" s="12">
        <v>0.56319444444444444</v>
      </c>
      <c r="AC1040" t="s">
        <v>788</v>
      </c>
      <c r="AD1040" t="s">
        <v>720</v>
      </c>
      <c r="AE1040" t="s">
        <v>720</v>
      </c>
    </row>
    <row r="1041" spans="1:31" ht="30.75">
      <c r="A1041" t="s">
        <v>1343</v>
      </c>
      <c r="B1041" s="46" t="s">
        <v>5731</v>
      </c>
      <c r="C1041">
        <v>5</v>
      </c>
      <c r="D1041" t="s">
        <v>5884</v>
      </c>
      <c r="E1041" s="11">
        <v>46025</v>
      </c>
      <c r="F1041" t="s">
        <v>5885</v>
      </c>
      <c r="G1041" t="s">
        <v>45</v>
      </c>
      <c r="J1041" t="s">
        <v>720</v>
      </c>
      <c r="K1041" t="s">
        <v>5886</v>
      </c>
      <c r="L1041" t="s">
        <v>46</v>
      </c>
      <c r="M1041" t="s">
        <v>100</v>
      </c>
      <c r="N1041" t="s">
        <v>5887</v>
      </c>
      <c r="O1041" t="s">
        <v>5888</v>
      </c>
      <c r="P1041" s="46" t="str" cm="1">
        <f t="array" aca="1" ref="P1041" ca="1">IFERROR(_xlfn.XLOOKUP(tblPedidos[[#This Row],[id_dropi]],tblNotas[[#This Row],[id__dropi]],tblNotas[[#This Row],[Notas Manuales]], “”, 0),"")</f>
        <v/>
      </c>
      <c r="R1041" t="s">
        <v>5245</v>
      </c>
      <c r="S1041">
        <v>25954.5</v>
      </c>
      <c r="T1041">
        <v>-11945.5</v>
      </c>
      <c r="U1041" cm="1">
        <f t="array" ref="U1041">IFERROR(_xlfn.IFS(tblPedidos[[#This Row],[estado_operativo]]="ENTREGADO",tblPedidos[[#This Row],[ganancia_calc]],tblPedidos[[#This Row],[estado_operativo]]="DEVOLUCION",tblPedidos[[#This Row],[costo_devolucion_estimado]]),0)</f>
        <v>25954.5</v>
      </c>
      <c r="V1041">
        <v>155727</v>
      </c>
      <c r="W1041">
        <v>59900</v>
      </c>
      <c r="X1041">
        <v>11945.5</v>
      </c>
      <c r="Y1041">
        <v>22000</v>
      </c>
      <c r="Z1041" s="11">
        <v>46029</v>
      </c>
      <c r="AA1041">
        <v>15</v>
      </c>
      <c r="AB1041" s="12">
        <v>0.62638888888888888</v>
      </c>
      <c r="AC1041" t="s">
        <v>720</v>
      </c>
      <c r="AD1041" t="s">
        <v>720</v>
      </c>
      <c r="AE1041" t="s">
        <v>720</v>
      </c>
    </row>
    <row r="1042" spans="1:31" ht="30.75">
      <c r="A1042" s="44" t="s">
        <v>1343</v>
      </c>
      <c r="B1042" s="46" t="s">
        <v>5731</v>
      </c>
      <c r="C1042" s="44">
        <v>11</v>
      </c>
      <c r="D1042" s="44" t="s">
        <v>5889</v>
      </c>
      <c r="E1042" s="45">
        <v>46025</v>
      </c>
      <c r="F1042" t="s">
        <v>5890</v>
      </c>
      <c r="G1042" s="44" t="s">
        <v>36</v>
      </c>
      <c r="H1042" s="44"/>
      <c r="I1042" s="44"/>
      <c r="J1042" s="44" t="s">
        <v>1657</v>
      </c>
      <c r="K1042" s="44" t="s">
        <v>5891</v>
      </c>
      <c r="L1042" s="44" t="s">
        <v>54</v>
      </c>
      <c r="M1042" s="44" t="s">
        <v>373</v>
      </c>
      <c r="N1042" s="44" t="s">
        <v>5892</v>
      </c>
      <c r="O1042" s="44" t="s">
        <v>5893</v>
      </c>
      <c r="P1042" s="46" t="str" cm="1">
        <f t="array" aca="1" ref="P1042" ca="1">IFERROR(_xlfn.XLOOKUP(tblPedidos[[#This Row],[id_dropi]],tblNotas[[#This Row],[id__dropi]],tblNotas[[#This Row],[Notas Manuales]], “”, 0),"")</f>
        <v/>
      </c>
      <c r="Q1042" s="44"/>
      <c r="R1042" s="44" t="s">
        <v>4707</v>
      </c>
      <c r="S1042" s="44">
        <v>24561.5</v>
      </c>
      <c r="T1042" s="44">
        <v>-13070.800000000001</v>
      </c>
      <c r="U1042" s="44" cm="1">
        <f t="array" ref="U1042">IFERROR(_xlfn.IFS(tblPedidos[[#This Row],[estado_operativo]]="ENTREGADO",tblPedidos[[#This Row],[ganancia_calc]],tblPedidos[[#This Row],[estado_operativo]]="DEVOLUCION",tblPedidos[[#This Row],[costo_devolucion_estimado]]),0)</f>
        <v>-13070.800000000001</v>
      </c>
      <c r="V1042" s="44">
        <v>-75108</v>
      </c>
      <c r="W1042" s="44">
        <v>84900</v>
      </c>
      <c r="X1042" s="44">
        <v>16338.5</v>
      </c>
      <c r="Y1042" s="44">
        <v>44000</v>
      </c>
      <c r="Z1042" s="11">
        <v>46026</v>
      </c>
      <c r="AA1042">
        <v>18</v>
      </c>
      <c r="AB1042" s="12">
        <v>0.58125000000000004</v>
      </c>
      <c r="AC1042" s="44" t="s">
        <v>788</v>
      </c>
      <c r="AD1042" s="44" t="s">
        <v>1657</v>
      </c>
      <c r="AE1042" s="44" t="s">
        <v>1657</v>
      </c>
    </row>
    <row r="1043" spans="1:31" ht="30.75">
      <c r="A1043" t="s">
        <v>1343</v>
      </c>
      <c r="B1043" s="46" t="s">
        <v>5731</v>
      </c>
      <c r="C1043">
        <v>10</v>
      </c>
      <c r="D1043" t="s">
        <v>5894</v>
      </c>
      <c r="E1043" s="11">
        <v>46025</v>
      </c>
      <c r="F1043" t="s">
        <v>5895</v>
      </c>
      <c r="G1043" t="s">
        <v>36</v>
      </c>
      <c r="J1043" t="s">
        <v>720</v>
      </c>
      <c r="K1043" t="s">
        <v>5896</v>
      </c>
      <c r="L1043" t="s">
        <v>54</v>
      </c>
      <c r="M1043" t="s">
        <v>373</v>
      </c>
      <c r="N1043" t="s">
        <v>5897</v>
      </c>
      <c r="O1043" t="s">
        <v>5898</v>
      </c>
      <c r="P1043" s="46" t="str" cm="1">
        <f t="array" aca="1" ref="P1043" ca="1">IFERROR(_xlfn.XLOOKUP(tblPedidos[[#This Row],[id_dropi]],tblNotas[[#This Row],[id__dropi]],tblNotas[[#This Row],[Notas Manuales]], “”, 0),"")</f>
        <v/>
      </c>
      <c r="R1043" t="s">
        <v>4707</v>
      </c>
      <c r="S1043">
        <v>24561.5</v>
      </c>
      <c r="T1043">
        <v>-13070.800000000001</v>
      </c>
      <c r="U1043" cm="1">
        <f t="array" ref="U1043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43">
        <v>147369</v>
      </c>
      <c r="W1043">
        <v>84900</v>
      </c>
      <c r="X1043">
        <v>16338.5</v>
      </c>
      <c r="Y1043">
        <v>44000</v>
      </c>
      <c r="Z1043" s="11">
        <v>46026</v>
      </c>
      <c r="AA1043">
        <v>18</v>
      </c>
      <c r="AB1043" s="12">
        <v>0.58125000000000004</v>
      </c>
      <c r="AC1043" t="s">
        <v>788</v>
      </c>
      <c r="AD1043" t="s">
        <v>720</v>
      </c>
      <c r="AE1043" t="s">
        <v>720</v>
      </c>
    </row>
    <row r="1044" spans="1:31" ht="30.75">
      <c r="A1044" t="s">
        <v>1343</v>
      </c>
      <c r="B1044" s="46" t="s">
        <v>5731</v>
      </c>
      <c r="C1044">
        <v>8</v>
      </c>
      <c r="D1044" t="s">
        <v>5899</v>
      </c>
      <c r="E1044" s="11">
        <v>46025</v>
      </c>
      <c r="F1044" t="s">
        <v>5900</v>
      </c>
      <c r="G1044" t="s">
        <v>958</v>
      </c>
      <c r="J1044" t="s">
        <v>720</v>
      </c>
      <c r="K1044" t="s">
        <v>5901</v>
      </c>
      <c r="L1044" t="s">
        <v>81</v>
      </c>
      <c r="M1044" t="s">
        <v>2240</v>
      </c>
      <c r="N1044" t="s">
        <v>5902</v>
      </c>
      <c r="O1044" t="s">
        <v>5903</v>
      </c>
      <c r="P1044" s="46" t="str" cm="1">
        <f t="array" aca="1" ref="P1044" ca="1">IFERROR(_xlfn.XLOOKUP(tblPedidos[[#This Row],[id_dropi]],tblNotas[[#This Row],[id__dropi]],tblNotas[[#This Row],[Notas Manuales]], “”, 0),"")</f>
        <v/>
      </c>
      <c r="R1044" t="s">
        <v>4707</v>
      </c>
      <c r="S1044">
        <v>32253.5</v>
      </c>
      <c r="T1044">
        <v>-10917.2</v>
      </c>
      <c r="U1044" cm="1">
        <f t="array" ref="U1044">IFERROR(_xlfn.IFS(tblPedidos[[#This Row],[estado_operativo]]="ENTREGADO",tblPedidos[[#This Row],[ganancia_calc]],tblPedidos[[#This Row],[estado_operativo]]="DEVOLUCION",tblPedidos[[#This Row],[costo_devolucion_estimado]]),0)</f>
        <v>32253.5</v>
      </c>
      <c r="V1044">
        <v>193521</v>
      </c>
      <c r="W1044">
        <v>89900</v>
      </c>
      <c r="X1044">
        <v>13646.5</v>
      </c>
      <c r="Y1044">
        <v>44000</v>
      </c>
      <c r="Z1044" s="11">
        <v>46029</v>
      </c>
      <c r="AA1044">
        <v>15</v>
      </c>
      <c r="AB1044" s="12">
        <v>0.80208333333333337</v>
      </c>
      <c r="AC1044" t="s">
        <v>720</v>
      </c>
      <c r="AD1044" t="s">
        <v>720</v>
      </c>
      <c r="AE1044" t="s">
        <v>720</v>
      </c>
    </row>
    <row r="1045" spans="1:31" ht="30.75">
      <c r="A1045" t="s">
        <v>1343</v>
      </c>
      <c r="B1045" s="46" t="s">
        <v>5731</v>
      </c>
      <c r="C1045">
        <v>9</v>
      </c>
      <c r="D1045" t="s">
        <v>5904</v>
      </c>
      <c r="E1045" s="11">
        <v>46025</v>
      </c>
      <c r="F1045" t="s">
        <v>5905</v>
      </c>
      <c r="G1045" t="s">
        <v>45</v>
      </c>
      <c r="J1045" t="s">
        <v>720</v>
      </c>
      <c r="K1045" t="s">
        <v>5906</v>
      </c>
      <c r="L1045" t="s">
        <v>54</v>
      </c>
      <c r="M1045" t="s">
        <v>373</v>
      </c>
      <c r="N1045" t="s">
        <v>5907</v>
      </c>
      <c r="O1045" t="s">
        <v>5908</v>
      </c>
      <c r="P1045" s="46" t="str" cm="1">
        <f t="array" aca="1" ref="P1045" ca="1">IFERROR(_xlfn.XLOOKUP(tblPedidos[[#This Row],[id_dropi]],tblNotas[[#This Row],[id__dropi]],tblNotas[[#This Row],[Notas Manuales]], “”, 0),"")</f>
        <v/>
      </c>
      <c r="R1045" t="s">
        <v>5245</v>
      </c>
      <c r="S1045">
        <v>20004.5</v>
      </c>
      <c r="T1045">
        <v>-17895.5</v>
      </c>
      <c r="U1045" cm="1">
        <f t="array" ref="U1045">IFERROR(_xlfn.IFS(tblPedidos[[#This Row],[estado_operativo]]="ENTREGADO",tblPedidos[[#This Row],[ganancia_calc]],tblPedidos[[#This Row],[estado_operativo]]="DEVOLUCION",tblPedidos[[#This Row],[costo_devolucion_estimado]]),0)</f>
        <v>20004.5</v>
      </c>
      <c r="V1045">
        <v>120027</v>
      </c>
      <c r="W1045">
        <v>59900</v>
      </c>
      <c r="X1045">
        <v>17895.5</v>
      </c>
      <c r="Y1045">
        <v>22000</v>
      </c>
      <c r="Z1045" s="11">
        <v>46036</v>
      </c>
      <c r="AA1045">
        <v>8</v>
      </c>
      <c r="AB1045" s="12">
        <v>0.61875000000000002</v>
      </c>
      <c r="AC1045" t="s">
        <v>720</v>
      </c>
      <c r="AD1045" t="s">
        <v>720</v>
      </c>
      <c r="AE1045" t="s">
        <v>720</v>
      </c>
    </row>
    <row r="1046" spans="1:31" ht="30.75">
      <c r="A1046" t="s">
        <v>1343</v>
      </c>
      <c r="B1046" s="46" t="s">
        <v>5731</v>
      </c>
      <c r="C1046">
        <v>32</v>
      </c>
      <c r="D1046" t="s">
        <v>5909</v>
      </c>
      <c r="E1046" s="11">
        <v>46025</v>
      </c>
      <c r="F1046" t="s">
        <v>5910</v>
      </c>
      <c r="G1046" t="s">
        <v>36</v>
      </c>
      <c r="J1046" t="s">
        <v>720</v>
      </c>
      <c r="K1046" t="s">
        <v>5911</v>
      </c>
      <c r="L1046" t="s">
        <v>54</v>
      </c>
      <c r="M1046" t="s">
        <v>373</v>
      </c>
      <c r="N1046" t="s">
        <v>5912</v>
      </c>
      <c r="O1046" t="s">
        <v>5913</v>
      </c>
      <c r="P1046" s="46" t="str" cm="1">
        <f t="array" aca="1" ref="P1046" ca="1">IFERROR(_xlfn.XLOOKUP(tblPedidos[[#This Row],[id_dropi]],tblNotas[[#This Row],[id__dropi]],tblNotas[[#This Row],[Notas Manuales]], “”, 0),"")</f>
        <v/>
      </c>
      <c r="R1046" t="s">
        <v>4707</v>
      </c>
      <c r="S1046">
        <v>29336.5</v>
      </c>
      <c r="T1046">
        <v>-13250.800000000001</v>
      </c>
      <c r="U1046" cm="1">
        <f t="array" ref="U1046">IFERROR(_xlfn.IFS(tblPedidos[[#This Row],[estado_operativo]]="ENTREGADO",tblPedidos[[#This Row],[ganancia_calc]],tblPedidos[[#This Row],[estado_operativo]]="DEVOLUCION",tblPedidos[[#This Row],[costo_devolucion_estimado]]),0)</f>
        <v>29336.5</v>
      </c>
      <c r="V1046">
        <v>176019</v>
      </c>
      <c r="W1046">
        <v>89900</v>
      </c>
      <c r="X1046">
        <v>16563.5</v>
      </c>
      <c r="Y1046">
        <v>44000</v>
      </c>
      <c r="Z1046" s="11">
        <v>46026</v>
      </c>
      <c r="AA1046">
        <v>18</v>
      </c>
      <c r="AB1046" s="12">
        <v>0.58125000000000004</v>
      </c>
      <c r="AC1046" t="s">
        <v>788</v>
      </c>
      <c r="AD1046" t="s">
        <v>720</v>
      </c>
      <c r="AE1046" t="s">
        <v>720</v>
      </c>
    </row>
    <row r="1047" spans="1:31" ht="30.75">
      <c r="A1047" t="s">
        <v>1343</v>
      </c>
      <c r="B1047" s="46" t="s">
        <v>5731</v>
      </c>
      <c r="C1047">
        <v>33</v>
      </c>
      <c r="D1047" t="s">
        <v>5914</v>
      </c>
      <c r="E1047" s="11">
        <v>46025</v>
      </c>
      <c r="F1047" t="s">
        <v>5915</v>
      </c>
      <c r="G1047" t="s">
        <v>45</v>
      </c>
      <c r="J1047" t="s">
        <v>720</v>
      </c>
      <c r="K1047" t="s">
        <v>5916</v>
      </c>
      <c r="L1047" t="s">
        <v>46</v>
      </c>
      <c r="M1047" t="s">
        <v>100</v>
      </c>
      <c r="N1047" t="s">
        <v>5917</v>
      </c>
      <c r="O1047" t="s">
        <v>5918</v>
      </c>
      <c r="P1047" s="46" t="str" cm="1">
        <f t="array" aca="1" ref="P1047" ca="1">IFERROR(_xlfn.XLOOKUP(tblPedidos[[#This Row],[id_dropi]],tblNotas[[#This Row],[id__dropi]],tblNotas[[#This Row],[Notas Manuales]], “”, 0),"")</f>
        <v/>
      </c>
      <c r="R1047" t="s">
        <v>5245</v>
      </c>
      <c r="S1047">
        <v>25954.5</v>
      </c>
      <c r="T1047">
        <v>-11945.5</v>
      </c>
      <c r="U1047" cm="1">
        <f t="array" ref="U1047">IFERROR(_xlfn.IFS(tblPedidos[[#This Row],[estado_operativo]]="ENTREGADO",tblPedidos[[#This Row],[ganancia_calc]],tblPedidos[[#This Row],[estado_operativo]]="DEVOLUCION",tblPedidos[[#This Row],[costo_devolucion_estimado]]),0)</f>
        <v>25954.5</v>
      </c>
      <c r="V1047">
        <v>155727</v>
      </c>
      <c r="W1047">
        <v>59900</v>
      </c>
      <c r="X1047">
        <v>11945.5</v>
      </c>
      <c r="Y1047">
        <v>22000</v>
      </c>
      <c r="Z1047" s="11">
        <v>46029</v>
      </c>
      <c r="AA1047">
        <v>15</v>
      </c>
      <c r="AB1047" s="12">
        <v>0.62083333333333335</v>
      </c>
      <c r="AC1047" t="s">
        <v>720</v>
      </c>
      <c r="AD1047" t="s">
        <v>720</v>
      </c>
      <c r="AE1047" t="s">
        <v>720</v>
      </c>
    </row>
    <row r="1048" spans="1:31" ht="30.75">
      <c r="A1048" t="s">
        <v>1343</v>
      </c>
      <c r="B1048" s="46" t="s">
        <v>5731</v>
      </c>
      <c r="C1048">
        <v>30</v>
      </c>
      <c r="D1048" t="s">
        <v>5919</v>
      </c>
      <c r="E1048" s="11">
        <v>46025</v>
      </c>
      <c r="F1048" t="s">
        <v>5920</v>
      </c>
      <c r="G1048" t="s">
        <v>36</v>
      </c>
      <c r="J1048" t="s">
        <v>720</v>
      </c>
      <c r="K1048" t="s">
        <v>5921</v>
      </c>
      <c r="L1048" t="s">
        <v>54</v>
      </c>
      <c r="M1048" t="s">
        <v>373</v>
      </c>
      <c r="N1048" t="s">
        <v>5922</v>
      </c>
      <c r="O1048" t="s">
        <v>5923</v>
      </c>
      <c r="P1048" s="46" t="str" cm="1">
        <f t="array" aca="1" ref="P1048" ca="1">IFERROR(_xlfn.XLOOKUP(tblPedidos[[#This Row],[id_dropi]],tblNotas[[#This Row],[id__dropi]],tblNotas[[#This Row],[Notas Manuales]], “”, 0),"")</f>
        <v/>
      </c>
      <c r="R1048" t="s">
        <v>5245</v>
      </c>
      <c r="S1048">
        <v>22686.5</v>
      </c>
      <c r="T1048">
        <v>-12170.800000000001</v>
      </c>
      <c r="U1048" cm="1">
        <f t="array" ref="U1048">IFERROR(_xlfn.IFS(tblPedidos[[#This Row],[estado_operativo]]="ENTREGADO",tblPedidos[[#This Row],[ganancia_calc]],tblPedidos[[#This Row],[estado_operativo]]="DEVOLUCION",tblPedidos[[#This Row],[costo_devolucion_estimado]]),0)</f>
        <v>22686.5</v>
      </c>
      <c r="V1048">
        <v>136119</v>
      </c>
      <c r="W1048">
        <v>59900</v>
      </c>
      <c r="X1048">
        <v>15213.5</v>
      </c>
      <c r="Y1048">
        <v>22000</v>
      </c>
      <c r="Z1048" s="11">
        <v>46026</v>
      </c>
      <c r="AA1048">
        <v>18</v>
      </c>
      <c r="AB1048" s="12">
        <v>0.58125000000000004</v>
      </c>
      <c r="AC1048" t="s">
        <v>788</v>
      </c>
      <c r="AD1048" t="s">
        <v>720</v>
      </c>
      <c r="AE1048" t="s">
        <v>720</v>
      </c>
    </row>
    <row r="1049" spans="1:31" ht="30.75">
      <c r="A1049" s="44" t="s">
        <v>1343</v>
      </c>
      <c r="B1049" s="46" t="s">
        <v>5731</v>
      </c>
      <c r="C1049" s="44">
        <v>31</v>
      </c>
      <c r="D1049" s="44" t="s">
        <v>5924</v>
      </c>
      <c r="E1049" s="45">
        <v>46025</v>
      </c>
      <c r="F1049" t="s">
        <v>5925</v>
      </c>
      <c r="G1049" s="44" t="s">
        <v>45</v>
      </c>
      <c r="H1049" s="44"/>
      <c r="I1049" s="44"/>
      <c r="J1049" s="44" t="s">
        <v>1657</v>
      </c>
      <c r="K1049" s="44" t="s">
        <v>5926</v>
      </c>
      <c r="L1049" s="44" t="s">
        <v>54</v>
      </c>
      <c r="M1049" s="44" t="s">
        <v>2651</v>
      </c>
      <c r="N1049" s="44" t="s">
        <v>5927</v>
      </c>
      <c r="O1049" s="44" t="s">
        <v>5928</v>
      </c>
      <c r="P1049" s="46" t="str" cm="1">
        <f t="array" aca="1" ref="P1049" ca="1">IFERROR(_xlfn.XLOOKUP(tblPedidos[[#This Row],[id_dropi]],tblNotas[[#This Row],[id__dropi]],tblNotas[[#This Row],[Notas Manuales]], “”, 0),"")</f>
        <v/>
      </c>
      <c r="Q1049" s="44" t="s">
        <v>50</v>
      </c>
      <c r="R1049" s="44" t="s">
        <v>5245</v>
      </c>
      <c r="S1049" s="44">
        <v>20004.5</v>
      </c>
      <c r="T1049" s="44">
        <v>-17895.5</v>
      </c>
      <c r="U1049" s="44" cm="1">
        <f t="array" ref="U1049">IFERROR(_xlfn.IFS(tblPedidos[[#This Row],[estado_operativo]]="ENTREGADO",tblPedidos[[#This Row],[ganancia_calc]],tblPedidos[[#This Row],[estado_operativo]]="DEVOLUCION",tblPedidos[[#This Row],[costo_devolucion_estimado]]),0)</f>
        <v>-17895.5</v>
      </c>
      <c r="V1049" s="44">
        <v>-107373</v>
      </c>
      <c r="W1049" s="44">
        <v>59900</v>
      </c>
      <c r="X1049" s="44">
        <v>17895.5</v>
      </c>
      <c r="Y1049" s="44">
        <v>22000</v>
      </c>
      <c r="Z1049" s="11">
        <v>46037</v>
      </c>
      <c r="AA1049">
        <v>7</v>
      </c>
      <c r="AB1049" s="12">
        <v>0.60833333333333328</v>
      </c>
      <c r="AC1049" s="44" t="s">
        <v>1657</v>
      </c>
      <c r="AD1049" s="44" t="s">
        <v>1657</v>
      </c>
      <c r="AE1049" s="44" t="s">
        <v>1657</v>
      </c>
    </row>
    <row r="1050" spans="1:31" ht="30.75">
      <c r="A1050" t="s">
        <v>1343</v>
      </c>
      <c r="B1050" s="46" t="s">
        <v>5731</v>
      </c>
      <c r="C1050">
        <v>36</v>
      </c>
      <c r="D1050" t="s">
        <v>5929</v>
      </c>
      <c r="E1050" s="11">
        <v>46025</v>
      </c>
      <c r="F1050" t="s">
        <v>5930</v>
      </c>
      <c r="G1050" t="s">
        <v>45</v>
      </c>
      <c r="J1050" t="s">
        <v>720</v>
      </c>
      <c r="K1050" t="s">
        <v>5931</v>
      </c>
      <c r="L1050" t="s">
        <v>5932</v>
      </c>
      <c r="M1050" t="s">
        <v>5933</v>
      </c>
      <c r="N1050" t="s">
        <v>5934</v>
      </c>
      <c r="O1050" t="s">
        <v>5935</v>
      </c>
      <c r="P1050" s="46" t="str" cm="1">
        <f t="array" aca="1" ref="P1050" ca="1">IFERROR(_xlfn.XLOOKUP(tblPedidos[[#This Row],[id_dropi]],tblNotas[[#This Row],[id__dropi]],tblNotas[[#This Row],[Notas Manuales]], “”, 0),"")</f>
        <v/>
      </c>
      <c r="Q1050" t="s">
        <v>50</v>
      </c>
      <c r="R1050" t="s">
        <v>5245</v>
      </c>
      <c r="S1050">
        <v>25804.5</v>
      </c>
      <c r="T1050">
        <v>-32095.5</v>
      </c>
      <c r="U1050" cm="1">
        <f t="array" ref="U1050">IFERROR(_xlfn.IFS(tblPedidos[[#This Row],[estado_operativo]]="ENTREGADO",tblPedidos[[#This Row],[ganancia_calc]],tblPedidos[[#This Row],[estado_operativo]]="DEVOLUCION",tblPedidos[[#This Row],[costo_devolucion_estimado]]),0)</f>
        <v>25804.5</v>
      </c>
      <c r="V1050">
        <v>154827</v>
      </c>
      <c r="W1050">
        <v>79900</v>
      </c>
      <c r="X1050">
        <v>32095.5</v>
      </c>
      <c r="Y1050">
        <v>22000</v>
      </c>
      <c r="Z1050" s="11">
        <v>46029</v>
      </c>
      <c r="AA1050">
        <v>15</v>
      </c>
      <c r="AB1050" s="12">
        <v>0.68541666666666667</v>
      </c>
      <c r="AC1050" t="s">
        <v>720</v>
      </c>
      <c r="AD1050" t="s">
        <v>720</v>
      </c>
      <c r="AE1050" t="s">
        <v>720</v>
      </c>
    </row>
    <row r="1051" spans="1:31" ht="30.75">
      <c r="A1051" t="s">
        <v>1343</v>
      </c>
      <c r="B1051" s="46" t="s">
        <v>5731</v>
      </c>
      <c r="C1051">
        <v>37</v>
      </c>
      <c r="D1051" t="s">
        <v>5936</v>
      </c>
      <c r="E1051" s="11">
        <v>46025</v>
      </c>
      <c r="F1051" t="s">
        <v>5937</v>
      </c>
      <c r="G1051" t="s">
        <v>45</v>
      </c>
      <c r="J1051" t="s">
        <v>720</v>
      </c>
      <c r="K1051" t="s">
        <v>5938</v>
      </c>
      <c r="L1051" t="s">
        <v>54</v>
      </c>
      <c r="M1051" t="s">
        <v>1613</v>
      </c>
      <c r="N1051" t="s">
        <v>5939</v>
      </c>
      <c r="O1051" t="s">
        <v>5940</v>
      </c>
      <c r="P1051" s="46" t="str" cm="1">
        <f t="array" aca="1" ref="P1051" ca="1">IFERROR(_xlfn.XLOOKUP(tblPedidos[[#This Row],[id_dropi]],tblNotas[[#This Row],[id__dropi]],tblNotas[[#This Row],[Notas Manuales]], “”, 0),"")</f>
        <v/>
      </c>
      <c r="Q1051" t="s">
        <v>50</v>
      </c>
      <c r="R1051" t="s">
        <v>4707</v>
      </c>
      <c r="S1051">
        <v>26654.5</v>
      </c>
      <c r="T1051">
        <v>-19245.5</v>
      </c>
      <c r="U1051" cm="1">
        <f t="array" ref="U1051">IFERROR(_xlfn.IFS(tblPedidos[[#This Row],[estado_operativo]]="ENTREGADO",tblPedidos[[#This Row],[ganancia_calc]],tblPedidos[[#This Row],[estado_operativo]]="DEVOLUCION",tblPedidos[[#This Row],[costo_devolucion_estimado]]),0)</f>
        <v>26654.5</v>
      </c>
      <c r="V1051">
        <v>159927</v>
      </c>
      <c r="W1051">
        <v>89900</v>
      </c>
      <c r="X1051">
        <v>19245.5</v>
      </c>
      <c r="Y1051">
        <v>44000</v>
      </c>
      <c r="Z1051" s="11">
        <v>46031</v>
      </c>
      <c r="AA1051">
        <v>13</v>
      </c>
      <c r="AB1051" s="12">
        <v>0.62222222222222223</v>
      </c>
      <c r="AC1051" t="s">
        <v>720</v>
      </c>
      <c r="AD1051" t="s">
        <v>720</v>
      </c>
      <c r="AE1051" t="s">
        <v>720</v>
      </c>
    </row>
    <row r="1052" spans="1:31">
      <c r="A1052" t="s">
        <v>33</v>
      </c>
      <c r="C1052">
        <v>34</v>
      </c>
      <c r="D1052" t="s">
        <v>5941</v>
      </c>
      <c r="E1052" s="11">
        <v>46025</v>
      </c>
      <c r="F1052" t="s">
        <v>5942</v>
      </c>
      <c r="G1052" t="s">
        <v>958</v>
      </c>
      <c r="J1052" t="s">
        <v>1657</v>
      </c>
      <c r="K1052" t="s">
        <v>5943</v>
      </c>
      <c r="L1052" t="s">
        <v>54</v>
      </c>
      <c r="M1052" t="s">
        <v>1491</v>
      </c>
      <c r="N1052" t="s">
        <v>5944</v>
      </c>
      <c r="O1052" t="s">
        <v>5945</v>
      </c>
      <c r="P1052" s="46" t="str" cm="1">
        <f t="array" aca="1" ref="P1052" ca="1">IFERROR(_xlfn.XLOOKUP(tblPedidos[[#This Row],[id_dropi]],tblNotas[[#This Row],[id__dropi]],tblNotas[[#This Row],[Notas Manuales]], “”, 0),"")</f>
        <v/>
      </c>
      <c r="R1052" t="s">
        <v>4707</v>
      </c>
      <c r="S1052">
        <v>32253.5</v>
      </c>
      <c r="T1052">
        <v>-10917.2</v>
      </c>
      <c r="U1052" cm="1">
        <f t="array" ref="U1052">IFERROR(_xlfn.IFS(tblPedidos[[#This Row],[estado_operativo]]="ENTREGADO",tblPedidos[[#This Row],[ganancia_calc]],tblPedidos[[#This Row],[estado_operativo]]="DEVOLUCION",tblPedidos[[#This Row],[costo_devolucion_estimado]]),0)</f>
        <v>-10917.2</v>
      </c>
      <c r="V1052">
        <v>0</v>
      </c>
      <c r="W1052">
        <v>89900</v>
      </c>
      <c r="X1052">
        <v>13646.5</v>
      </c>
      <c r="Y1052">
        <v>44000</v>
      </c>
      <c r="Z1052" s="11">
        <v>46043</v>
      </c>
      <c r="AA1052">
        <v>1</v>
      </c>
      <c r="AB1052" s="12">
        <v>0.67569444444444449</v>
      </c>
      <c r="AC1052" t="s">
        <v>5946</v>
      </c>
      <c r="AD1052" t="s">
        <v>5946</v>
      </c>
      <c r="AE1052" t="s">
        <v>1657</v>
      </c>
    </row>
    <row r="1053" spans="1:31" ht="30.75">
      <c r="A1053" t="s">
        <v>1343</v>
      </c>
      <c r="B1053" s="46" t="s">
        <v>5731</v>
      </c>
      <c r="C1053">
        <v>35</v>
      </c>
      <c r="D1053" t="s">
        <v>5947</v>
      </c>
      <c r="E1053" s="11">
        <v>46025</v>
      </c>
      <c r="F1053" t="s">
        <v>5948</v>
      </c>
      <c r="G1053" t="s">
        <v>36</v>
      </c>
      <c r="J1053" t="s">
        <v>720</v>
      </c>
      <c r="K1053" t="s">
        <v>5949</v>
      </c>
      <c r="L1053" t="s">
        <v>54</v>
      </c>
      <c r="M1053" t="s">
        <v>224</v>
      </c>
      <c r="N1053" t="s">
        <v>5950</v>
      </c>
      <c r="O1053" t="s">
        <v>5951</v>
      </c>
      <c r="P1053" s="46" t="str" cm="1">
        <f t="array" aca="1" ref="P1053" ca="1">IFERROR(_xlfn.XLOOKUP(tblPedidos[[#This Row],[id_dropi]],tblNotas[[#This Row],[id__dropi]],tblNotas[[#This Row],[Notas Manuales]], “”, 0),"")</f>
        <v/>
      </c>
      <c r="R1053" t="s">
        <v>5245</v>
      </c>
      <c r="S1053">
        <v>22686.5</v>
      </c>
      <c r="T1053">
        <v>-12170.800000000001</v>
      </c>
      <c r="U1053" cm="1">
        <f t="array" ref="U1053">IFERROR(_xlfn.IFS(tblPedidos[[#This Row],[estado_operativo]]="ENTREGADO",tblPedidos[[#This Row],[ganancia_calc]],tblPedidos[[#This Row],[estado_operativo]]="DEVOLUCION",tblPedidos[[#This Row],[costo_devolucion_estimado]]),0)</f>
        <v>22686.5</v>
      </c>
      <c r="V1053">
        <v>136119</v>
      </c>
      <c r="W1053">
        <v>59900</v>
      </c>
      <c r="X1053">
        <v>15213.5</v>
      </c>
      <c r="Y1053">
        <v>22000</v>
      </c>
      <c r="Z1053" s="11">
        <v>46026</v>
      </c>
      <c r="AA1053">
        <v>18</v>
      </c>
      <c r="AB1053" s="12">
        <v>0.58125000000000004</v>
      </c>
      <c r="AC1053" t="s">
        <v>788</v>
      </c>
      <c r="AD1053" t="s">
        <v>720</v>
      </c>
      <c r="AE1053" t="s">
        <v>720</v>
      </c>
    </row>
    <row r="1054" spans="1:31" ht="30.75">
      <c r="A1054" t="s">
        <v>1343</v>
      </c>
      <c r="B1054" s="46" t="s">
        <v>5731</v>
      </c>
      <c r="C1054">
        <v>29</v>
      </c>
      <c r="D1054" t="s">
        <v>5952</v>
      </c>
      <c r="E1054" s="11">
        <v>46025</v>
      </c>
      <c r="F1054" t="s">
        <v>5953</v>
      </c>
      <c r="G1054" t="s">
        <v>45</v>
      </c>
      <c r="J1054" t="s">
        <v>720</v>
      </c>
      <c r="K1054" t="s">
        <v>5954</v>
      </c>
      <c r="L1054" t="s">
        <v>212</v>
      </c>
      <c r="M1054" t="s">
        <v>1561</v>
      </c>
      <c r="N1054" t="s">
        <v>5955</v>
      </c>
      <c r="O1054" t="s">
        <v>5956</v>
      </c>
      <c r="P1054" s="46" t="str" cm="1">
        <f t="array" aca="1" ref="P1054" ca="1">IFERROR(_xlfn.XLOOKUP(tblPedidos[[#This Row],[id_dropi]],tblNotas[[#This Row],[id__dropi]],tblNotas[[#This Row],[Notas Manuales]], “”, 0),"")</f>
        <v/>
      </c>
      <c r="R1054" t="s">
        <v>4707</v>
      </c>
      <c r="S1054">
        <v>31204.5</v>
      </c>
      <c r="T1054">
        <v>-14695.5</v>
      </c>
      <c r="U1054" cm="1">
        <f t="array" ref="U1054">IFERROR(_xlfn.IFS(tblPedidos[[#This Row],[estado_operativo]]="ENTREGADO",tblPedidos[[#This Row],[ganancia_calc]],tblPedidos[[#This Row],[estado_operativo]]="DEVOLUCION",tblPedidos[[#This Row],[costo_devolucion_estimado]]),0)</f>
        <v>31204.5</v>
      </c>
      <c r="V1054">
        <v>187227</v>
      </c>
      <c r="W1054">
        <v>89900</v>
      </c>
      <c r="X1054">
        <v>14695.5</v>
      </c>
      <c r="Y1054">
        <v>44000</v>
      </c>
      <c r="Z1054" s="11">
        <v>46029</v>
      </c>
      <c r="AA1054">
        <v>15</v>
      </c>
      <c r="AB1054" s="12">
        <v>0.61319444444444449</v>
      </c>
      <c r="AC1054" t="s">
        <v>720</v>
      </c>
      <c r="AD1054" t="s">
        <v>720</v>
      </c>
      <c r="AE1054" t="s">
        <v>720</v>
      </c>
    </row>
    <row r="1055" spans="1:31" ht="30.75">
      <c r="A1055" t="s">
        <v>1343</v>
      </c>
      <c r="B1055" s="46" t="s">
        <v>5731</v>
      </c>
      <c r="C1055">
        <v>23</v>
      </c>
      <c r="D1055" t="s">
        <v>5957</v>
      </c>
      <c r="E1055" s="11">
        <v>46025</v>
      </c>
      <c r="F1055" t="s">
        <v>5958</v>
      </c>
      <c r="G1055" t="s">
        <v>45</v>
      </c>
      <c r="J1055" t="s">
        <v>720</v>
      </c>
      <c r="K1055" t="s">
        <v>5959</v>
      </c>
      <c r="L1055" t="s">
        <v>54</v>
      </c>
      <c r="M1055" t="s">
        <v>5006</v>
      </c>
      <c r="N1055" t="s">
        <v>5007</v>
      </c>
      <c r="O1055" t="s">
        <v>5960</v>
      </c>
      <c r="P1055" s="46" t="str" cm="1">
        <f t="array" aca="1" ref="P1055" ca="1">IFERROR(_xlfn.XLOOKUP(tblPedidos[[#This Row],[id_dropi]],tblNotas[[#This Row],[id__dropi]],tblNotas[[#This Row],[Notas Manuales]], “”, 0),"")</f>
        <v/>
      </c>
      <c r="Q1055" t="s">
        <v>50</v>
      </c>
      <c r="R1055" t="s">
        <v>5245</v>
      </c>
      <c r="S1055">
        <v>20004.5</v>
      </c>
      <c r="T1055">
        <v>-17895.5</v>
      </c>
      <c r="U1055" cm="1">
        <f t="array" ref="U1055">IFERROR(_xlfn.IFS(tblPedidos[[#This Row],[estado_operativo]]="ENTREGADO",tblPedidos[[#This Row],[ganancia_calc]],tblPedidos[[#This Row],[estado_operativo]]="DEVOLUCION",tblPedidos[[#This Row],[costo_devolucion_estimado]]),0)</f>
        <v>20004.5</v>
      </c>
      <c r="V1055">
        <v>120027</v>
      </c>
      <c r="W1055">
        <v>59900</v>
      </c>
      <c r="X1055">
        <v>17895.5</v>
      </c>
      <c r="Y1055">
        <v>22000</v>
      </c>
      <c r="Z1055" s="11">
        <v>46036</v>
      </c>
      <c r="AA1055">
        <v>8</v>
      </c>
      <c r="AB1055" s="12">
        <v>0.62152777777777779</v>
      </c>
      <c r="AC1055" t="s">
        <v>720</v>
      </c>
      <c r="AD1055" t="s">
        <v>720</v>
      </c>
      <c r="AE1055" t="s">
        <v>720</v>
      </c>
    </row>
    <row r="1056" spans="1:31" ht="30.75">
      <c r="A1056" t="s">
        <v>1343</v>
      </c>
      <c r="B1056" s="46" t="s">
        <v>5731</v>
      </c>
      <c r="C1056">
        <v>24</v>
      </c>
      <c r="D1056" t="s">
        <v>5961</v>
      </c>
      <c r="E1056" s="11">
        <v>46025</v>
      </c>
      <c r="F1056" t="s">
        <v>5962</v>
      </c>
      <c r="G1056" t="s">
        <v>45</v>
      </c>
      <c r="J1056" t="s">
        <v>720</v>
      </c>
      <c r="K1056" t="s">
        <v>5963</v>
      </c>
      <c r="L1056" t="s">
        <v>545</v>
      </c>
      <c r="M1056" t="s">
        <v>2691</v>
      </c>
      <c r="N1056" t="s">
        <v>5964</v>
      </c>
      <c r="O1056" t="s">
        <v>5965</v>
      </c>
      <c r="P1056" s="46" t="str" cm="1">
        <f t="array" aca="1" ref="P1056" ca="1">IFERROR(_xlfn.XLOOKUP(tblPedidos[[#This Row],[id_dropi]],tblNotas[[#This Row],[id__dropi]],tblNotas[[#This Row],[Notas Manuales]], “”, 0),"")</f>
        <v/>
      </c>
      <c r="R1056" t="s">
        <v>4707</v>
      </c>
      <c r="S1056">
        <v>26654.5</v>
      </c>
      <c r="T1056">
        <v>-19245.5</v>
      </c>
      <c r="U1056" cm="1">
        <f t="array" ref="U1056">IFERROR(_xlfn.IFS(tblPedidos[[#This Row],[estado_operativo]]="ENTREGADO",tblPedidos[[#This Row],[ganancia_calc]],tblPedidos[[#This Row],[estado_operativo]]="DEVOLUCION",tblPedidos[[#This Row],[costo_devolucion_estimado]]),0)</f>
        <v>26654.5</v>
      </c>
      <c r="V1056">
        <v>159927</v>
      </c>
      <c r="W1056">
        <v>89900</v>
      </c>
      <c r="X1056">
        <v>19245.5</v>
      </c>
      <c r="Y1056">
        <v>44000</v>
      </c>
      <c r="Z1056" s="11">
        <v>46029</v>
      </c>
      <c r="AA1056">
        <v>15</v>
      </c>
      <c r="AB1056" s="12">
        <v>0.62083333333333335</v>
      </c>
      <c r="AC1056" t="s">
        <v>720</v>
      </c>
      <c r="AD1056" t="s">
        <v>720</v>
      </c>
      <c r="AE1056" t="s">
        <v>720</v>
      </c>
    </row>
    <row r="1057" spans="1:31" ht="30.75">
      <c r="A1057" t="s">
        <v>1343</v>
      </c>
      <c r="B1057" s="46" t="s">
        <v>5731</v>
      </c>
      <c r="C1057">
        <v>21</v>
      </c>
      <c r="D1057" t="s">
        <v>5966</v>
      </c>
      <c r="E1057" s="11">
        <v>46025</v>
      </c>
      <c r="F1057" t="s">
        <v>5967</v>
      </c>
      <c r="G1057" t="s">
        <v>36</v>
      </c>
      <c r="J1057" t="s">
        <v>720</v>
      </c>
      <c r="K1057" t="s">
        <v>5968</v>
      </c>
      <c r="L1057" t="s">
        <v>166</v>
      </c>
      <c r="M1057" t="s">
        <v>468</v>
      </c>
      <c r="N1057" t="s">
        <v>5969</v>
      </c>
      <c r="O1057" t="s">
        <v>5970</v>
      </c>
      <c r="P1057" s="46" t="str" cm="1">
        <f t="array" aca="1" ref="P1057" ca="1">IFERROR(_xlfn.XLOOKUP(tblPedidos[[#This Row],[id_dropi]],tblNotas[[#This Row],[id__dropi]],tblNotas[[#This Row],[Notas Manuales]], “”, 0),"")</f>
        <v/>
      </c>
      <c r="R1057" t="s">
        <v>4707</v>
      </c>
      <c r="S1057">
        <v>24561.5</v>
      </c>
      <c r="T1057">
        <v>-13070.800000000001</v>
      </c>
      <c r="U1057" cm="1">
        <f t="array" ref="U1057">IFERROR(_xlfn.IFS(tblPedidos[[#This Row],[estado_operativo]]="ENTREGADO",tblPedidos[[#This Row],[ganancia_calc]],tblPedidos[[#This Row],[estado_operativo]]="DEVOLUCION",tblPedidos[[#This Row],[costo_devolucion_estimado]]),0)</f>
        <v>24561.5</v>
      </c>
      <c r="V1057">
        <v>147369</v>
      </c>
      <c r="W1057">
        <v>84900</v>
      </c>
      <c r="X1057">
        <v>16338.5</v>
      </c>
      <c r="Y1057">
        <v>44000</v>
      </c>
      <c r="Z1057" s="11">
        <v>46026</v>
      </c>
      <c r="AA1057">
        <v>18</v>
      </c>
      <c r="AB1057" s="12">
        <v>0.58125000000000004</v>
      </c>
      <c r="AC1057" t="s">
        <v>788</v>
      </c>
      <c r="AD1057" t="s">
        <v>720</v>
      </c>
      <c r="AE1057" t="s">
        <v>720</v>
      </c>
    </row>
    <row r="1058" spans="1:31" ht="30.75">
      <c r="A1058" t="s">
        <v>1343</v>
      </c>
      <c r="B1058" s="46" t="s">
        <v>5731</v>
      </c>
      <c r="C1058">
        <v>22</v>
      </c>
      <c r="D1058" t="s">
        <v>5971</v>
      </c>
      <c r="E1058" s="11">
        <v>46025</v>
      </c>
      <c r="F1058" t="s">
        <v>5972</v>
      </c>
      <c r="G1058" t="s">
        <v>45</v>
      </c>
      <c r="J1058" t="s">
        <v>720</v>
      </c>
      <c r="K1058" t="s">
        <v>5973</v>
      </c>
      <c r="L1058" t="s">
        <v>46</v>
      </c>
      <c r="M1058" t="s">
        <v>100</v>
      </c>
      <c r="N1058" t="s">
        <v>5974</v>
      </c>
      <c r="O1058" t="s">
        <v>5975</v>
      </c>
      <c r="P1058" s="46" t="str" cm="1">
        <f t="array" aca="1" ref="P1058" ca="1">IFERROR(_xlfn.XLOOKUP(tblPedidos[[#This Row],[id_dropi]],tblNotas[[#This Row],[id__dropi]],tblNotas[[#This Row],[Notas Manuales]], “”, 0),"")</f>
        <v/>
      </c>
      <c r="R1058" t="s">
        <v>5976</v>
      </c>
      <c r="S1058">
        <v>32604.5</v>
      </c>
      <c r="T1058">
        <v>-13295.5</v>
      </c>
      <c r="U1058" cm="1">
        <f t="array" ref="U1058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58">
        <v>195627</v>
      </c>
      <c r="W1058">
        <v>89900</v>
      </c>
      <c r="X1058">
        <v>13295.5</v>
      </c>
      <c r="Y1058">
        <v>44000</v>
      </c>
      <c r="Z1058" s="11">
        <v>46029</v>
      </c>
      <c r="AA1058">
        <v>15</v>
      </c>
      <c r="AB1058" s="12">
        <v>0.62083333333333335</v>
      </c>
      <c r="AC1058" t="s">
        <v>720</v>
      </c>
      <c r="AD1058" t="s">
        <v>720</v>
      </c>
      <c r="AE1058" t="s">
        <v>720</v>
      </c>
    </row>
    <row r="1059" spans="1:31" ht="30.75">
      <c r="A1059" t="s">
        <v>1343</v>
      </c>
      <c r="B1059" s="46" t="s">
        <v>5731</v>
      </c>
      <c r="C1059">
        <v>27</v>
      </c>
      <c r="D1059" t="s">
        <v>5977</v>
      </c>
      <c r="E1059" s="11">
        <v>46025</v>
      </c>
      <c r="F1059" t="s">
        <v>5978</v>
      </c>
      <c r="G1059" t="s">
        <v>45</v>
      </c>
      <c r="J1059" t="s">
        <v>720</v>
      </c>
      <c r="K1059" t="s">
        <v>5979</v>
      </c>
      <c r="L1059" t="s">
        <v>46</v>
      </c>
      <c r="M1059" t="s">
        <v>100</v>
      </c>
      <c r="N1059" t="s">
        <v>5980</v>
      </c>
      <c r="O1059" t="s">
        <v>5981</v>
      </c>
      <c r="P1059" s="46" t="str" cm="1">
        <f t="array" aca="1" ref="P1059" ca="1">IFERROR(_xlfn.XLOOKUP(tblPedidos[[#This Row],[id_dropi]],tblNotas[[#This Row],[id__dropi]],tblNotas[[#This Row],[Notas Manuales]], “”, 0),"")</f>
        <v/>
      </c>
      <c r="R1059" t="s">
        <v>5245</v>
      </c>
      <c r="S1059">
        <v>25954.5</v>
      </c>
      <c r="T1059">
        <v>-11945.5</v>
      </c>
      <c r="U1059" cm="1">
        <f t="array" ref="U1059">IFERROR(_xlfn.IFS(tblPedidos[[#This Row],[estado_operativo]]="ENTREGADO",tblPedidos[[#This Row],[ganancia_calc]],tblPedidos[[#This Row],[estado_operativo]]="DEVOLUCION",tblPedidos[[#This Row],[costo_devolucion_estimado]]),0)</f>
        <v>25954.5</v>
      </c>
      <c r="V1059">
        <v>155727</v>
      </c>
      <c r="W1059">
        <v>59900</v>
      </c>
      <c r="X1059">
        <v>11945.5</v>
      </c>
      <c r="Y1059">
        <v>22000</v>
      </c>
      <c r="Z1059" s="11">
        <v>46032</v>
      </c>
      <c r="AA1059">
        <v>12</v>
      </c>
      <c r="AB1059" s="12">
        <v>4.8611111111111112E-2</v>
      </c>
      <c r="AC1059" t="s">
        <v>720</v>
      </c>
      <c r="AD1059" t="s">
        <v>720</v>
      </c>
      <c r="AE1059" t="s">
        <v>720</v>
      </c>
    </row>
    <row r="1060" spans="1:31" ht="30.75">
      <c r="A1060" t="s">
        <v>1343</v>
      </c>
      <c r="B1060" s="46" t="s">
        <v>5731</v>
      </c>
      <c r="C1060">
        <v>28</v>
      </c>
      <c r="D1060" t="s">
        <v>5982</v>
      </c>
      <c r="E1060" s="11">
        <v>46025</v>
      </c>
      <c r="F1060" t="s">
        <v>5983</v>
      </c>
      <c r="G1060" t="s">
        <v>45</v>
      </c>
      <c r="J1060" t="s">
        <v>720</v>
      </c>
      <c r="K1060" t="s">
        <v>5984</v>
      </c>
      <c r="L1060" t="s">
        <v>46</v>
      </c>
      <c r="M1060" t="s">
        <v>100</v>
      </c>
      <c r="N1060" t="s">
        <v>5985</v>
      </c>
      <c r="O1060" t="s">
        <v>5986</v>
      </c>
      <c r="P1060" s="46" t="str" cm="1">
        <f t="array" aca="1" ref="P1060" ca="1">IFERROR(_xlfn.XLOOKUP(tblPedidos[[#This Row],[id_dropi]],tblNotas[[#This Row],[id__dropi]],tblNotas[[#This Row],[Notas Manuales]], “”, 0),"")</f>
        <v/>
      </c>
      <c r="R1060" t="s">
        <v>5245</v>
      </c>
      <c r="S1060">
        <v>25954.5</v>
      </c>
      <c r="T1060">
        <v>-11945.5</v>
      </c>
      <c r="U1060" cm="1">
        <f t="array" ref="U1060">IFERROR(_xlfn.IFS(tblPedidos[[#This Row],[estado_operativo]]="ENTREGADO",tblPedidos[[#This Row],[ganancia_calc]],tblPedidos[[#This Row],[estado_operativo]]="DEVOLUCION",tblPedidos[[#This Row],[costo_devolucion_estimado]]),0)</f>
        <v>25954.5</v>
      </c>
      <c r="V1060">
        <v>155727</v>
      </c>
      <c r="W1060">
        <v>59900</v>
      </c>
      <c r="X1060">
        <v>11945.5</v>
      </c>
      <c r="Y1060">
        <v>22000</v>
      </c>
      <c r="Z1060" s="11">
        <v>46029</v>
      </c>
      <c r="AA1060">
        <v>15</v>
      </c>
      <c r="AB1060" s="12">
        <v>0.62083333333333335</v>
      </c>
      <c r="AC1060" t="s">
        <v>720</v>
      </c>
      <c r="AD1060" t="s">
        <v>720</v>
      </c>
      <c r="AE1060" t="s">
        <v>720</v>
      </c>
    </row>
    <row r="1061" spans="1:31" ht="30.75">
      <c r="A1061" s="44" t="s">
        <v>1343</v>
      </c>
      <c r="B1061" s="46" t="s">
        <v>5731</v>
      </c>
      <c r="C1061" s="44">
        <v>25</v>
      </c>
      <c r="D1061" s="44" t="s">
        <v>5987</v>
      </c>
      <c r="E1061" s="45">
        <v>46025</v>
      </c>
      <c r="F1061" t="s">
        <v>5988</v>
      </c>
      <c r="G1061" s="44" t="s">
        <v>45</v>
      </c>
      <c r="H1061" s="44"/>
      <c r="I1061" s="44"/>
      <c r="J1061" s="44" t="s">
        <v>1657</v>
      </c>
      <c r="K1061" s="44" t="s">
        <v>5989</v>
      </c>
      <c r="L1061" s="44" t="s">
        <v>328</v>
      </c>
      <c r="M1061" s="44" t="s">
        <v>1327</v>
      </c>
      <c r="N1061" s="44" t="s">
        <v>5990</v>
      </c>
      <c r="O1061" s="44" t="s">
        <v>5991</v>
      </c>
      <c r="P1061" s="46" t="str" cm="1">
        <f t="array" aca="1" ref="P1061" ca="1">IFERROR(_xlfn.XLOOKUP(tblPedidos[[#This Row],[id_dropi]],tblNotas[[#This Row],[id__dropi]],tblNotas[[#This Row],[Notas Manuales]], “”, 0),"")</f>
        <v/>
      </c>
      <c r="Q1061" s="44"/>
      <c r="R1061" s="44" t="s">
        <v>5245</v>
      </c>
      <c r="S1061" s="44">
        <v>20004.5</v>
      </c>
      <c r="T1061" s="44">
        <v>-17895.5</v>
      </c>
      <c r="U1061" s="44" cm="1">
        <f t="array" ref="U1061">IFERROR(_xlfn.IFS(tblPedidos[[#This Row],[estado_operativo]]="ENTREGADO",tblPedidos[[#This Row],[ganancia_calc]],tblPedidos[[#This Row],[estado_operativo]]="DEVOLUCION",tblPedidos[[#This Row],[costo_devolucion_estimado]]),0)</f>
        <v>-17895.5</v>
      </c>
      <c r="V1061" s="44">
        <v>-107373</v>
      </c>
      <c r="W1061" s="44">
        <v>59900</v>
      </c>
      <c r="X1061" s="44">
        <v>17895.5</v>
      </c>
      <c r="Y1061" s="44">
        <v>22000</v>
      </c>
      <c r="Z1061" s="11">
        <v>46036</v>
      </c>
      <c r="AA1061">
        <v>8</v>
      </c>
      <c r="AB1061" s="12">
        <v>0.35069444444444442</v>
      </c>
      <c r="AC1061" s="44" t="s">
        <v>1657</v>
      </c>
      <c r="AD1061" s="44" t="s">
        <v>1657</v>
      </c>
      <c r="AE1061" s="44" t="s">
        <v>1657</v>
      </c>
    </row>
    <row r="1062" spans="1:31" ht="30.75">
      <c r="A1062" t="s">
        <v>1343</v>
      </c>
      <c r="B1062" s="46" t="s">
        <v>5731</v>
      </c>
      <c r="C1062">
        <v>26</v>
      </c>
      <c r="D1062" t="s">
        <v>5992</v>
      </c>
      <c r="E1062" s="11">
        <v>46025</v>
      </c>
      <c r="F1062" t="s">
        <v>5993</v>
      </c>
      <c r="G1062" t="s">
        <v>45</v>
      </c>
      <c r="J1062" t="s">
        <v>720</v>
      </c>
      <c r="K1062" t="s">
        <v>5994</v>
      </c>
      <c r="L1062" t="s">
        <v>46</v>
      </c>
      <c r="M1062" t="s">
        <v>100</v>
      </c>
      <c r="N1062" t="s">
        <v>5995</v>
      </c>
      <c r="O1062" t="s">
        <v>5996</v>
      </c>
      <c r="P1062" s="46" t="str" cm="1">
        <f t="array" aca="1" ref="P1062" ca="1">IFERROR(_xlfn.XLOOKUP(tblPedidos[[#This Row],[id_dropi]],tblNotas[[#This Row],[id__dropi]],tblNotas[[#This Row],[Notas Manuales]], “”, 0),"")</f>
        <v/>
      </c>
      <c r="R1062" t="s">
        <v>4707</v>
      </c>
      <c r="S1062">
        <v>32604.5</v>
      </c>
      <c r="T1062">
        <v>-13295.5</v>
      </c>
      <c r="U1062" cm="1">
        <f t="array" ref="U1062">IFERROR(_xlfn.IFS(tblPedidos[[#This Row],[estado_operativo]]="ENTREGADO",tblPedidos[[#This Row],[ganancia_calc]],tblPedidos[[#This Row],[estado_operativo]]="DEVOLUCION",tblPedidos[[#This Row],[costo_devolucion_estimado]]),0)</f>
        <v>32604.5</v>
      </c>
      <c r="V1062">
        <v>195627</v>
      </c>
      <c r="W1062">
        <v>89900</v>
      </c>
      <c r="X1062">
        <v>13295.5</v>
      </c>
      <c r="Y1062">
        <v>44000</v>
      </c>
      <c r="Z1062" s="11">
        <v>46029</v>
      </c>
      <c r="AA1062">
        <v>15</v>
      </c>
      <c r="AB1062" s="12">
        <v>0.62083333333333335</v>
      </c>
      <c r="AC1062" t="s">
        <v>720</v>
      </c>
      <c r="AD1062" t="s">
        <v>720</v>
      </c>
      <c r="AE1062" t="s">
        <v>720</v>
      </c>
    </row>
    <row r="1063" spans="1:31">
      <c r="A1063" t="s">
        <v>1343</v>
      </c>
      <c r="B1063" t="s">
        <v>2946</v>
      </c>
      <c r="C1063">
        <v>2</v>
      </c>
      <c r="D1063" t="s">
        <v>5997</v>
      </c>
      <c r="E1063" s="11">
        <v>46023</v>
      </c>
      <c r="F1063" t="s">
        <v>5998</v>
      </c>
      <c r="G1063" t="s">
        <v>36</v>
      </c>
      <c r="J1063" t="s">
        <v>720</v>
      </c>
      <c r="K1063" t="s">
        <v>5999</v>
      </c>
      <c r="L1063" t="s">
        <v>74</v>
      </c>
      <c r="M1063" t="s">
        <v>1555</v>
      </c>
      <c r="N1063" t="s">
        <v>6000</v>
      </c>
      <c r="O1063" t="s">
        <v>6001</v>
      </c>
      <c r="P1063" s="46" t="str" cm="1">
        <f t="array" aca="1" ref="P1063" ca="1">IFERROR(_xlfn.XLOOKUP(tblPedidos[[#This Row],[id_dropi]],tblNotas[[#This Row],[id__dropi]],tblNotas[[#This Row],[Notas Manuales]], “”, 0),"")</f>
        <v/>
      </c>
      <c r="R1063" t="s">
        <v>2983</v>
      </c>
      <c r="S1063">
        <v>30786.5</v>
      </c>
      <c r="T1063">
        <v>-12530.800000000001</v>
      </c>
      <c r="U1063" cm="1">
        <f t="array" ref="U1063">IFERROR(_xlfn.IFS(tblPedidos[[#This Row],[estado_operativo]]="ENTREGADO",tblPedidos[[#This Row],[ganancia_calc]],tblPedidos[[#This Row],[estado_operativo]]="DEVOLUCION",tblPedidos[[#This Row],[costo_devolucion_estimado]]),0)</f>
        <v>30786.5</v>
      </c>
      <c r="V1063">
        <v>184719</v>
      </c>
      <c r="W1063">
        <v>69900</v>
      </c>
      <c r="X1063">
        <v>15663.5</v>
      </c>
      <c r="Y1063">
        <v>23450</v>
      </c>
      <c r="Z1063" s="11">
        <v>46024</v>
      </c>
      <c r="AA1063">
        <v>20</v>
      </c>
      <c r="AB1063" s="12">
        <v>0.82916666666666672</v>
      </c>
      <c r="AC1063" t="s">
        <v>399</v>
      </c>
      <c r="AD1063" t="s">
        <v>720</v>
      </c>
      <c r="AE1063" t="s">
        <v>720</v>
      </c>
    </row>
    <row r="1064" spans="1:31">
      <c r="A1064" t="s">
        <v>1343</v>
      </c>
      <c r="B1064" t="s">
        <v>2946</v>
      </c>
      <c r="C1064">
        <v>3</v>
      </c>
      <c r="D1064" t="s">
        <v>6002</v>
      </c>
      <c r="E1064" s="11">
        <v>46023</v>
      </c>
      <c r="F1064" t="s">
        <v>6003</v>
      </c>
      <c r="G1064" t="s">
        <v>45</v>
      </c>
      <c r="J1064" t="s">
        <v>720</v>
      </c>
      <c r="K1064" t="s">
        <v>6004</v>
      </c>
      <c r="L1064" t="s">
        <v>46</v>
      </c>
      <c r="M1064" t="s">
        <v>94</v>
      </c>
      <c r="N1064" t="s">
        <v>6005</v>
      </c>
      <c r="O1064" t="s">
        <v>6006</v>
      </c>
      <c r="P1064" s="46" t="str" cm="1">
        <f t="array" aca="1" ref="P1064" ca="1">IFERROR(_xlfn.XLOOKUP(tblPedidos[[#This Row],[id_dropi]],tblNotas[[#This Row],[id__dropi]],tblNotas[[#This Row],[Notas Manuales]], “”, 0),"")</f>
        <v/>
      </c>
      <c r="R1064" t="s">
        <v>6007</v>
      </c>
      <c r="S1064">
        <v>27151</v>
      </c>
      <c r="T1064">
        <v>-12749</v>
      </c>
      <c r="U1064" cm="1">
        <f t="array" ref="U1064">IFERROR(_xlfn.IFS(tblPedidos[[#This Row],[estado_operativo]]="ENTREGADO",tblPedidos[[#This Row],[ganancia_calc]],tblPedidos[[#This Row],[estado_operativo]]="DEVOLUCION",tblPedidos[[#This Row],[costo_devolucion_estimado]]),0)</f>
        <v>27151</v>
      </c>
      <c r="V1064">
        <v>162906</v>
      </c>
      <c r="W1064">
        <v>49900</v>
      </c>
      <c r="X1064">
        <v>12749</v>
      </c>
      <c r="Y1064">
        <v>10000</v>
      </c>
      <c r="Z1064" s="11">
        <v>46031</v>
      </c>
      <c r="AA1064">
        <v>13</v>
      </c>
      <c r="AB1064" s="12">
        <v>0.62430555555555556</v>
      </c>
      <c r="AC1064" t="s">
        <v>720</v>
      </c>
      <c r="AD1064" t="s">
        <v>720</v>
      </c>
      <c r="AE1064" t="s">
        <v>720</v>
      </c>
    </row>
    <row r="1065" spans="1:31">
      <c r="A1065" t="s">
        <v>1343</v>
      </c>
      <c r="B1065" t="s">
        <v>2946</v>
      </c>
      <c r="C1065">
        <v>1</v>
      </c>
      <c r="D1065">
        <v>61322803</v>
      </c>
      <c r="E1065" s="11">
        <v>46023</v>
      </c>
      <c r="F1065" t="s">
        <v>6008</v>
      </c>
      <c r="G1065" t="s">
        <v>958</v>
      </c>
      <c r="J1065" t="s">
        <v>720</v>
      </c>
      <c r="K1065" t="s">
        <v>6009</v>
      </c>
      <c r="L1065" t="s">
        <v>81</v>
      </c>
      <c r="M1065" t="s">
        <v>118</v>
      </c>
      <c r="N1065" t="s">
        <v>6010</v>
      </c>
      <c r="O1065" t="s">
        <v>6011</v>
      </c>
      <c r="P1065" s="46" t="str" cm="1">
        <f t="array" aca="1" ref="P1065" ca="1">IFERROR(_xlfn.XLOOKUP(tblPedidos[[#This Row],[id_dropi]],tblNotas[[#This Row],[id__dropi]],tblNotas[[#This Row],[Notas Manuales]], “”, 0),"")</f>
        <v/>
      </c>
      <c r="R1065" t="s">
        <v>6007</v>
      </c>
      <c r="S1065">
        <v>27400</v>
      </c>
      <c r="T1065">
        <v>-10000</v>
      </c>
      <c r="U1065" cm="1">
        <f t="array" ref="U1065">IFERROR(_xlfn.IFS(tblPedidos[[#This Row],[estado_operativo]]="ENTREGADO",tblPedidos[[#This Row],[ganancia_calc]],tblPedidos[[#This Row],[estado_operativo]]="DEVOLUCION",tblPedidos[[#This Row],[costo_devolucion_estimado]]),0)</f>
        <v>27400</v>
      </c>
      <c r="V1065">
        <v>164400</v>
      </c>
      <c r="W1065">
        <v>49900</v>
      </c>
      <c r="X1065">
        <v>12500</v>
      </c>
      <c r="Y1065">
        <v>10000</v>
      </c>
      <c r="Z1065" s="11">
        <v>46029</v>
      </c>
      <c r="AA1065">
        <v>15</v>
      </c>
      <c r="AB1065" s="12">
        <v>0.4909722222222222</v>
      </c>
      <c r="AC1065" t="s">
        <v>3818</v>
      </c>
      <c r="AD1065" t="s">
        <v>720</v>
      </c>
      <c r="AE1065" t="s">
        <v>720</v>
      </c>
    </row>
  </sheetData>
  <autoFilter ref="N1067" xr:uid="{00000000-0001-0000-0100-000000000000}"/>
  <phoneticPr fontId="12" type="noConversion"/>
  <conditionalFormatting sqref="G1066:G1048576 J1:J1065">
    <cfRule type="containsText" dxfId="50" priority="7" operator="containsText" text="OFICINA 1">
      <formula>NOT(ISERROR(SEARCH("OFICINA 1",G1)))</formula>
    </cfRule>
  </conditionalFormatting>
  <conditionalFormatting sqref="G1066:G1048576 J1:J1065">
    <cfRule type="containsText" dxfId="49" priority="6" operator="containsText" text="ENTREGADO">
      <formula>NOT(ISERROR(SEARCH("ENTREGADO",G1)))</formula>
    </cfRule>
  </conditionalFormatting>
  <conditionalFormatting sqref="G1066:G1048576 J1:J1065">
    <cfRule type="containsText" dxfId="48" priority="5" operator="containsText" text="DEVOLUCI">
      <formula>NOT(ISERROR(SEARCH("DEVOLUCI",G1)))</formula>
    </cfRule>
  </conditionalFormatting>
  <conditionalFormatting sqref="G1066:G1048576 J1:J1065">
    <cfRule type="containsText" dxfId="47" priority="1" operator="containsText" text="RECHAZADO">
      <formula>NOT(ISERROR(SEARCH("RECHAZADO",G1)))</formula>
    </cfRule>
    <cfRule type="containsText" dxfId="46" priority="2" operator="containsText" text="CANCELADO">
      <formula>NOT(ISERROR(SEARCH("CANCELADO",G1)))</formula>
    </cfRule>
    <cfRule type="containsText" dxfId="45" priority="3" operator="containsText" text="OFICINA">
      <formula>NOT(ISERROR(SEARCH("OFICINA",G1)))</formula>
    </cfRule>
    <cfRule type="containsText" dxfId="44" priority="4" operator="containsText" text="REPARTO">
      <formula>NOT(ISERROR(SEARCH("REPARTO",G1)))</formula>
    </cfRule>
  </conditionalFormatting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B364-AF23-4BCA-A96D-68905635F9D6}">
  <dimension ref="A1:F71"/>
  <sheetViews>
    <sheetView workbookViewId="0">
      <selection activeCell="E7" sqref="E7"/>
    </sheetView>
  </sheetViews>
  <sheetFormatPr defaultColWidth="11.42578125" defaultRowHeight="15"/>
  <cols>
    <col min="1" max="1" width="12.140625" bestFit="1" customWidth="1"/>
    <col min="2" max="5" width="12.140625" customWidth="1"/>
    <col min="6" max="6" width="28.7109375" customWidth="1"/>
  </cols>
  <sheetData>
    <row r="1" spans="1:6">
      <c r="A1" t="s">
        <v>6012</v>
      </c>
      <c r="B1" t="s">
        <v>6013</v>
      </c>
      <c r="C1" t="s">
        <v>16</v>
      </c>
      <c r="D1" t="s">
        <v>19</v>
      </c>
      <c r="E1" t="s">
        <v>6014</v>
      </c>
      <c r="F1" t="s">
        <v>17</v>
      </c>
    </row>
    <row r="2" spans="1:6">
      <c r="A2" t="s">
        <v>6015</v>
      </c>
      <c r="B2" t="e">
        <f>VLOOKUP(tblNotas[[#This Row],[id__dropi]],Pedidos!D:O,5,0)</f>
        <v>#N/A</v>
      </c>
      <c r="C2" t="e">
        <f>VLOOKUP(tblNotas[[#This Row],[id__dropi]],Pedidos!D:O,12,0)</f>
        <v>#N/A</v>
      </c>
      <c r="F2" t="s">
        <v>6016</v>
      </c>
    </row>
    <row r="3" spans="1:6">
      <c r="A3">
        <v>61584447</v>
      </c>
      <c r="B3" t="e">
        <f>VLOOKUP(tblNotas[[#This Row],[id__dropi]],Pedidos!D:O,5,0)</f>
        <v>#N/A</v>
      </c>
      <c r="C3" t="e">
        <f>VLOOKUP(tblNotas[[#This Row],[id__dropi]],Pedidos!D:O,12,0)</f>
        <v>#N/A</v>
      </c>
      <c r="F3" t="s">
        <v>6017</v>
      </c>
    </row>
    <row r="4" spans="1:6">
      <c r="A4" t="s">
        <v>5570</v>
      </c>
      <c r="B4">
        <f>VLOOKUP(tblNotas[[#This Row],[id__dropi]],Pedidos!D:O,5,0)</f>
        <v>0</v>
      </c>
      <c r="C4">
        <f>VLOOKUP(tblNotas[[#This Row],[id__dropi]],Pedidos!D:O,12,0)</f>
        <v>3128387983</v>
      </c>
      <c r="F4" t="s">
        <v>6017</v>
      </c>
    </row>
    <row r="5" spans="1:6">
      <c r="A5" t="s">
        <v>5529</v>
      </c>
      <c r="B5">
        <f>VLOOKUP(tblNotas[[#This Row],[id__dropi]],Pedidos!D:O,5,0)</f>
        <v>0</v>
      </c>
      <c r="C5">
        <f>VLOOKUP(tblNotas[[#This Row],[id__dropi]],Pedidos!D:O,12,0)</f>
        <v>3043681389</v>
      </c>
    </row>
    <row r="6" spans="1:6">
      <c r="A6" t="s">
        <v>5550</v>
      </c>
      <c r="B6">
        <f>VLOOKUP(tblNotas[[#This Row],[id__dropi]],Pedidos!D:O,5,0)</f>
        <v>0</v>
      </c>
      <c r="C6" t="str">
        <f>VLOOKUP(tblNotas[[#This Row],[id__dropi]],Pedidos!D:O,12,0)</f>
        <v>3122504723</v>
      </c>
    </row>
    <row r="7" spans="1:6">
      <c r="A7" t="s">
        <v>5614</v>
      </c>
      <c r="B7">
        <f>VLOOKUP(tblNotas[[#This Row],[id__dropi]],Pedidos!D:O,5,0)</f>
        <v>0</v>
      </c>
      <c r="C7" t="str">
        <f>VLOOKUP(tblNotas[[#This Row],[id__dropi]],Pedidos!D:O,12,0)</f>
        <v>3125206068</v>
      </c>
    </row>
    <row r="8" spans="1:6">
      <c r="A8" t="s">
        <v>5334</v>
      </c>
      <c r="B8">
        <f>VLOOKUP(tblNotas[[#This Row],[id__dropi]],Pedidos!D:O,5,0)</f>
        <v>0</v>
      </c>
      <c r="C8" t="str">
        <f>VLOOKUP(tblNotas[[#This Row],[id__dropi]],Pedidos!D:O,12,0)</f>
        <v>3116739503</v>
      </c>
    </row>
    <row r="9" spans="1:6">
      <c r="A9" t="s">
        <v>5349</v>
      </c>
      <c r="B9">
        <f>VLOOKUP(tblNotas[[#This Row],[id__dropi]],Pedidos!D:O,5,0)</f>
        <v>0</v>
      </c>
      <c r="C9" t="str">
        <f>VLOOKUP(tblNotas[[#This Row],[id__dropi]],Pedidos!D:O,12,0)</f>
        <v>3205381934</v>
      </c>
    </row>
    <row r="10" spans="1:6">
      <c r="A10" t="s">
        <v>5489</v>
      </c>
      <c r="B10">
        <f>VLOOKUP(tblNotas[[#This Row],[id__dropi]],Pedidos!D:O,5,0)</f>
        <v>0</v>
      </c>
      <c r="C10" t="str">
        <f>VLOOKUP(tblNotas[[#This Row],[id__dropi]],Pedidos!D:O,12,0)</f>
        <v>3242038699</v>
      </c>
    </row>
    <row r="11" spans="1:6">
      <c r="A11" t="s">
        <v>5003</v>
      </c>
      <c r="B11">
        <f>VLOOKUP(tblNotas[[#This Row],[id__dropi]],Pedidos!D:O,5,0)</f>
        <v>0</v>
      </c>
      <c r="C11" t="str">
        <f>VLOOKUP(tblNotas[[#This Row],[id__dropi]],Pedidos!D:O,12,0)</f>
        <v>3007515120</v>
      </c>
    </row>
    <row r="12" spans="1:6">
      <c r="A12" t="s">
        <v>5186</v>
      </c>
      <c r="B12">
        <f>VLOOKUP(tblNotas[[#This Row],[id__dropi]],Pedidos!D:O,5,0)</f>
        <v>0</v>
      </c>
      <c r="C12" t="str">
        <f>VLOOKUP(tblNotas[[#This Row],[id__dropi]],Pedidos!D:O,12,0)</f>
        <v>3113614112</v>
      </c>
    </row>
    <row r="13" spans="1:6">
      <c r="A13" t="s">
        <v>4723</v>
      </c>
      <c r="B13">
        <f>VLOOKUP(tblNotas[[#This Row],[id__dropi]],Pedidos!D:O,5,0)</f>
        <v>0</v>
      </c>
      <c r="C13" t="str">
        <f>VLOOKUP(tblNotas[[#This Row],[id__dropi]],Pedidos!D:O,12,0)</f>
        <v>3017501313</v>
      </c>
    </row>
    <row r="14" spans="1:6">
      <c r="A14" t="s">
        <v>4750</v>
      </c>
      <c r="B14">
        <f>VLOOKUP(tblNotas[[#This Row],[id__dropi]],Pedidos!D:O,5,0)</f>
        <v>0</v>
      </c>
      <c r="C14" t="str">
        <f>VLOOKUP(tblNotas[[#This Row],[id__dropi]],Pedidos!D:O,12,0)</f>
        <v>3247119922</v>
      </c>
    </row>
    <row r="15" spans="1:6">
      <c r="A15" t="s">
        <v>4398</v>
      </c>
      <c r="B15">
        <f>VLOOKUP(tblNotas[[#This Row],[id__dropi]],Pedidos!D:O,5,0)</f>
        <v>0</v>
      </c>
      <c r="C15" t="str">
        <f>VLOOKUP(tblNotas[[#This Row],[id__dropi]],Pedidos!D:O,12,0)</f>
        <v>3136242428</v>
      </c>
    </row>
    <row r="16" spans="1:6">
      <c r="A16" t="s">
        <v>4416</v>
      </c>
      <c r="B16">
        <f>VLOOKUP(tblNotas[[#This Row],[id__dropi]],Pedidos!D:O,5,0)</f>
        <v>0</v>
      </c>
      <c r="C16" t="str">
        <f>VLOOKUP(tblNotas[[#This Row],[id__dropi]],Pedidos!D:O,12,0)</f>
        <v>3123347964</v>
      </c>
    </row>
    <row r="17" spans="1:3">
      <c r="A17" t="s">
        <v>4444</v>
      </c>
      <c r="B17">
        <f>VLOOKUP(tblNotas[[#This Row],[id__dropi]],Pedidos!D:O,5,0)</f>
        <v>0</v>
      </c>
      <c r="C17" t="str">
        <f>VLOOKUP(tblNotas[[#This Row],[id__dropi]],Pedidos!D:O,12,0)</f>
        <v>3183602837</v>
      </c>
    </row>
    <row r="18" spans="1:3">
      <c r="A18" t="s">
        <v>4439</v>
      </c>
      <c r="B18">
        <f>VLOOKUP(tblNotas[[#This Row],[id__dropi]],Pedidos!D:O,5,0)</f>
        <v>0</v>
      </c>
      <c r="C18" t="str">
        <f>VLOOKUP(tblNotas[[#This Row],[id__dropi]],Pedidos!D:O,12,0)</f>
        <v>3122560782</v>
      </c>
    </row>
    <row r="19" spans="1:3">
      <c r="A19" t="s">
        <v>4641</v>
      </c>
      <c r="B19">
        <f>VLOOKUP(tblNotas[[#This Row],[id__dropi]],Pedidos!D:O,5,0)</f>
        <v>0</v>
      </c>
      <c r="C19" t="str">
        <f>VLOOKUP(tblNotas[[#This Row],[id__dropi]],Pedidos!D:O,12,0)</f>
        <v>3174208421</v>
      </c>
    </row>
    <row r="20" spans="1:3">
      <c r="A20" t="s">
        <v>4573</v>
      </c>
      <c r="B20">
        <f>VLOOKUP(tblNotas[[#This Row],[id__dropi]],Pedidos!D:O,5,0)</f>
        <v>0</v>
      </c>
      <c r="C20" t="str">
        <f>VLOOKUP(tblNotas[[#This Row],[id__dropi]],Pedidos!D:O,12,0)</f>
        <v>3114240234</v>
      </c>
    </row>
    <row r="21" spans="1:3">
      <c r="A21" t="s">
        <v>4550</v>
      </c>
      <c r="B21">
        <f>VLOOKUP(tblNotas[[#This Row],[id__dropi]],Pedidos!D:O,5,0)</f>
        <v>0</v>
      </c>
      <c r="C21" t="str">
        <f>VLOOKUP(tblNotas[[#This Row],[id__dropi]],Pedidos!D:O,12,0)</f>
        <v>3206078012</v>
      </c>
    </row>
    <row r="22" spans="1:3">
      <c r="A22" t="s">
        <v>3759</v>
      </c>
      <c r="B22">
        <f>VLOOKUP(tblNotas[[#This Row],[id__dropi]],Pedidos!D:O,5,0)</f>
        <v>0</v>
      </c>
      <c r="C22" t="str">
        <f>VLOOKUP(tblNotas[[#This Row],[id__dropi]],Pedidos!D:O,12,0)</f>
        <v>3123191571</v>
      </c>
    </row>
    <row r="23" spans="1:3">
      <c r="A23" t="s">
        <v>3754</v>
      </c>
      <c r="B23">
        <f>VLOOKUP(tblNotas[[#This Row],[id__dropi]],Pedidos!D:O,5,0)</f>
        <v>0</v>
      </c>
      <c r="C23" t="str">
        <f>VLOOKUP(tblNotas[[#This Row],[id__dropi]],Pedidos!D:O,12,0)</f>
        <v>3137767830</v>
      </c>
    </row>
    <row r="24" spans="1:3">
      <c r="A24" t="s">
        <v>3866</v>
      </c>
      <c r="B24">
        <f>VLOOKUP(tblNotas[[#This Row],[id__dropi]],Pedidos!D:O,5,0)</f>
        <v>0</v>
      </c>
      <c r="C24" t="str">
        <f>VLOOKUP(tblNotas[[#This Row],[id__dropi]],Pedidos!D:O,12,0)</f>
        <v>3124499564</v>
      </c>
    </row>
    <row r="25" spans="1:3">
      <c r="A25" t="s">
        <v>3820</v>
      </c>
      <c r="B25">
        <f>VLOOKUP(tblNotas[[#This Row],[id__dropi]],Pedidos!D:O,5,0)</f>
        <v>0</v>
      </c>
      <c r="C25" t="str">
        <f>VLOOKUP(tblNotas[[#This Row],[id__dropi]],Pedidos!D:O,12,0)</f>
        <v>3115680720</v>
      </c>
    </row>
    <row r="26" spans="1:3">
      <c r="A26" t="s">
        <v>3847</v>
      </c>
      <c r="B26">
        <f>VLOOKUP(tblNotas[[#This Row],[id__dropi]],Pedidos!D:O,5,0)</f>
        <v>0</v>
      </c>
      <c r="C26" t="str">
        <f>VLOOKUP(tblNotas[[#This Row],[id__dropi]],Pedidos!D:O,12,0)</f>
        <v>3170118124</v>
      </c>
    </row>
    <row r="27" spans="1:3">
      <c r="A27" t="s">
        <v>3541</v>
      </c>
      <c r="B27">
        <f>VLOOKUP(tblNotas[[#This Row],[id__dropi]],Pedidos!D:O,5,0)</f>
        <v>0</v>
      </c>
      <c r="C27" t="str">
        <f>VLOOKUP(tblNotas[[#This Row],[id__dropi]],Pedidos!D:O,12,0)</f>
        <v>3112348042</v>
      </c>
    </row>
    <row r="28" spans="1:3">
      <c r="A28" t="s">
        <v>3473</v>
      </c>
      <c r="B28">
        <f>VLOOKUP(tblNotas[[#This Row],[id__dropi]],Pedidos!D:O,5,0)</f>
        <v>0</v>
      </c>
      <c r="C28" t="str">
        <f>VLOOKUP(tblNotas[[#This Row],[id__dropi]],Pedidos!D:O,12,0)</f>
        <v>3202748381</v>
      </c>
    </row>
    <row r="29" spans="1:3">
      <c r="A29" t="s">
        <v>4183</v>
      </c>
      <c r="B29">
        <f>VLOOKUP(tblNotas[[#This Row],[id__dropi]],Pedidos!D:O,5,0)</f>
        <v>0</v>
      </c>
      <c r="C29" t="str">
        <f>VLOOKUP(tblNotas[[#This Row],[id__dropi]],Pedidos!D:O,12,0)</f>
        <v>3126897486</v>
      </c>
    </row>
    <row r="30" spans="1:3">
      <c r="A30" t="s">
        <v>4374</v>
      </c>
      <c r="B30">
        <f>VLOOKUP(tblNotas[[#This Row],[id__dropi]],Pedidos!D:O,5,0)</f>
        <v>0</v>
      </c>
      <c r="C30" t="str">
        <f>VLOOKUP(tblNotas[[#This Row],[id__dropi]],Pedidos!D:O,12,0)</f>
        <v>3216261802</v>
      </c>
    </row>
    <row r="31" spans="1:3">
      <c r="A31" t="s">
        <v>4368</v>
      </c>
      <c r="B31">
        <f>VLOOKUP(tblNotas[[#This Row],[id__dropi]],Pedidos!D:O,5,0)</f>
        <v>0</v>
      </c>
      <c r="C31" t="str">
        <f>VLOOKUP(tblNotas[[#This Row],[id__dropi]],Pedidos!D:O,12,0)</f>
        <v>3227647605</v>
      </c>
    </row>
    <row r="32" spans="1:3">
      <c r="A32" t="s">
        <v>4281</v>
      </c>
      <c r="B32">
        <f>VLOOKUP(tblNotas[[#This Row],[id__dropi]],Pedidos!D:O,5,0)</f>
        <v>0</v>
      </c>
      <c r="C32" t="str">
        <f>VLOOKUP(tblNotas[[#This Row],[id__dropi]],Pedidos!D:O,12,0)</f>
        <v>3142703955</v>
      </c>
    </row>
    <row r="33" spans="1:3">
      <c r="A33" t="s">
        <v>4287</v>
      </c>
      <c r="B33">
        <f>VLOOKUP(tblNotas[[#This Row],[id__dropi]],Pedidos!D:O,5,0)</f>
        <v>0</v>
      </c>
      <c r="C33" t="str">
        <f>VLOOKUP(tblNotas[[#This Row],[id__dropi]],Pedidos!D:O,12,0)</f>
        <v>3218934403</v>
      </c>
    </row>
    <row r="34" spans="1:3">
      <c r="A34" t="s">
        <v>4270</v>
      </c>
      <c r="B34">
        <f>VLOOKUP(tblNotas[[#This Row],[id__dropi]],Pedidos!D:O,5,0)</f>
        <v>0</v>
      </c>
      <c r="C34" t="str">
        <f>VLOOKUP(tblNotas[[#This Row],[id__dropi]],Pedidos!D:O,12,0)</f>
        <v>3158391089</v>
      </c>
    </row>
    <row r="35" spans="1:3">
      <c r="A35" t="s">
        <v>3980</v>
      </c>
      <c r="B35">
        <f>VLOOKUP(tblNotas[[#This Row],[id__dropi]],Pedidos!D:O,5,0)</f>
        <v>0</v>
      </c>
      <c r="C35" t="str">
        <f>VLOOKUP(tblNotas[[#This Row],[id__dropi]],Pedidos!D:O,12,0)</f>
        <v>3202779498</v>
      </c>
    </row>
    <row r="36" spans="1:3">
      <c r="A36" t="s">
        <v>4020</v>
      </c>
      <c r="B36">
        <f>VLOOKUP(tblNotas[[#This Row],[id__dropi]],Pedidos!D:O,5,0)</f>
        <v>0</v>
      </c>
      <c r="C36" t="str">
        <f>VLOOKUP(tblNotas[[#This Row],[id__dropi]],Pedidos!D:O,12,0)</f>
        <v>3127116798</v>
      </c>
    </row>
    <row r="37" spans="1:3">
      <c r="A37" t="s">
        <v>4105</v>
      </c>
      <c r="B37">
        <f>VLOOKUP(tblNotas[[#This Row],[id__dropi]],Pedidos!D:O,5,0)</f>
        <v>0</v>
      </c>
      <c r="C37" t="str">
        <f>VLOOKUP(tblNotas[[#This Row],[id__dropi]],Pedidos!D:O,12,0)</f>
        <v>3127577897</v>
      </c>
    </row>
    <row r="38" spans="1:3">
      <c r="A38" t="s">
        <v>4143</v>
      </c>
      <c r="B38">
        <f>VLOOKUP(tblNotas[[#This Row],[id__dropi]],Pedidos!D:O,5,0)</f>
        <v>0</v>
      </c>
      <c r="C38" t="str">
        <f>VLOOKUP(tblNotas[[#This Row],[id__dropi]],Pedidos!D:O,12,0)</f>
        <v>3160838875</v>
      </c>
    </row>
    <row r="39" spans="1:3">
      <c r="A39" t="s">
        <v>4037</v>
      </c>
      <c r="B39">
        <f>VLOOKUP(tblNotas[[#This Row],[id__dropi]],Pedidos!D:O,5,0)</f>
        <v>0</v>
      </c>
      <c r="C39" t="str">
        <f>VLOOKUP(tblNotas[[#This Row],[id__dropi]],Pedidos!D:O,12,0)</f>
        <v>3238856126</v>
      </c>
    </row>
    <row r="40" spans="1:3">
      <c r="A40" t="s">
        <v>4077</v>
      </c>
      <c r="B40">
        <f>VLOOKUP(tblNotas[[#This Row],[id__dropi]],Pedidos!D:O,5,0)</f>
        <v>0</v>
      </c>
      <c r="C40" t="str">
        <f>VLOOKUP(tblNotas[[#This Row],[id__dropi]],Pedidos!D:O,12,0)</f>
        <v>3229736163</v>
      </c>
    </row>
    <row r="41" spans="1:3">
      <c r="A41" t="s">
        <v>4072</v>
      </c>
      <c r="B41">
        <f>VLOOKUP(tblNotas[[#This Row],[id__dropi]],Pedidos!D:O,5,0)</f>
        <v>0</v>
      </c>
      <c r="C41" t="str">
        <f>VLOOKUP(tblNotas[[#This Row],[id__dropi]],Pedidos!D:O,12,0)</f>
        <v>3154770896</v>
      </c>
    </row>
    <row r="42" spans="1:3">
      <c r="A42" t="s">
        <v>3342</v>
      </c>
      <c r="B42">
        <f>VLOOKUP(tblNotas[[#This Row],[id__dropi]],Pedidos!D:O,5,0)</f>
        <v>0</v>
      </c>
      <c r="C42" t="str">
        <f>VLOOKUP(tblNotas[[#This Row],[id__dropi]],Pedidos!D:O,12,0)</f>
        <v>3116234087</v>
      </c>
    </row>
    <row r="43" spans="1:3">
      <c r="A43" t="s">
        <v>3436</v>
      </c>
      <c r="B43">
        <f>VLOOKUP(tblNotas[[#This Row],[id__dropi]],Pedidos!D:O,5,0)</f>
        <v>0</v>
      </c>
      <c r="C43" t="str">
        <f>VLOOKUP(tblNotas[[#This Row],[id__dropi]],Pedidos!D:O,12,0)</f>
        <v>3209928295</v>
      </c>
    </row>
    <row r="44" spans="1:3">
      <c r="A44" t="s">
        <v>3419</v>
      </c>
      <c r="B44">
        <f>VLOOKUP(tblNotas[[#This Row],[id__dropi]],Pedidos!D:O,5,0)</f>
        <v>0</v>
      </c>
      <c r="C44" t="str">
        <f>VLOOKUP(tblNotas[[#This Row],[id__dropi]],Pedidos!D:O,12,0)</f>
        <v>3122607938</v>
      </c>
    </row>
    <row r="45" spans="1:3">
      <c r="A45" t="s">
        <v>3241</v>
      </c>
      <c r="B45">
        <f>VLOOKUP(tblNotas[[#This Row],[id__dropi]],Pedidos!D:O,5,0)</f>
        <v>0</v>
      </c>
      <c r="C45" t="str">
        <f>VLOOKUP(tblNotas[[#This Row],[id__dropi]],Pedidos!D:O,12,0)</f>
        <v>3118953294</v>
      </c>
    </row>
    <row r="46" spans="1:3">
      <c r="A46" t="s">
        <v>3225</v>
      </c>
      <c r="B46">
        <f>VLOOKUP(tblNotas[[#This Row],[id__dropi]],Pedidos!D:O,5,0)</f>
        <v>0</v>
      </c>
      <c r="C46" t="str">
        <f>VLOOKUP(tblNotas[[#This Row],[id__dropi]],Pedidos!D:O,12,0)</f>
        <v>3188797528</v>
      </c>
    </row>
    <row r="47" spans="1:3">
      <c r="A47" t="s">
        <v>3163</v>
      </c>
      <c r="B47">
        <f>VLOOKUP(tblNotas[[#This Row],[id__dropi]],Pedidos!D:O,5,0)</f>
        <v>0</v>
      </c>
      <c r="C47" t="str">
        <f>VLOOKUP(tblNotas[[#This Row],[id__dropi]],Pedidos!D:O,12,0)</f>
        <v>3136481996</v>
      </c>
    </row>
    <row r="48" spans="1:3">
      <c r="A48" t="s">
        <v>3003</v>
      </c>
      <c r="B48">
        <f>VLOOKUP(tblNotas[[#This Row],[id__dropi]],Pedidos!D:O,5,0)</f>
        <v>0</v>
      </c>
      <c r="C48" t="str">
        <f>VLOOKUP(tblNotas[[#This Row],[id__dropi]],Pedidos!D:O,12,0)</f>
        <v>3043522634</v>
      </c>
    </row>
    <row r="49" spans="1:3">
      <c r="A49" t="s">
        <v>3009</v>
      </c>
      <c r="B49">
        <f>VLOOKUP(tblNotas[[#This Row],[id__dropi]],Pedidos!D:O,5,0)</f>
        <v>0</v>
      </c>
      <c r="C49" t="str">
        <f>VLOOKUP(tblNotas[[#This Row],[id__dropi]],Pedidos!D:O,12,0)</f>
        <v>3245354317</v>
      </c>
    </row>
    <row r="50" spans="1:3">
      <c r="A50" t="s">
        <v>2923</v>
      </c>
      <c r="B50">
        <f>VLOOKUP(tblNotas[[#This Row],[id__dropi]],Pedidos!D:O,5,0)</f>
        <v>0</v>
      </c>
      <c r="C50" t="str">
        <f>VLOOKUP(tblNotas[[#This Row],[id__dropi]],Pedidos!D:O,12,0)</f>
        <v>3234930457</v>
      </c>
    </row>
    <row r="51" spans="1:3">
      <c r="A51" t="s">
        <v>2959</v>
      </c>
      <c r="B51">
        <f>VLOOKUP(tblNotas[[#This Row],[id__dropi]],Pedidos!D:O,5,0)</f>
        <v>0</v>
      </c>
      <c r="C51" t="str">
        <f>VLOOKUP(tblNotas[[#This Row],[id__dropi]],Pedidos!D:O,12,0)</f>
        <v>3202038971</v>
      </c>
    </row>
    <row r="52" spans="1:3">
      <c r="A52" t="s">
        <v>2931</v>
      </c>
      <c r="B52">
        <f>VLOOKUP(tblNotas[[#This Row],[id__dropi]],Pedidos!D:O,5,0)</f>
        <v>0</v>
      </c>
      <c r="C52" t="str">
        <f>VLOOKUP(tblNotas[[#This Row],[id__dropi]],Pedidos!D:O,12,0)</f>
        <v>3212357129</v>
      </c>
    </row>
    <row r="53" spans="1:3">
      <c r="A53" t="s">
        <v>3099</v>
      </c>
      <c r="B53">
        <f>VLOOKUP(tblNotas[[#This Row],[id__dropi]],Pedidos!D:O,5,0)</f>
        <v>0</v>
      </c>
      <c r="C53" t="str">
        <f>VLOOKUP(tblNotas[[#This Row],[id__dropi]],Pedidos!D:O,12,0)</f>
        <v>3104278840</v>
      </c>
    </row>
    <row r="54" spans="1:3">
      <c r="A54" t="s">
        <v>3124</v>
      </c>
      <c r="B54">
        <f>VLOOKUP(tblNotas[[#This Row],[id__dropi]],Pedidos!D:O,5,0)</f>
        <v>0</v>
      </c>
      <c r="C54" t="str">
        <f>VLOOKUP(tblNotas[[#This Row],[id__dropi]],Pedidos!D:O,12,0)</f>
        <v>3223263659</v>
      </c>
    </row>
    <row r="55" spans="1:3">
      <c r="A55" t="s">
        <v>2688</v>
      </c>
      <c r="B55">
        <f>VLOOKUP(tblNotas[[#This Row],[id__dropi]],Pedidos!D:O,5,0)</f>
        <v>0</v>
      </c>
      <c r="C55" t="str">
        <f>VLOOKUP(tblNotas[[#This Row],[id__dropi]],Pedidos!D:O,12,0)</f>
        <v>3002682543</v>
      </c>
    </row>
    <row r="56" spans="1:3">
      <c r="A56" t="s">
        <v>2723</v>
      </c>
      <c r="B56">
        <f>VLOOKUP(tblNotas[[#This Row],[id__dropi]],Pedidos!D:O,5,0)</f>
        <v>0</v>
      </c>
      <c r="C56" t="str">
        <f>VLOOKUP(tblNotas[[#This Row],[id__dropi]],Pedidos!D:O,12,0)</f>
        <v>3105858743</v>
      </c>
    </row>
    <row r="57" spans="1:3">
      <c r="A57" t="s">
        <v>2648</v>
      </c>
      <c r="B57">
        <f>VLOOKUP(tblNotas[[#This Row],[id__dropi]],Pedidos!D:O,5,0)</f>
        <v>0</v>
      </c>
      <c r="C57" t="str">
        <f>VLOOKUP(tblNotas[[#This Row],[id__dropi]],Pedidos!D:O,12,0)</f>
        <v>3206435457</v>
      </c>
    </row>
    <row r="58" spans="1:3">
      <c r="A58" t="s">
        <v>2831</v>
      </c>
      <c r="B58">
        <f>VLOOKUP(tblNotas[[#This Row],[id__dropi]],Pedidos!D:O,5,0)</f>
        <v>0</v>
      </c>
      <c r="C58" t="str">
        <f>VLOOKUP(tblNotas[[#This Row],[id__dropi]],Pedidos!D:O,12,0)</f>
        <v>3145299488</v>
      </c>
    </row>
    <row r="59" spans="1:3">
      <c r="A59" t="s">
        <v>2837</v>
      </c>
      <c r="B59">
        <f>VLOOKUP(tblNotas[[#This Row],[id__dropi]],Pedidos!D:O,5,0)</f>
        <v>0</v>
      </c>
      <c r="C59" t="str">
        <f>VLOOKUP(tblNotas[[#This Row],[id__dropi]],Pedidos!D:O,12,0)</f>
        <v>3127244792</v>
      </c>
    </row>
    <row r="60" spans="1:3">
      <c r="A60" t="s">
        <v>2882</v>
      </c>
      <c r="B60">
        <f>VLOOKUP(tblNotas[[#This Row],[id__dropi]],Pedidos!D:O,5,0)</f>
        <v>0</v>
      </c>
      <c r="C60" t="str">
        <f>VLOOKUP(tblNotas[[#This Row],[id__dropi]],Pedidos!D:O,12,0)</f>
        <v>3127348422</v>
      </c>
    </row>
    <row r="61" spans="1:3">
      <c r="A61" t="s">
        <v>2857</v>
      </c>
      <c r="B61">
        <f>VLOOKUP(tblNotas[[#This Row],[id__dropi]],Pedidos!D:O,5,0)</f>
        <v>0</v>
      </c>
      <c r="C61" t="str">
        <f>VLOOKUP(tblNotas[[#This Row],[id__dropi]],Pedidos!D:O,12,0)</f>
        <v>3173998454</v>
      </c>
    </row>
    <row r="62" spans="1:3">
      <c r="A62" t="s">
        <v>2868</v>
      </c>
      <c r="B62">
        <f>VLOOKUP(tblNotas[[#This Row],[id__dropi]],Pedidos!D:O,5,0)</f>
        <v>0</v>
      </c>
      <c r="C62" t="str">
        <f>VLOOKUP(tblNotas[[#This Row],[id__dropi]],Pedidos!D:O,12,0)</f>
        <v>3147149856</v>
      </c>
    </row>
    <row r="63" spans="1:3">
      <c r="A63" t="s">
        <v>2778</v>
      </c>
      <c r="B63">
        <f>VLOOKUP(tblNotas[[#This Row],[id__dropi]],Pedidos!D:O,5,0)</f>
        <v>0</v>
      </c>
      <c r="C63" t="str">
        <f>VLOOKUP(tblNotas[[#This Row],[id__dropi]],Pedidos!D:O,12,0)</f>
        <v>3112744748</v>
      </c>
    </row>
    <row r="64" spans="1:3">
      <c r="A64" t="s">
        <v>2792</v>
      </c>
      <c r="B64">
        <f>VLOOKUP(tblNotas[[#This Row],[id__dropi]],Pedidos!D:O,5,0)</f>
        <v>0</v>
      </c>
      <c r="C64" t="str">
        <f>VLOOKUP(tblNotas[[#This Row],[id__dropi]],Pedidos!D:O,12,0)</f>
        <v>3217910792</v>
      </c>
    </row>
    <row r="65" spans="1:3">
      <c r="A65" t="s">
        <v>2266</v>
      </c>
      <c r="B65">
        <f>VLOOKUP(tblNotas[[#This Row],[id__dropi]],Pedidos!D:O,5,0)</f>
        <v>0</v>
      </c>
      <c r="C65" t="str">
        <f>VLOOKUP(tblNotas[[#This Row],[id__dropi]],Pedidos!D:O,12,0)</f>
        <v>3208449639</v>
      </c>
    </row>
    <row r="66" spans="1:3">
      <c r="A66" t="s">
        <v>2347</v>
      </c>
      <c r="B66">
        <f>VLOOKUP(tblNotas[[#This Row],[id__dropi]],Pedidos!D:O,5,0)</f>
        <v>0</v>
      </c>
      <c r="C66" t="str">
        <f>VLOOKUP(tblNotas[[#This Row],[id__dropi]],Pedidos!D:O,12,0)</f>
        <v>3128738464</v>
      </c>
    </row>
    <row r="67" spans="1:3">
      <c r="A67" t="s">
        <v>2334</v>
      </c>
      <c r="B67">
        <f>VLOOKUP(tblNotas[[#This Row],[id__dropi]],Pedidos!D:O,5,0)</f>
        <v>0</v>
      </c>
      <c r="C67" t="str">
        <f>VLOOKUP(tblNotas[[#This Row],[id__dropi]],Pedidos!D:O,12,0)</f>
        <v>3145029132</v>
      </c>
    </row>
    <row r="68" spans="1:3">
      <c r="A68" t="s">
        <v>2165</v>
      </c>
      <c r="B68">
        <f>VLOOKUP(tblNotas[[#This Row],[id__dropi]],Pedidos!D:O,5,0)</f>
        <v>0</v>
      </c>
      <c r="C68" t="str">
        <f>VLOOKUP(tblNotas[[#This Row],[id__dropi]],Pedidos!D:O,12,0)</f>
        <v>3249858908</v>
      </c>
    </row>
    <row r="69" spans="1:3">
      <c r="A69" t="s">
        <v>2464</v>
      </c>
      <c r="B69">
        <f>VLOOKUP(tblNotas[[#This Row],[id__dropi]],Pedidos!D:O,5,0)</f>
        <v>0</v>
      </c>
      <c r="C69" t="str">
        <f>VLOOKUP(tblNotas[[#This Row],[id__dropi]],Pedidos!D:O,12,0)</f>
        <v>3104538616</v>
      </c>
    </row>
    <row r="70" spans="1:3">
      <c r="A70" t="s">
        <v>1781</v>
      </c>
      <c r="B70">
        <f>VLOOKUP(tblNotas[[#This Row],[id__dropi]],Pedidos!D:O,5,0)</f>
        <v>0</v>
      </c>
      <c r="C70" t="str">
        <f>VLOOKUP(tblNotas[[#This Row],[id__dropi]],Pedidos!D:O,12,0)</f>
        <v>3134745262</v>
      </c>
    </row>
    <row r="71" spans="1:3">
      <c r="A71" t="s">
        <v>1369</v>
      </c>
      <c r="B71">
        <f>VLOOKUP(tblNotas[[#This Row],[id__dropi]],Pedidos!D:O,5,0)</f>
        <v>0</v>
      </c>
      <c r="C71" t="str">
        <f>VLOOKUP(tblNotas[[#This Row],[id__dropi]],Pedidos!D:O,12,0)</f>
        <v>3203916924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3"/>
  <sheetViews>
    <sheetView workbookViewId="0">
      <pane ySplit="3" topLeftCell="A49" activePane="bottomLeft" state="frozen"/>
      <selection pane="bottomLeft" activeCell="I5" sqref="I5"/>
    </sheetView>
  </sheetViews>
  <sheetFormatPr defaultColWidth="9.140625" defaultRowHeight="15"/>
  <cols>
    <col min="1" max="1" width="22" customWidth="1"/>
    <col min="2" max="3" width="30" customWidth="1"/>
    <col min="4" max="4" width="24" customWidth="1"/>
    <col min="6" max="6" width="24" customWidth="1"/>
  </cols>
  <sheetData>
    <row r="1" spans="1:9" ht="21">
      <c r="A1" s="9" t="s">
        <v>6018</v>
      </c>
    </row>
    <row r="3" spans="1:9">
      <c r="A3" s="4" t="s">
        <v>6019</v>
      </c>
      <c r="B3" s="4" t="s">
        <v>31</v>
      </c>
      <c r="C3" s="4" t="s">
        <v>6020</v>
      </c>
      <c r="D3" s="4" t="s">
        <v>32</v>
      </c>
      <c r="F3" s="10" t="s">
        <v>6021</v>
      </c>
    </row>
    <row r="4" spans="1:9">
      <c r="A4" s="5"/>
      <c r="B4" s="5" t="s">
        <v>6022</v>
      </c>
      <c r="C4" s="5"/>
      <c r="D4" s="5" t="s">
        <v>6022</v>
      </c>
      <c r="F4" t="s">
        <v>37</v>
      </c>
      <c r="I4" s="4" t="s">
        <v>31</v>
      </c>
    </row>
    <row r="5" spans="1:9">
      <c r="A5" s="5"/>
      <c r="B5" s="5" t="s">
        <v>1090</v>
      </c>
      <c r="C5" s="5"/>
      <c r="D5" s="5" t="s">
        <v>1090</v>
      </c>
      <c r="F5" t="s">
        <v>386</v>
      </c>
      <c r="I5" s="4" t="s">
        <v>32</v>
      </c>
    </row>
    <row r="6" spans="1:9">
      <c r="A6" s="5"/>
      <c r="B6" s="5" t="s">
        <v>1103</v>
      </c>
      <c r="C6" s="5"/>
      <c r="D6" s="5" t="s">
        <v>959</v>
      </c>
      <c r="F6" t="s">
        <v>6023</v>
      </c>
    </row>
    <row r="7" spans="1:9">
      <c r="A7" s="5"/>
      <c r="B7" s="5" t="s">
        <v>1657</v>
      </c>
      <c r="C7" s="5"/>
      <c r="D7" s="5" t="s">
        <v>1657</v>
      </c>
      <c r="F7" t="s">
        <v>959</v>
      </c>
    </row>
    <row r="8" spans="1:9">
      <c r="A8" s="5"/>
      <c r="B8" s="5" t="s">
        <v>720</v>
      </c>
      <c r="C8" s="5"/>
      <c r="D8" s="5" t="s">
        <v>720</v>
      </c>
      <c r="F8" t="s">
        <v>750</v>
      </c>
    </row>
    <row r="9" spans="1:9">
      <c r="A9" s="5"/>
      <c r="B9" s="5" t="s">
        <v>939</v>
      </c>
      <c r="C9" s="5"/>
      <c r="D9" s="5" t="s">
        <v>939</v>
      </c>
      <c r="F9" t="s">
        <v>720</v>
      </c>
    </row>
    <row r="10" spans="1:9">
      <c r="A10" s="5"/>
      <c r="B10" s="5" t="s">
        <v>3550</v>
      </c>
      <c r="C10" s="5"/>
      <c r="D10" s="5" t="s">
        <v>3550</v>
      </c>
      <c r="F10" t="s">
        <v>6024</v>
      </c>
    </row>
    <row r="11" spans="1:9">
      <c r="A11" s="5"/>
      <c r="B11" s="5" t="s">
        <v>1371</v>
      </c>
      <c r="C11" s="5"/>
      <c r="D11" s="5" t="s">
        <v>1371</v>
      </c>
      <c r="F11" t="s">
        <v>939</v>
      </c>
    </row>
    <row r="12" spans="1:9">
      <c r="A12" s="5"/>
      <c r="B12" s="5" t="s">
        <v>982</v>
      </c>
      <c r="C12" s="5"/>
      <c r="D12" s="5" t="s">
        <v>1371</v>
      </c>
      <c r="F12" t="s">
        <v>3550</v>
      </c>
    </row>
    <row r="13" spans="1:9">
      <c r="A13" s="5"/>
      <c r="B13" s="5" t="s">
        <v>484</v>
      </c>
      <c r="C13" s="5"/>
      <c r="D13" s="5" t="s">
        <v>386</v>
      </c>
      <c r="F13" t="s">
        <v>1371</v>
      </c>
    </row>
    <row r="14" spans="1:9">
      <c r="A14" s="5"/>
      <c r="B14" s="5" t="s">
        <v>484</v>
      </c>
      <c r="C14" s="5"/>
      <c r="D14" s="5" t="s">
        <v>386</v>
      </c>
      <c r="F14" t="s">
        <v>6025</v>
      </c>
    </row>
    <row r="15" spans="1:9">
      <c r="A15" s="5"/>
      <c r="B15" t="s">
        <v>392</v>
      </c>
      <c r="C15" s="5"/>
      <c r="D15" s="5" t="s">
        <v>386</v>
      </c>
      <c r="F15" t="s">
        <v>1090</v>
      </c>
    </row>
    <row r="16" spans="1:9">
      <c r="A16" s="5"/>
      <c r="B16" t="s">
        <v>37</v>
      </c>
      <c r="C16" s="5"/>
      <c r="D16" s="5" t="s">
        <v>37</v>
      </c>
      <c r="F16" t="s">
        <v>6026</v>
      </c>
    </row>
    <row r="17" spans="1:4">
      <c r="A17" s="5"/>
      <c r="B17" s="5" t="s">
        <v>6027</v>
      </c>
      <c r="C17" s="5"/>
      <c r="D17" s="5" t="s">
        <v>750</v>
      </c>
    </row>
    <row r="18" spans="1:4">
      <c r="A18" s="5"/>
      <c r="B18" s="5" t="s">
        <v>1027</v>
      </c>
      <c r="C18" s="5"/>
      <c r="D18" t="s">
        <v>750</v>
      </c>
    </row>
    <row r="19" spans="1:4">
      <c r="A19" s="5"/>
      <c r="B19" s="5" t="s">
        <v>756</v>
      </c>
      <c r="C19" s="5"/>
      <c r="D19" s="5" t="s">
        <v>750</v>
      </c>
    </row>
    <row r="20" spans="1:4">
      <c r="A20" s="5"/>
      <c r="B20" t="s">
        <v>6027</v>
      </c>
      <c r="C20" s="5"/>
      <c r="D20" s="5" t="s">
        <v>750</v>
      </c>
    </row>
    <row r="21" spans="1:4">
      <c r="A21" s="5"/>
      <c r="B21" s="5" t="s">
        <v>1027</v>
      </c>
      <c r="C21" s="5"/>
      <c r="D21" s="5" t="s">
        <v>750</v>
      </c>
    </row>
    <row r="22" spans="1:4">
      <c r="A22" s="5"/>
      <c r="B22" s="5" t="s">
        <v>527</v>
      </c>
      <c r="C22" s="5"/>
      <c r="D22" s="5" t="s">
        <v>522</v>
      </c>
    </row>
    <row r="23" spans="1:4">
      <c r="A23" s="5"/>
      <c r="B23" t="s">
        <v>717</v>
      </c>
      <c r="C23" s="5"/>
      <c r="D23" s="5" t="s">
        <v>522</v>
      </c>
    </row>
    <row r="24" spans="1:4">
      <c r="A24" s="5"/>
      <c r="B24" s="5" t="s">
        <v>37</v>
      </c>
      <c r="C24" s="5"/>
      <c r="D24" s="5" t="s">
        <v>37</v>
      </c>
    </row>
    <row r="25" spans="1:4">
      <c r="A25" s="5"/>
      <c r="B25" s="5" t="s">
        <v>6028</v>
      </c>
      <c r="C25" s="5"/>
      <c r="D25" s="5"/>
    </row>
    <row r="26" spans="1:4">
      <c r="A26" s="5"/>
      <c r="B26" s="5" t="s">
        <v>6029</v>
      </c>
      <c r="C26" s="5"/>
      <c r="D26" s="5"/>
    </row>
    <row r="27" spans="1:4">
      <c r="A27" s="5"/>
      <c r="B27" s="5" t="s">
        <v>6030</v>
      </c>
      <c r="C27" s="5"/>
      <c r="D27" s="5" t="s">
        <v>386</v>
      </c>
    </row>
    <row r="28" spans="1:4">
      <c r="A28" s="5"/>
      <c r="B28" s="5" t="s">
        <v>6031</v>
      </c>
      <c r="C28" s="5"/>
      <c r="D28" s="5" t="s">
        <v>1090</v>
      </c>
    </row>
    <row r="29" spans="1:4">
      <c r="A29" s="5"/>
      <c r="B29" s="5" t="s">
        <v>6032</v>
      </c>
      <c r="C29" s="5"/>
      <c r="D29" s="5"/>
    </row>
    <row r="30" spans="1:4">
      <c r="A30" s="5"/>
      <c r="B30" s="5" t="s">
        <v>6033</v>
      </c>
      <c r="C30" s="5"/>
      <c r="D30" s="5" t="s">
        <v>1090</v>
      </c>
    </row>
    <row r="31" spans="1:4">
      <c r="A31" s="5"/>
      <c r="B31" s="5" t="s">
        <v>6034</v>
      </c>
      <c r="C31" s="5"/>
      <c r="D31" s="5"/>
    </row>
    <row r="32" spans="1:4">
      <c r="A32" s="5"/>
      <c r="B32" s="5" t="s">
        <v>6035</v>
      </c>
      <c r="C32" s="5"/>
      <c r="D32" s="5"/>
    </row>
    <row r="33" spans="1:4">
      <c r="A33" s="5"/>
      <c r="B33" s="5" t="s">
        <v>6036</v>
      </c>
      <c r="C33" s="5"/>
      <c r="D33" s="5"/>
    </row>
    <row r="34" spans="1:4">
      <c r="A34" s="5"/>
      <c r="B34" s="5" t="s">
        <v>6037</v>
      </c>
      <c r="C34" s="5"/>
      <c r="D34" s="5"/>
    </row>
    <row r="35" spans="1:4">
      <c r="A35" s="5"/>
      <c r="B35" s="5" t="s">
        <v>6038</v>
      </c>
      <c r="C35" s="5"/>
      <c r="D35" s="5"/>
    </row>
    <row r="36" spans="1:4">
      <c r="A36" s="5"/>
      <c r="B36" s="5" t="s">
        <v>6039</v>
      </c>
      <c r="C36" s="5"/>
      <c r="D36" s="5"/>
    </row>
    <row r="37" spans="1:4">
      <c r="A37" s="5"/>
      <c r="B37" s="5" t="s">
        <v>6040</v>
      </c>
      <c r="C37" s="5"/>
      <c r="D37" s="5" t="s">
        <v>386</v>
      </c>
    </row>
    <row r="38" spans="1:4">
      <c r="A38" s="5"/>
      <c r="B38" s="5" t="s">
        <v>6041</v>
      </c>
      <c r="C38" s="5"/>
      <c r="D38" s="5" t="s">
        <v>386</v>
      </c>
    </row>
    <row r="39" spans="1:4">
      <c r="A39" s="5"/>
      <c r="B39" s="5" t="s">
        <v>6042</v>
      </c>
      <c r="C39" s="5"/>
      <c r="D39" s="5" t="s">
        <v>386</v>
      </c>
    </row>
    <row r="40" spans="1:4">
      <c r="A40" s="5"/>
      <c r="B40" s="5" t="s">
        <v>6043</v>
      </c>
      <c r="C40" s="5"/>
      <c r="D40" s="5"/>
    </row>
    <row r="41" spans="1:4">
      <c r="A41" s="5"/>
      <c r="B41" s="5" t="s">
        <v>6044</v>
      </c>
      <c r="C41" s="5"/>
      <c r="D41" s="5"/>
    </row>
    <row r="42" spans="1:4">
      <c r="A42" s="5"/>
      <c r="B42" s="5" t="s">
        <v>6045</v>
      </c>
      <c r="C42" s="5"/>
      <c r="D42" s="5" t="s">
        <v>386</v>
      </c>
    </row>
    <row r="43" spans="1:4">
      <c r="A43" s="5"/>
      <c r="B43" s="5" t="s">
        <v>6046</v>
      </c>
      <c r="C43" s="5"/>
      <c r="D43" s="5"/>
    </row>
    <row r="44" spans="1:4">
      <c r="A44" s="5"/>
      <c r="B44" s="5" t="s">
        <v>6047</v>
      </c>
      <c r="C44" s="5"/>
      <c r="D44" s="5"/>
    </row>
    <row r="45" spans="1:4">
      <c r="A45" s="5"/>
      <c r="B45" s="5" t="s">
        <v>6048</v>
      </c>
      <c r="C45" s="5"/>
      <c r="D45" s="5"/>
    </row>
    <row r="46" spans="1:4">
      <c r="A46" s="5"/>
      <c r="B46" s="5" t="s">
        <v>6049</v>
      </c>
      <c r="C46" s="5"/>
      <c r="D46" s="5"/>
    </row>
    <row r="47" spans="1:4">
      <c r="A47" s="5"/>
      <c r="B47" s="5" t="s">
        <v>6050</v>
      </c>
      <c r="C47" s="5"/>
      <c r="D47" s="5"/>
    </row>
    <row r="48" spans="1:4">
      <c r="A48" s="5"/>
      <c r="B48" s="5" t="s">
        <v>6051</v>
      </c>
      <c r="C48" s="5"/>
      <c r="D48" s="5"/>
    </row>
    <row r="49" spans="1:4">
      <c r="A49" s="5"/>
      <c r="B49" s="5" t="s">
        <v>6052</v>
      </c>
      <c r="C49" s="5"/>
      <c r="D49" s="5"/>
    </row>
    <row r="50" spans="1:4">
      <c r="A50" s="5"/>
      <c r="B50" s="5" t="s">
        <v>6053</v>
      </c>
      <c r="C50" s="5"/>
      <c r="D50" s="5"/>
    </row>
    <row r="51" spans="1:4">
      <c r="A51" s="5"/>
      <c r="B51" s="5" t="s">
        <v>6054</v>
      </c>
      <c r="C51" s="5"/>
      <c r="D51" s="5"/>
    </row>
    <row r="52" spans="1:4">
      <c r="A52" s="5"/>
      <c r="B52" s="5" t="s">
        <v>6055</v>
      </c>
      <c r="C52" s="5"/>
      <c r="D52" s="5"/>
    </row>
    <row r="53" spans="1:4">
      <c r="A53" s="5"/>
      <c r="B53" s="5" t="s">
        <v>6056</v>
      </c>
      <c r="C53" s="5"/>
      <c r="D53" s="5"/>
    </row>
    <row r="54" spans="1:4">
      <c r="A54" s="5"/>
      <c r="B54" s="5" t="s">
        <v>6057</v>
      </c>
      <c r="C54" s="5"/>
      <c r="D54" s="5"/>
    </row>
    <row r="55" spans="1:4">
      <c r="A55" s="5"/>
      <c r="B55" s="5" t="s">
        <v>6058</v>
      </c>
      <c r="C55" s="5"/>
      <c r="D55" s="5"/>
    </row>
    <row r="56" spans="1:4">
      <c r="A56" s="5"/>
      <c r="B56" s="5" t="s">
        <v>6059</v>
      </c>
      <c r="C56" s="5"/>
      <c r="D56" s="5"/>
    </row>
    <row r="57" spans="1:4">
      <c r="A57" s="5"/>
      <c r="B57" s="5" t="s">
        <v>6060</v>
      </c>
      <c r="C57" s="5"/>
      <c r="D57" s="5"/>
    </row>
    <row r="58" spans="1:4">
      <c r="A58" s="5"/>
      <c r="B58" s="5" t="s">
        <v>6061</v>
      </c>
      <c r="C58" s="5"/>
      <c r="D58" s="5"/>
    </row>
    <row r="59" spans="1:4">
      <c r="A59" s="5"/>
      <c r="B59" s="5" t="s">
        <v>6062</v>
      </c>
      <c r="C59" s="5"/>
      <c r="D59" s="5"/>
    </row>
    <row r="60" spans="1:4">
      <c r="A60" s="5"/>
      <c r="B60" s="5" t="s">
        <v>6063</v>
      </c>
      <c r="C60" s="5"/>
      <c r="D60" s="5"/>
    </row>
    <row r="61" spans="1:4">
      <c r="A61" s="5"/>
      <c r="B61" s="5" t="s">
        <v>6064</v>
      </c>
      <c r="C61" s="5"/>
      <c r="D61" s="5"/>
    </row>
    <row r="62" spans="1:4">
      <c r="A62" s="5"/>
      <c r="B62" s="5" t="s">
        <v>6065</v>
      </c>
      <c r="C62" s="5"/>
      <c r="D62" s="5" t="s">
        <v>6066</v>
      </c>
    </row>
    <row r="63" spans="1:4">
      <c r="A63" s="5"/>
      <c r="B63" s="5" t="s">
        <v>6067</v>
      </c>
      <c r="C63" s="5"/>
      <c r="D63" s="5"/>
    </row>
    <row r="64" spans="1:4">
      <c r="A64" s="5"/>
      <c r="B64" s="5" t="s">
        <v>6068</v>
      </c>
      <c r="C64" s="5"/>
      <c r="D64" s="5"/>
    </row>
    <row r="65" spans="1:4">
      <c r="A65" s="5"/>
      <c r="B65" s="5" t="s">
        <v>6069</v>
      </c>
      <c r="C65" s="5"/>
      <c r="D65" s="5"/>
    </row>
    <row r="66" spans="1:4">
      <c r="A66" s="5"/>
      <c r="B66" s="5" t="s">
        <v>6070</v>
      </c>
      <c r="C66" s="5"/>
      <c r="D66" s="5"/>
    </row>
    <row r="67" spans="1:4">
      <c r="A67" s="5"/>
      <c r="B67" s="5" t="s">
        <v>6071</v>
      </c>
      <c r="C67" s="5"/>
      <c r="D67" s="5"/>
    </row>
    <row r="68" spans="1:4">
      <c r="A68" s="5"/>
      <c r="B68" s="5" t="s">
        <v>6072</v>
      </c>
      <c r="C68" s="5"/>
      <c r="D68" s="5"/>
    </row>
    <row r="69" spans="1:4">
      <c r="A69" s="5"/>
      <c r="B69" s="5" t="s">
        <v>6073</v>
      </c>
      <c r="C69" s="5"/>
      <c r="D69" s="5"/>
    </row>
    <row r="70" spans="1:4">
      <c r="A70" s="5"/>
      <c r="B70" s="5" t="s">
        <v>6074</v>
      </c>
      <c r="C70" s="5"/>
      <c r="D70" s="5"/>
    </row>
    <row r="71" spans="1:4">
      <c r="A71" s="5"/>
      <c r="B71" s="5" t="s">
        <v>6075</v>
      </c>
      <c r="C71" s="5"/>
      <c r="D71" s="5"/>
    </row>
    <row r="72" spans="1:4">
      <c r="A72" s="5"/>
      <c r="B72" s="5" t="s">
        <v>6076</v>
      </c>
      <c r="C72" s="5"/>
      <c r="D72" s="5"/>
    </row>
    <row r="73" spans="1:4">
      <c r="A73" s="5"/>
      <c r="B73" s="5" t="s">
        <v>6077</v>
      </c>
      <c r="C73" s="5"/>
      <c r="D73" s="5"/>
    </row>
    <row r="74" spans="1:4">
      <c r="A74" s="5"/>
      <c r="B74" s="5" t="s">
        <v>6078</v>
      </c>
      <c r="C74" s="5"/>
      <c r="D74" s="5"/>
    </row>
    <row r="75" spans="1:4">
      <c r="A75" s="5"/>
      <c r="B75" s="5" t="s">
        <v>6079</v>
      </c>
      <c r="C75" s="5"/>
      <c r="D75" s="5" t="s">
        <v>522</v>
      </c>
    </row>
    <row r="76" spans="1:4">
      <c r="A76" s="5"/>
      <c r="B76" s="5" t="s">
        <v>6080</v>
      </c>
      <c r="C76" s="5"/>
      <c r="D76" s="5"/>
    </row>
    <row r="77" spans="1:4">
      <c r="A77" s="5"/>
      <c r="B77" s="5" t="s">
        <v>6081</v>
      </c>
      <c r="C77" s="5"/>
      <c r="D77" s="5" t="s">
        <v>522</v>
      </c>
    </row>
    <row r="78" spans="1:4">
      <c r="A78" s="5"/>
      <c r="B78" s="5" t="s">
        <v>6082</v>
      </c>
      <c r="C78" s="5"/>
      <c r="D78" s="5"/>
    </row>
    <row r="79" spans="1:4">
      <c r="A79" s="5"/>
      <c r="B79" s="5" t="s">
        <v>6083</v>
      </c>
      <c r="C79" s="5"/>
      <c r="D79" s="5" t="s">
        <v>959</v>
      </c>
    </row>
    <row r="80" spans="1:4">
      <c r="A80" s="5"/>
      <c r="B80" s="5" t="s">
        <v>6084</v>
      </c>
      <c r="C80" s="5"/>
      <c r="D80" s="5"/>
    </row>
    <row r="81" spans="1:4">
      <c r="A81" s="5"/>
      <c r="B81" s="5" t="s">
        <v>6085</v>
      </c>
      <c r="C81" s="5"/>
      <c r="D81" s="5"/>
    </row>
    <row r="82" spans="1:4">
      <c r="A82" s="5"/>
      <c r="B82" s="5" t="s">
        <v>6086</v>
      </c>
      <c r="C82" s="5"/>
      <c r="D82" s="5"/>
    </row>
    <row r="83" spans="1:4">
      <c r="A83" s="5"/>
      <c r="B83" s="5" t="s">
        <v>6087</v>
      </c>
      <c r="C83" s="5"/>
      <c r="D83" s="5"/>
    </row>
    <row r="84" spans="1:4">
      <c r="A84" s="5"/>
      <c r="B84" s="5" t="s">
        <v>6088</v>
      </c>
      <c r="C84" s="5"/>
      <c r="D84" s="5"/>
    </row>
    <row r="85" spans="1:4">
      <c r="A85" s="5"/>
      <c r="B85" s="5" t="s">
        <v>6089</v>
      </c>
      <c r="C85" s="5"/>
      <c r="D85" s="5"/>
    </row>
    <row r="86" spans="1:4">
      <c r="A86" s="5"/>
      <c r="B86" s="5" t="s">
        <v>6090</v>
      </c>
      <c r="C86" s="5"/>
      <c r="D86" s="5"/>
    </row>
    <row r="87" spans="1:4">
      <c r="A87" s="5"/>
      <c r="B87" s="5" t="s">
        <v>6091</v>
      </c>
      <c r="C87" s="5"/>
      <c r="D87" s="5"/>
    </row>
    <row r="88" spans="1:4">
      <c r="A88" s="5"/>
      <c r="B88" s="5" t="s">
        <v>6092</v>
      </c>
      <c r="C88" s="5"/>
      <c r="D88" s="5" t="s">
        <v>1657</v>
      </c>
    </row>
    <row r="89" spans="1:4">
      <c r="A89" s="5"/>
      <c r="B89" s="5" t="s">
        <v>6093</v>
      </c>
      <c r="C89" s="5"/>
      <c r="D89" s="5"/>
    </row>
    <row r="90" spans="1:4">
      <c r="A90" s="5"/>
      <c r="B90" s="5" t="s">
        <v>6094</v>
      </c>
      <c r="C90" s="5"/>
      <c r="D90" s="5"/>
    </row>
    <row r="91" spans="1:4">
      <c r="A91" s="5"/>
      <c r="B91" s="5" t="s">
        <v>6095</v>
      </c>
      <c r="C91" s="5"/>
      <c r="D91" s="5"/>
    </row>
    <row r="92" spans="1:4">
      <c r="A92" s="5"/>
      <c r="B92" s="5" t="s">
        <v>6096</v>
      </c>
      <c r="C92" s="5"/>
      <c r="D92" s="5"/>
    </row>
    <row r="93" spans="1:4">
      <c r="A93" s="5"/>
      <c r="B93" s="5" t="s">
        <v>6097</v>
      </c>
      <c r="C93" s="5"/>
      <c r="D93" s="5"/>
    </row>
    <row r="94" spans="1:4">
      <c r="A94" s="5"/>
      <c r="B94" s="5" t="s">
        <v>6098</v>
      </c>
      <c r="C94" s="5"/>
      <c r="D94" s="5"/>
    </row>
    <row r="95" spans="1:4">
      <c r="A95" s="5"/>
      <c r="B95" s="5" t="s">
        <v>6099</v>
      </c>
      <c r="C95" s="5"/>
      <c r="D95" s="5"/>
    </row>
    <row r="96" spans="1:4">
      <c r="A96" s="5"/>
      <c r="B96" s="5" t="s">
        <v>6100</v>
      </c>
      <c r="C96" s="5"/>
      <c r="D96" s="5"/>
    </row>
    <row r="97" spans="1:4">
      <c r="A97" s="5"/>
      <c r="B97" s="5" t="s">
        <v>6101</v>
      </c>
      <c r="C97" s="5"/>
      <c r="D97" s="5"/>
    </row>
    <row r="98" spans="1:4">
      <c r="A98" s="5"/>
      <c r="B98" s="5" t="s">
        <v>6102</v>
      </c>
      <c r="C98" s="5"/>
      <c r="D98" s="5"/>
    </row>
    <row r="99" spans="1:4">
      <c r="A99" s="5"/>
      <c r="B99" s="5" t="s">
        <v>6103</v>
      </c>
      <c r="C99" s="5"/>
      <c r="D99" s="5"/>
    </row>
    <row r="100" spans="1:4">
      <c r="A100" s="5"/>
      <c r="B100" s="5" t="s">
        <v>6104</v>
      </c>
      <c r="C100" s="5"/>
      <c r="D100" s="5"/>
    </row>
    <row r="101" spans="1:4">
      <c r="A101" s="5"/>
      <c r="B101" s="5" t="s">
        <v>6105</v>
      </c>
      <c r="C101" s="5"/>
      <c r="D101" s="5"/>
    </row>
    <row r="102" spans="1:4">
      <c r="A102" s="5"/>
      <c r="B102" s="5" t="s">
        <v>6106</v>
      </c>
      <c r="C102" s="5"/>
      <c r="D102" s="5"/>
    </row>
    <row r="103" spans="1:4">
      <c r="A103" s="5"/>
      <c r="B103" s="5" t="s">
        <v>6107</v>
      </c>
      <c r="C103" s="5"/>
      <c r="D103" s="5"/>
    </row>
    <row r="104" spans="1:4">
      <c r="A104" s="5"/>
      <c r="B104" s="5" t="s">
        <v>6108</v>
      </c>
      <c r="C104" s="5"/>
      <c r="D104" s="5"/>
    </row>
    <row r="105" spans="1:4">
      <c r="A105" s="5"/>
      <c r="B105" s="5" t="s">
        <v>6109</v>
      </c>
      <c r="C105" s="5"/>
      <c r="D105" s="5" t="s">
        <v>1657</v>
      </c>
    </row>
    <row r="106" spans="1:4">
      <c r="A106" s="5"/>
      <c r="B106" s="5" t="s">
        <v>6110</v>
      </c>
      <c r="C106" s="5"/>
      <c r="D106" s="5"/>
    </row>
    <row r="107" spans="1:4">
      <c r="A107" s="5"/>
      <c r="B107" s="5" t="s">
        <v>6111</v>
      </c>
      <c r="C107" s="5"/>
      <c r="D107" s="5"/>
    </row>
    <row r="108" spans="1:4">
      <c r="A108" s="5"/>
      <c r="B108" s="5" t="s">
        <v>6112</v>
      </c>
      <c r="C108" s="5"/>
      <c r="D108" s="5"/>
    </row>
    <row r="109" spans="1:4">
      <c r="A109" s="5"/>
      <c r="B109" s="5" t="s">
        <v>6113</v>
      </c>
      <c r="C109" s="5"/>
      <c r="D109" s="5"/>
    </row>
    <row r="110" spans="1:4">
      <c r="A110" s="5"/>
      <c r="B110" s="5" t="s">
        <v>6114</v>
      </c>
      <c r="C110" s="5"/>
      <c r="D110" s="5"/>
    </row>
    <row r="111" spans="1:4">
      <c r="A111" s="5"/>
      <c r="B111" s="5" t="s">
        <v>6115</v>
      </c>
      <c r="C111" s="5"/>
      <c r="D111" s="5"/>
    </row>
    <row r="112" spans="1:4">
      <c r="A112" s="5"/>
      <c r="B112" s="5" t="s">
        <v>6116</v>
      </c>
      <c r="C112" s="5"/>
      <c r="D112" s="5"/>
    </row>
    <row r="113" spans="1:4">
      <c r="A113" s="5"/>
      <c r="B113" s="5" t="s">
        <v>6117</v>
      </c>
      <c r="C113" s="5"/>
      <c r="D113" s="5"/>
    </row>
    <row r="114" spans="1:4">
      <c r="A114" s="5"/>
      <c r="B114" s="5" t="s">
        <v>6118</v>
      </c>
      <c r="C114" s="5"/>
      <c r="D114" s="5"/>
    </row>
    <row r="115" spans="1:4">
      <c r="A115" s="5"/>
      <c r="B115" s="5" t="s">
        <v>6119</v>
      </c>
      <c r="C115" s="5"/>
      <c r="D115" s="5"/>
    </row>
    <row r="116" spans="1:4">
      <c r="A116" s="5"/>
      <c r="B116" s="5" t="s">
        <v>6120</v>
      </c>
      <c r="C116" s="5"/>
      <c r="D116" s="5"/>
    </row>
    <row r="117" spans="1:4">
      <c r="A117" s="5"/>
      <c r="B117" s="5" t="s">
        <v>6121</v>
      </c>
      <c r="C117" s="5"/>
      <c r="D117" s="5"/>
    </row>
    <row r="118" spans="1:4">
      <c r="A118" s="5"/>
      <c r="B118" s="5" t="s">
        <v>6122</v>
      </c>
      <c r="C118" s="5"/>
      <c r="D118" s="5"/>
    </row>
    <row r="119" spans="1:4">
      <c r="A119" s="5"/>
      <c r="B119" s="5" t="s">
        <v>6123</v>
      </c>
      <c r="C119" s="5"/>
      <c r="D119" s="5"/>
    </row>
    <row r="120" spans="1:4">
      <c r="A120" s="5"/>
      <c r="B120" s="5" t="s">
        <v>6124</v>
      </c>
      <c r="C120" s="5"/>
      <c r="D120" s="5"/>
    </row>
    <row r="121" spans="1:4">
      <c r="A121" s="5"/>
      <c r="B121" s="5" t="s">
        <v>6125</v>
      </c>
      <c r="C121" s="5"/>
      <c r="D121" s="5"/>
    </row>
    <row r="122" spans="1:4">
      <c r="A122" s="5"/>
      <c r="B122" s="5" t="s">
        <v>6126</v>
      </c>
      <c r="C122" s="5"/>
      <c r="D122" s="5" t="s">
        <v>1657</v>
      </c>
    </row>
    <row r="123" spans="1:4">
      <c r="A123" s="5"/>
      <c r="B123" s="5" t="s">
        <v>6127</v>
      </c>
      <c r="C123" s="5"/>
      <c r="D123" s="5"/>
    </row>
    <row r="124" spans="1:4">
      <c r="A124" s="5"/>
      <c r="B124" s="5" t="s">
        <v>6128</v>
      </c>
      <c r="C124" s="5"/>
      <c r="D124" s="5" t="s">
        <v>1657</v>
      </c>
    </row>
    <row r="125" spans="1:4">
      <c r="A125" s="5"/>
      <c r="B125" s="5" t="s">
        <v>6129</v>
      </c>
      <c r="C125" s="5"/>
      <c r="D125" s="5"/>
    </row>
    <row r="126" spans="1:4">
      <c r="A126" s="5"/>
      <c r="B126" s="5" t="s">
        <v>6130</v>
      </c>
      <c r="C126" s="5"/>
      <c r="D126" s="5" t="s">
        <v>386</v>
      </c>
    </row>
    <row r="127" spans="1:4">
      <c r="A127" s="5"/>
      <c r="B127" s="5" t="s">
        <v>6131</v>
      </c>
      <c r="C127" s="5"/>
      <c r="D127" s="5"/>
    </row>
    <row r="128" spans="1:4">
      <c r="A128" s="5"/>
      <c r="B128" s="5" t="s">
        <v>6132</v>
      </c>
      <c r="C128" s="5"/>
      <c r="D128" s="5"/>
    </row>
    <row r="129" spans="1:4">
      <c r="A129" s="5"/>
      <c r="B129" s="5" t="s">
        <v>6133</v>
      </c>
      <c r="C129" s="5"/>
      <c r="D129" s="5"/>
    </row>
    <row r="130" spans="1:4">
      <c r="A130" s="5"/>
      <c r="B130" s="5" t="s">
        <v>6134</v>
      </c>
      <c r="C130" s="5"/>
      <c r="D130" s="5" t="s">
        <v>939</v>
      </c>
    </row>
    <row r="131" spans="1:4">
      <c r="A131" s="5"/>
      <c r="B131" s="5" t="s">
        <v>6135</v>
      </c>
      <c r="C131" s="5"/>
      <c r="D131" s="5" t="s">
        <v>1657</v>
      </c>
    </row>
    <row r="132" spans="1:4">
      <c r="A132" s="5"/>
      <c r="B132" s="5" t="s">
        <v>6136</v>
      </c>
      <c r="C132" s="5"/>
      <c r="D132" s="5"/>
    </row>
    <row r="133" spans="1:4">
      <c r="A133" s="5"/>
      <c r="B133" s="5" t="s">
        <v>6137</v>
      </c>
      <c r="C133" s="5"/>
      <c r="D133" s="5"/>
    </row>
    <row r="134" spans="1:4">
      <c r="A134" s="5"/>
      <c r="B134" s="5" t="s">
        <v>6138</v>
      </c>
      <c r="C134" s="5"/>
      <c r="D134" s="5"/>
    </row>
    <row r="135" spans="1:4">
      <c r="A135" s="5"/>
      <c r="B135" s="5" t="s">
        <v>6139</v>
      </c>
      <c r="C135" s="5"/>
      <c r="D135" s="5"/>
    </row>
    <row r="136" spans="1:4">
      <c r="A136" s="5"/>
      <c r="B136" s="5" t="s">
        <v>6140</v>
      </c>
      <c r="C136" s="5"/>
      <c r="D136" s="5"/>
    </row>
    <row r="137" spans="1:4">
      <c r="A137" s="5"/>
      <c r="B137" s="5" t="s">
        <v>6141</v>
      </c>
      <c r="C137" s="5"/>
      <c r="D137" s="5"/>
    </row>
    <row r="138" spans="1:4">
      <c r="A138" s="5"/>
      <c r="B138" s="5" t="s">
        <v>6142</v>
      </c>
      <c r="C138" s="5"/>
      <c r="D138" s="5"/>
    </row>
    <row r="139" spans="1:4">
      <c r="A139" s="5"/>
      <c r="B139" s="5" t="s">
        <v>6143</v>
      </c>
      <c r="C139" s="5"/>
      <c r="D139" s="5" t="s">
        <v>750</v>
      </c>
    </row>
    <row r="140" spans="1:4">
      <c r="A140" s="5"/>
      <c r="B140" s="5" t="s">
        <v>6144</v>
      </c>
      <c r="C140" s="5"/>
      <c r="D140" s="5"/>
    </row>
    <row r="141" spans="1:4">
      <c r="A141" s="5"/>
      <c r="B141" s="5" t="s">
        <v>6145</v>
      </c>
      <c r="C141" s="5"/>
      <c r="D141" s="5"/>
    </row>
    <row r="142" spans="1:4">
      <c r="A142" s="5"/>
      <c r="B142" s="5" t="s">
        <v>6146</v>
      </c>
      <c r="C142" s="5"/>
      <c r="D142" s="5"/>
    </row>
    <row r="143" spans="1:4">
      <c r="A143" s="5"/>
      <c r="B143" s="5" t="s">
        <v>6147</v>
      </c>
      <c r="C143" s="5"/>
      <c r="D143" s="5" t="s">
        <v>1657</v>
      </c>
    </row>
    <row r="144" spans="1:4">
      <c r="A144" s="5"/>
      <c r="B144" s="5" t="s">
        <v>6148</v>
      </c>
      <c r="C144" s="5"/>
      <c r="D144" s="5"/>
    </row>
    <row r="145" spans="1:4">
      <c r="A145" s="5"/>
      <c r="B145" s="5" t="s">
        <v>6149</v>
      </c>
      <c r="C145" s="5"/>
      <c r="D145" s="5"/>
    </row>
    <row r="146" spans="1:4">
      <c r="A146" s="5"/>
      <c r="B146" s="5" t="s">
        <v>6150</v>
      </c>
      <c r="C146" s="5"/>
      <c r="D146" s="5"/>
    </row>
    <row r="147" spans="1:4">
      <c r="A147" s="5"/>
      <c r="B147" s="5" t="s">
        <v>6151</v>
      </c>
      <c r="C147" s="5"/>
      <c r="D147" s="5"/>
    </row>
    <row r="148" spans="1:4">
      <c r="A148" s="5"/>
      <c r="B148" s="5" t="s">
        <v>6152</v>
      </c>
      <c r="C148" s="5"/>
      <c r="D148" s="5" t="s">
        <v>1657</v>
      </c>
    </row>
    <row r="149" spans="1:4">
      <c r="A149" s="5"/>
      <c r="B149" s="5" t="s">
        <v>6153</v>
      </c>
      <c r="C149" s="5"/>
      <c r="D149" s="5"/>
    </row>
    <row r="150" spans="1:4">
      <c r="A150" s="5"/>
      <c r="B150" s="5" t="s">
        <v>6154</v>
      </c>
      <c r="C150" s="5"/>
      <c r="D150" s="5"/>
    </row>
    <row r="151" spans="1:4">
      <c r="A151" s="5"/>
      <c r="B151" s="5" t="s">
        <v>6155</v>
      </c>
      <c r="C151" s="5"/>
      <c r="D151" s="5"/>
    </row>
    <row r="152" spans="1:4">
      <c r="A152" s="5"/>
      <c r="B152" s="5" t="s">
        <v>6156</v>
      </c>
      <c r="C152" s="5"/>
      <c r="D152" s="5"/>
    </row>
    <row r="153" spans="1:4">
      <c r="A153" s="5"/>
      <c r="B153" s="5" t="s">
        <v>6157</v>
      </c>
      <c r="C153" s="5"/>
      <c r="D153" s="5"/>
    </row>
    <row r="154" spans="1:4">
      <c r="A154" s="5"/>
      <c r="B154" s="5" t="s">
        <v>6158</v>
      </c>
      <c r="C154" s="5"/>
      <c r="D154" s="5"/>
    </row>
    <row r="155" spans="1:4">
      <c r="A155" s="5"/>
      <c r="B155" s="5" t="s">
        <v>6159</v>
      </c>
      <c r="C155" s="5"/>
      <c r="D155" s="5"/>
    </row>
    <row r="156" spans="1:4">
      <c r="A156" s="5"/>
      <c r="B156" s="5" t="s">
        <v>6160</v>
      </c>
      <c r="C156" s="5"/>
      <c r="D156" s="5"/>
    </row>
    <row r="157" spans="1:4">
      <c r="A157" s="5"/>
      <c r="B157" s="5" t="s">
        <v>6161</v>
      </c>
      <c r="C157" s="5"/>
      <c r="D157" s="5"/>
    </row>
    <row r="158" spans="1:4">
      <c r="A158" s="5"/>
      <c r="B158" s="5" t="s">
        <v>6162</v>
      </c>
      <c r="C158" s="5"/>
      <c r="D158" s="5"/>
    </row>
    <row r="159" spans="1:4">
      <c r="A159" s="5"/>
      <c r="B159" s="5" t="s">
        <v>6163</v>
      </c>
      <c r="C159" s="5"/>
      <c r="D159" s="5" t="s">
        <v>959</v>
      </c>
    </row>
    <row r="160" spans="1:4">
      <c r="A160" s="5"/>
      <c r="B160" s="5" t="s">
        <v>6164</v>
      </c>
      <c r="C160" s="5"/>
      <c r="D160" s="5"/>
    </row>
    <row r="161" spans="1:4">
      <c r="A161" s="5"/>
      <c r="B161" s="5" t="s">
        <v>6165</v>
      </c>
      <c r="C161" s="5"/>
      <c r="D161" s="5"/>
    </row>
    <row r="162" spans="1:4">
      <c r="A162" s="5"/>
      <c r="B162" s="5" t="s">
        <v>6166</v>
      </c>
      <c r="C162" s="5"/>
      <c r="D162" s="5"/>
    </row>
    <row r="163" spans="1:4">
      <c r="A163" s="5"/>
      <c r="B163" s="5" t="s">
        <v>6167</v>
      </c>
      <c r="C163" s="5"/>
      <c r="D163" s="5"/>
    </row>
    <row r="164" spans="1:4">
      <c r="A164" s="5"/>
      <c r="B164" s="5" t="s">
        <v>6168</v>
      </c>
      <c r="C164" s="5"/>
      <c r="D164" s="5"/>
    </row>
    <row r="165" spans="1:4">
      <c r="A165" s="5"/>
      <c r="B165" s="5" t="s">
        <v>6169</v>
      </c>
      <c r="C165" s="5"/>
      <c r="D165" s="5"/>
    </row>
    <row r="166" spans="1:4">
      <c r="A166" s="5"/>
      <c r="B166" s="5" t="s">
        <v>6170</v>
      </c>
      <c r="C166" s="5"/>
      <c r="D166" s="5"/>
    </row>
    <row r="167" spans="1:4">
      <c r="A167" s="5"/>
      <c r="B167" s="5" t="s">
        <v>6171</v>
      </c>
      <c r="C167" s="5"/>
      <c r="D167" s="5"/>
    </row>
    <row r="168" spans="1:4">
      <c r="A168" s="5"/>
      <c r="B168" s="5" t="s">
        <v>6172</v>
      </c>
      <c r="C168" s="5"/>
      <c r="D168" s="5"/>
    </row>
    <row r="169" spans="1:4">
      <c r="A169" s="5"/>
      <c r="B169" s="5" t="s">
        <v>6173</v>
      </c>
      <c r="C169" s="5"/>
      <c r="D169" s="5"/>
    </row>
    <row r="170" spans="1:4">
      <c r="A170" s="5"/>
      <c r="B170" s="5" t="s">
        <v>6174</v>
      </c>
      <c r="C170" s="5"/>
      <c r="D170" s="5"/>
    </row>
    <row r="171" spans="1:4">
      <c r="A171" s="5"/>
      <c r="B171" s="5" t="s">
        <v>6175</v>
      </c>
      <c r="C171" s="5"/>
      <c r="D171" s="5"/>
    </row>
    <row r="172" spans="1:4">
      <c r="A172" s="5"/>
      <c r="B172" s="5" t="s">
        <v>6176</v>
      </c>
      <c r="C172" s="5"/>
      <c r="D172" s="5"/>
    </row>
    <row r="173" spans="1:4">
      <c r="A173" s="5"/>
      <c r="B173" s="5" t="s">
        <v>6177</v>
      </c>
      <c r="C173" s="5"/>
      <c r="D173" s="5"/>
    </row>
    <row r="174" spans="1:4">
      <c r="A174" s="5"/>
      <c r="B174" s="5" t="s">
        <v>6178</v>
      </c>
      <c r="C174" s="5"/>
      <c r="D174" s="5"/>
    </row>
    <row r="175" spans="1:4">
      <c r="A175" s="5"/>
      <c r="B175" s="5" t="s">
        <v>6179</v>
      </c>
      <c r="C175" s="5"/>
      <c r="D175" s="5"/>
    </row>
    <row r="176" spans="1:4">
      <c r="A176" s="5"/>
      <c r="B176" s="5" t="s">
        <v>6180</v>
      </c>
      <c r="C176" s="5"/>
      <c r="D176" s="5"/>
    </row>
    <row r="177" spans="1:4">
      <c r="A177" s="5"/>
      <c r="B177" s="5" t="s">
        <v>6181</v>
      </c>
      <c r="C177" s="5"/>
      <c r="D177" s="5" t="s">
        <v>386</v>
      </c>
    </row>
    <row r="178" spans="1:4">
      <c r="A178" s="5"/>
      <c r="B178" s="5" t="s">
        <v>6182</v>
      </c>
      <c r="C178" s="5"/>
      <c r="D178" s="5"/>
    </row>
    <row r="179" spans="1:4">
      <c r="A179" s="5"/>
      <c r="B179" s="5" t="s">
        <v>6183</v>
      </c>
      <c r="C179" s="5"/>
      <c r="D179" s="5"/>
    </row>
    <row r="180" spans="1:4">
      <c r="A180" s="5"/>
      <c r="B180" s="5" t="s">
        <v>6184</v>
      </c>
      <c r="C180" s="5"/>
      <c r="D180" s="5"/>
    </row>
    <row r="181" spans="1:4">
      <c r="A181" s="5"/>
      <c r="B181" s="5" t="s">
        <v>6185</v>
      </c>
      <c r="C181" s="5"/>
      <c r="D181" s="5"/>
    </row>
    <row r="182" spans="1:4">
      <c r="A182" s="5"/>
      <c r="B182" s="5" t="s">
        <v>6186</v>
      </c>
      <c r="C182" s="5"/>
      <c r="D182" s="5"/>
    </row>
    <row r="183" spans="1:4">
      <c r="A183" s="5"/>
      <c r="B183" s="5" t="s">
        <v>6187</v>
      </c>
      <c r="C183" s="5"/>
      <c r="D183" s="5" t="s">
        <v>1657</v>
      </c>
    </row>
    <row r="184" spans="1:4">
      <c r="A184" s="5"/>
      <c r="B184" s="5" t="s">
        <v>6188</v>
      </c>
      <c r="C184" s="5"/>
      <c r="D184" s="5"/>
    </row>
    <row r="185" spans="1:4">
      <c r="A185" s="5"/>
      <c r="B185" s="5" t="s">
        <v>6189</v>
      </c>
      <c r="C185" s="5"/>
      <c r="D185" s="5" t="s">
        <v>1657</v>
      </c>
    </row>
    <row r="186" spans="1:4">
      <c r="A186" s="5"/>
      <c r="B186" s="5" t="s">
        <v>6190</v>
      </c>
      <c r="C186" s="5"/>
      <c r="D186" s="5" t="s">
        <v>1657</v>
      </c>
    </row>
    <row r="187" spans="1:4">
      <c r="A187" s="5"/>
      <c r="B187" s="5" t="s">
        <v>6191</v>
      </c>
      <c r="C187" s="5"/>
      <c r="D187" s="5" t="s">
        <v>1657</v>
      </c>
    </row>
    <row r="188" spans="1:4">
      <c r="A188" s="5"/>
      <c r="B188" s="5" t="s">
        <v>6192</v>
      </c>
      <c r="C188" s="5"/>
      <c r="D188" s="5" t="s">
        <v>1657</v>
      </c>
    </row>
    <row r="189" spans="1:4">
      <c r="A189" s="5"/>
      <c r="B189" s="5" t="s">
        <v>6193</v>
      </c>
      <c r="C189" s="5"/>
      <c r="D189" s="5" t="s">
        <v>386</v>
      </c>
    </row>
    <row r="190" spans="1:4">
      <c r="A190" s="5"/>
      <c r="B190" s="5" t="s">
        <v>6194</v>
      </c>
      <c r="C190" s="5"/>
      <c r="D190" s="5"/>
    </row>
    <row r="191" spans="1:4">
      <c r="A191" s="5"/>
      <c r="B191" s="5" t="s">
        <v>6195</v>
      </c>
      <c r="C191" s="5"/>
      <c r="D191" s="5"/>
    </row>
    <row r="192" spans="1:4">
      <c r="A192" s="5"/>
      <c r="B192" s="5" t="s">
        <v>6196</v>
      </c>
      <c r="C192" s="5"/>
      <c r="D192" s="5"/>
    </row>
    <row r="193" spans="1:4">
      <c r="A193" s="5"/>
      <c r="B193" s="5" t="s">
        <v>6197</v>
      </c>
      <c r="C193" s="5"/>
      <c r="D193" s="5"/>
    </row>
    <row r="194" spans="1:4">
      <c r="A194" s="5"/>
      <c r="B194" s="5" t="s">
        <v>6198</v>
      </c>
      <c r="C194" s="5"/>
      <c r="D194" s="5"/>
    </row>
    <row r="195" spans="1:4">
      <c r="A195" s="5"/>
      <c r="B195" s="5" t="s">
        <v>6199</v>
      </c>
      <c r="C195" s="5"/>
      <c r="D195" s="5"/>
    </row>
    <row r="196" spans="1:4">
      <c r="A196" s="5"/>
      <c r="B196" s="5" t="s">
        <v>6200</v>
      </c>
      <c r="C196" s="5"/>
      <c r="D196" s="5"/>
    </row>
    <row r="197" spans="1:4">
      <c r="A197" s="5"/>
      <c r="B197" s="5" t="s">
        <v>6201</v>
      </c>
      <c r="C197" s="5"/>
      <c r="D197" s="5"/>
    </row>
    <row r="198" spans="1:4">
      <c r="A198" s="5"/>
      <c r="B198" s="5" t="s">
        <v>6202</v>
      </c>
      <c r="C198" s="5"/>
      <c r="D198" s="5"/>
    </row>
    <row r="199" spans="1:4">
      <c r="A199" s="5"/>
      <c r="B199" s="5" t="s">
        <v>6203</v>
      </c>
      <c r="C199" s="5"/>
      <c r="D199" s="5"/>
    </row>
    <row r="200" spans="1:4">
      <c r="A200" s="5"/>
      <c r="B200" s="5" t="s">
        <v>6204</v>
      </c>
      <c r="C200" s="5"/>
      <c r="D200" s="5"/>
    </row>
    <row r="201" spans="1:4">
      <c r="A201" s="5"/>
      <c r="B201" s="5" t="s">
        <v>6205</v>
      </c>
      <c r="C201" s="5"/>
      <c r="D201" s="5"/>
    </row>
    <row r="202" spans="1:4">
      <c r="A202" s="5"/>
      <c r="B202" s="5" t="s">
        <v>6206</v>
      </c>
      <c r="C202" s="5"/>
      <c r="D202" s="5"/>
    </row>
    <row r="203" spans="1:4">
      <c r="A203" s="5"/>
      <c r="B203" s="5" t="s">
        <v>6207</v>
      </c>
      <c r="C203" s="5"/>
      <c r="D203" s="5"/>
    </row>
    <row r="204" spans="1:4">
      <c r="A204" s="5"/>
      <c r="B204" s="5" t="s">
        <v>6208</v>
      </c>
      <c r="C204" s="5"/>
      <c r="D204" s="5"/>
    </row>
    <row r="205" spans="1:4">
      <c r="A205" s="5"/>
      <c r="B205" s="5" t="s">
        <v>6209</v>
      </c>
      <c r="C205" s="5"/>
      <c r="D205" s="5"/>
    </row>
    <row r="206" spans="1:4">
      <c r="A206" s="5"/>
      <c r="B206" s="5" t="s">
        <v>6210</v>
      </c>
      <c r="C206" s="5"/>
      <c r="D206" s="5"/>
    </row>
    <row r="207" spans="1:4">
      <c r="A207" s="5"/>
      <c r="B207" s="5" t="s">
        <v>6211</v>
      </c>
      <c r="C207" s="5"/>
      <c r="D207" s="5"/>
    </row>
    <row r="208" spans="1:4">
      <c r="A208" s="5"/>
      <c r="B208" s="5" t="s">
        <v>6212</v>
      </c>
      <c r="C208" s="5"/>
      <c r="D208" s="5"/>
    </row>
    <row r="209" spans="1:4">
      <c r="A209" s="5"/>
      <c r="B209" s="5" t="s">
        <v>6213</v>
      </c>
      <c r="C209" s="5"/>
      <c r="D209" s="5"/>
    </row>
    <row r="210" spans="1:4">
      <c r="A210" s="5"/>
      <c r="B210" s="5" t="s">
        <v>6214</v>
      </c>
      <c r="C210" s="5"/>
      <c r="D210" s="5" t="s">
        <v>1657</v>
      </c>
    </row>
    <row r="211" spans="1:4">
      <c r="A211" s="5"/>
      <c r="B211" s="5" t="s">
        <v>6215</v>
      </c>
      <c r="C211" s="5"/>
      <c r="D211" s="5"/>
    </row>
    <row r="212" spans="1:4">
      <c r="A212" s="5"/>
      <c r="B212" s="5" t="s">
        <v>6216</v>
      </c>
      <c r="C212" s="5"/>
      <c r="D212" s="5"/>
    </row>
    <row r="213" spans="1:4">
      <c r="A213" s="5"/>
      <c r="B213" s="5" t="s">
        <v>6217</v>
      </c>
      <c r="C213" s="5"/>
      <c r="D213" s="5"/>
    </row>
    <row r="214" spans="1:4">
      <c r="A214" s="5"/>
      <c r="B214" s="5" t="s">
        <v>6218</v>
      </c>
      <c r="C214" s="5"/>
      <c r="D214" s="5" t="s">
        <v>1657</v>
      </c>
    </row>
    <row r="215" spans="1:4">
      <c r="A215" s="5"/>
      <c r="B215" s="5" t="s">
        <v>6219</v>
      </c>
      <c r="C215" s="5"/>
      <c r="D215" s="5"/>
    </row>
    <row r="216" spans="1:4">
      <c r="A216" s="5"/>
      <c r="B216" s="5" t="s">
        <v>6220</v>
      </c>
      <c r="C216" s="5"/>
      <c r="D216" s="5"/>
    </row>
    <row r="217" spans="1:4">
      <c r="A217" s="5"/>
      <c r="B217" s="5" t="s">
        <v>6221</v>
      </c>
      <c r="C217" s="5"/>
      <c r="D217" s="5"/>
    </row>
    <row r="218" spans="1:4">
      <c r="A218" s="5"/>
      <c r="B218" s="5" t="s">
        <v>6222</v>
      </c>
      <c r="C218" s="5"/>
      <c r="D218" s="5"/>
    </row>
    <row r="219" spans="1:4">
      <c r="A219" s="5"/>
      <c r="B219" s="5" t="s">
        <v>6223</v>
      </c>
      <c r="C219" s="5"/>
      <c r="D219" s="5"/>
    </row>
    <row r="220" spans="1:4">
      <c r="A220" s="5"/>
      <c r="B220" s="5" t="s">
        <v>6224</v>
      </c>
      <c r="C220" s="5"/>
      <c r="D220" s="5" t="s">
        <v>1657</v>
      </c>
    </row>
    <row r="221" spans="1:4">
      <c r="A221" s="5"/>
      <c r="B221" s="5" t="s">
        <v>6225</v>
      </c>
      <c r="C221" s="5"/>
      <c r="D221" s="5"/>
    </row>
    <row r="222" spans="1:4">
      <c r="A222" s="5"/>
      <c r="B222" s="5" t="s">
        <v>6226</v>
      </c>
      <c r="C222" s="5"/>
      <c r="D222" s="5"/>
    </row>
    <row r="223" spans="1:4">
      <c r="A223" s="5"/>
      <c r="B223" s="5" t="s">
        <v>6227</v>
      </c>
      <c r="C223" s="5"/>
      <c r="D223" s="5" t="s">
        <v>386</v>
      </c>
    </row>
    <row r="224" spans="1:4">
      <c r="A224" s="5"/>
      <c r="B224" t="s">
        <v>747</v>
      </c>
      <c r="C224" s="5"/>
      <c r="D224" s="5" t="s">
        <v>386</v>
      </c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workbookViewId="0">
      <pane ySplit="3" topLeftCell="A17" activePane="bottomLeft" state="frozen"/>
      <selection pane="bottomLeft" activeCell="A17" sqref="A17"/>
    </sheetView>
  </sheetViews>
  <sheetFormatPr defaultColWidth="9.140625" defaultRowHeight="15"/>
  <cols>
    <col min="1" max="1" width="0.42578125" customWidth="1"/>
    <col min="2" max="2" width="27.140625" customWidth="1"/>
    <col min="3" max="4" width="16" customWidth="1"/>
    <col min="5" max="5" width="2" customWidth="1"/>
    <col min="6" max="6" width="24.140625" customWidth="1"/>
    <col min="7" max="7" width="16" customWidth="1"/>
    <col min="8" max="8" width="33.7109375" customWidth="1"/>
    <col min="9" max="9" width="16" customWidth="1"/>
    <col min="10" max="10" width="13" customWidth="1"/>
    <col min="11" max="12" width="18" customWidth="1"/>
    <col min="13" max="13" width="12" bestFit="1" customWidth="1"/>
  </cols>
  <sheetData>
    <row r="1" spans="1:12">
      <c r="A1" s="47" t="s">
        <v>6228</v>
      </c>
      <c r="B1" s="53"/>
      <c r="C1" s="53"/>
      <c r="D1" s="53"/>
      <c r="E1" s="53"/>
      <c r="F1" s="53"/>
      <c r="G1" s="53"/>
      <c r="H1" s="53"/>
      <c r="I1" s="53"/>
      <c r="J1" s="53"/>
      <c r="K1" s="1" t="s">
        <v>6229</v>
      </c>
      <c r="L1" s="2">
        <f ca="1">TODAY()</f>
        <v>46047</v>
      </c>
    </row>
    <row r="2" spans="1:12">
      <c r="A2" s="53"/>
      <c r="B2" s="53"/>
      <c r="C2" s="53"/>
      <c r="D2" s="53"/>
      <c r="E2" s="53"/>
      <c r="F2" s="53"/>
      <c r="G2" s="53"/>
      <c r="H2" s="53"/>
      <c r="I2" s="53"/>
      <c r="J2" s="53"/>
      <c r="K2" s="38"/>
      <c r="L2" s="38"/>
    </row>
    <row r="4" spans="1:12">
      <c r="B4" s="50" t="s">
        <v>6230</v>
      </c>
      <c r="C4" s="54"/>
      <c r="D4" s="55"/>
      <c r="F4" s="50" t="s">
        <v>6231</v>
      </c>
      <c r="G4" s="54"/>
      <c r="H4" s="55"/>
      <c r="J4" s="50" t="s">
        <v>6232</v>
      </c>
      <c r="K4" s="54"/>
      <c r="L4" s="55"/>
    </row>
    <row r="5" spans="1:12" ht="26.25">
      <c r="B5" s="49">
        <f>ROWS(tblPedidos[id_dropi])</f>
        <v>1064</v>
      </c>
      <c r="C5" s="54"/>
      <c r="D5" s="55"/>
      <c r="F5" s="49">
        <f>COUNTIFS(tblPedidos[estado_operativo],"ENTREGADO")</f>
        <v>567</v>
      </c>
      <c r="G5" s="54"/>
      <c r="H5" s="55"/>
      <c r="J5" s="49">
        <f>COUNTIFS(tblPedidos[estado_operativo],"DEVOL*")</f>
        <v>54</v>
      </c>
      <c r="K5" s="54"/>
      <c r="L5" s="55"/>
    </row>
    <row r="6" spans="1:12">
      <c r="B6" s="48" t="s">
        <v>6233</v>
      </c>
      <c r="C6" s="54"/>
      <c r="D6" s="55"/>
      <c r="F6" s="48" t="s">
        <v>6233</v>
      </c>
      <c r="G6" s="54"/>
      <c r="H6" s="55"/>
      <c r="J6" s="48" t="s">
        <v>6233</v>
      </c>
      <c r="K6" s="54"/>
      <c r="L6" s="55"/>
    </row>
    <row r="8" spans="1:12">
      <c r="B8" s="50" t="s">
        <v>6234</v>
      </c>
      <c r="C8" s="54"/>
      <c r="D8" s="55"/>
      <c r="F8" s="50" t="s">
        <v>6235</v>
      </c>
      <c r="G8" s="54"/>
      <c r="H8" s="55"/>
      <c r="J8" s="50" t="s">
        <v>6236</v>
      </c>
      <c r="K8" s="54"/>
      <c r="L8" s="55"/>
    </row>
    <row r="9" spans="1:12" ht="26.25">
      <c r="B9" s="52">
        <f>IFERROR(COUNTIFS(tblPedidos[estado_operativo],"DEVOL*")/ROWS(tblPedidos[id_dropi]),0)</f>
        <v>5.0751879699248117E-2</v>
      </c>
      <c r="C9" s="54"/>
      <c r="D9" s="55"/>
      <c r="F9" s="49">
        <f>MAX(0, ROWS(tblPedidos[id_dropi])
 - COUNTIFS(tblPedidos[estado_operativo],"ENTREG*")
 - COUNTIFS(tblPedidos[estado_operativo],"DEVOL*")
 - COUNTIFS(tblPedidos[estado_operativo],"CANCEL*")
 - COUNTIFS(tblPedidos[estado_operativo],"ANUL*")
)</f>
        <v>425</v>
      </c>
      <c r="G9" s="54"/>
      <c r="H9" s="55"/>
      <c r="J9" s="49">
        <f>COUNTIFS(tblPedidos[estado_operativo],"NOVEDAD*")</f>
        <v>33</v>
      </c>
      <c r="K9" s="54"/>
      <c r="L9" s="55"/>
    </row>
    <row r="10" spans="1:12">
      <c r="B10" s="48" t="s">
        <v>6233</v>
      </c>
      <c r="C10" s="54"/>
      <c r="D10" s="55"/>
      <c r="F10" s="48" t="s">
        <v>6233</v>
      </c>
      <c r="G10" s="54"/>
      <c r="H10" s="55"/>
      <c r="J10" s="48" t="s">
        <v>6233</v>
      </c>
      <c r="K10" s="54"/>
      <c r="L10" s="55"/>
    </row>
    <row r="12" spans="1:12">
      <c r="B12" s="50" t="s">
        <v>6237</v>
      </c>
      <c r="C12" s="54"/>
      <c r="D12" s="55"/>
      <c r="F12" s="50" t="s">
        <v>6238</v>
      </c>
      <c r="G12" s="54"/>
      <c r="H12" s="55"/>
      <c r="J12" s="50" t="s">
        <v>6239</v>
      </c>
      <c r="K12" s="54"/>
      <c r="L12" s="55"/>
    </row>
    <row r="13" spans="1:12" ht="26.25">
      <c r="B13" s="51">
        <f>IFERROR(SUMIFS(tblPedidos[costo_devolucion_estimado],tblPedidos[estado_operativo],"DEVOLUCIÓN"),0)</f>
        <v>0</v>
      </c>
      <c r="C13" s="54"/>
      <c r="D13" s="55"/>
      <c r="F13" s="51">
        <f>SUM((tblPedidos[cartera_aplicada]))</f>
        <v>53491531.970000006</v>
      </c>
      <c r="G13" s="54"/>
      <c r="H13" s="55"/>
      <c r="J13" s="51">
        <f>IFERROR(SUM(#REF!),0)</f>
        <v>0</v>
      </c>
      <c r="K13" s="54"/>
      <c r="L13" s="55"/>
    </row>
    <row r="14" spans="1:12">
      <c r="B14" s="48" t="s">
        <v>6233</v>
      </c>
      <c r="C14" s="54"/>
      <c r="D14" s="55"/>
      <c r="F14" s="48" t="s">
        <v>6233</v>
      </c>
      <c r="G14" s="54"/>
      <c r="H14" s="55"/>
      <c r="J14" s="48" t="s">
        <v>6233</v>
      </c>
      <c r="K14" s="54"/>
      <c r="L14" s="55"/>
    </row>
    <row r="16" spans="1:12" ht="15.75">
      <c r="B16" s="3" t="s">
        <v>6240</v>
      </c>
      <c r="F16" s="39" t="s">
        <v>6241</v>
      </c>
      <c r="G16" s="33"/>
      <c r="H16" s="33"/>
      <c r="I16" s="33"/>
      <c r="J16" s="33"/>
    </row>
    <row r="17" spans="2:12">
      <c r="B17" s="31" t="s">
        <v>6242</v>
      </c>
      <c r="C17" s="32" t="s">
        <v>6243</v>
      </c>
      <c r="F17" s="40" t="s">
        <v>6244</v>
      </c>
      <c r="G17" s="41" t="s">
        <v>6243</v>
      </c>
      <c r="H17" s="41" t="s">
        <v>6231</v>
      </c>
      <c r="I17" s="41" t="s">
        <v>6245</v>
      </c>
      <c r="J17" s="41" t="s">
        <v>6246</v>
      </c>
      <c r="K17" s="42" t="s">
        <v>6247</v>
      </c>
    </row>
    <row r="18" spans="2:12">
      <c r="B18" s="37" t="s">
        <v>37</v>
      </c>
      <c r="C18" s="30">
        <f>IFERROR(COUNTIFS(tblPedidos[estado_operativo],B18),0)</f>
        <v>62</v>
      </c>
      <c r="F18" s="20" t="s">
        <v>36</v>
      </c>
      <c r="G18" s="21">
        <f>COUNTIFS(tblPedidos[transportadora],tblTransportadora[[#This Row],[Transportadora]])</f>
        <v>259</v>
      </c>
      <c r="H18" s="21">
        <f>COUNTIFS(tblPedidos[transportadora],tblTransportadora[[#This Row],[Transportadora]],tblPedidos[estado_operativo],"ENTREGADO")</f>
        <v>135</v>
      </c>
      <c r="I18" s="21">
        <f>COUNTIFS(tblPedidos[transportadora],tblTransportadora[[#This Row],[Transportadora]],tblPedidos[estado_operativo],"DEVOLUCION")</f>
        <v>6</v>
      </c>
      <c r="J18" s="22">
        <f>IFERROR(tblTransportadora[[#This Row],[Devolución]]/tblTransportadora[[#This Row],[Pedidos]],0)</f>
        <v>2.3166023166023165E-2</v>
      </c>
      <c r="K18" s="23">
        <f>IFERROR(tblTransportadora[[#This Row],[Entregados]]/tblTransportadora[[#This Row],[Pedidos]],0)</f>
        <v>0.52123552123552119</v>
      </c>
    </row>
    <row r="19" spans="2:12">
      <c r="B19" s="37" t="s">
        <v>386</v>
      </c>
      <c r="C19" s="30">
        <f>IFERROR(COUNTIFS(tblPedidos[estado_operativo],B19),0)</f>
        <v>136</v>
      </c>
      <c r="F19" s="24" t="s">
        <v>45</v>
      </c>
      <c r="G19" s="25">
        <f>COUNTIFS(tblPedidos[transportadora],tblTransportadora[[#This Row],[Transportadora]])</f>
        <v>775</v>
      </c>
      <c r="H19" s="25">
        <f>COUNTIFS(tblPedidos[transportadora],tblTransportadora[[#This Row],[Transportadora]],tblPedidos[estado_operativo],"ENTREGADO")</f>
        <v>416</v>
      </c>
      <c r="I19" s="25">
        <f>COUNTIFS(tblPedidos[transportadora],tblTransportadora[[#This Row],[Transportadora]],tblPedidos[estado_operativo],"DEVOLUCION")</f>
        <v>45</v>
      </c>
      <c r="J19" s="26">
        <f>IFERROR(tblTransportadora[[#This Row],[Devolución]]/tblTransportadora[[#This Row],[Pedidos]],0)</f>
        <v>5.8064516129032261E-2</v>
      </c>
      <c r="K19" s="34">
        <f>IFERROR(tblTransportadora[[#This Row],[Entregados]]/tblTransportadora[[#This Row],[Pedidos]],0)</f>
        <v>0.53677419354838707</v>
      </c>
    </row>
    <row r="20" spans="2:12">
      <c r="B20" s="37" t="s">
        <v>522</v>
      </c>
      <c r="C20" s="30">
        <f>IFERROR(COUNTIFS(tblPedidos[estado_operativo],B20),0)</f>
        <v>92</v>
      </c>
      <c r="F20" s="20" t="s">
        <v>958</v>
      </c>
      <c r="G20" s="21">
        <f>COUNTIFS(tblPedidos[transportadora],tblTransportadora[[#This Row],[Transportadora]])</f>
        <v>26</v>
      </c>
      <c r="H20" s="21">
        <f>COUNTIFS(tblPedidos[transportadora],tblTransportadora[[#This Row],[Transportadora]],tblPedidos[estado_operativo],"ENTREGADO")</f>
        <v>15</v>
      </c>
      <c r="I20" s="21">
        <f>COUNTIFS(tblPedidos[transportadora],tblTransportadora[[#This Row],[Transportadora]],tblPedidos[estado_operativo],"DEVOLUCION")</f>
        <v>3</v>
      </c>
      <c r="J20" s="22">
        <f>IFERROR(tblTransportadora[[#This Row],[Devolución]]/tblTransportadora[[#This Row],[Pedidos]],0)</f>
        <v>0.11538461538461539</v>
      </c>
      <c r="K20" s="23">
        <f>IFERROR(tblTransportadora[[#This Row],[Entregados]]/tblTransportadora[[#This Row],[Pedidos]],0)</f>
        <v>0.57692307692307687</v>
      </c>
    </row>
    <row r="21" spans="2:12">
      <c r="B21" s="37" t="s">
        <v>959</v>
      </c>
      <c r="C21" s="30">
        <f>IFERROR(COUNTIFS(tblPedidos[estado_operativo],B21),0)</f>
        <v>16</v>
      </c>
      <c r="F21" s="27" t="s">
        <v>6248</v>
      </c>
      <c r="G21" s="28">
        <f>COUNTIFS(tblPedidos[transportadora],tblTransportadora[[#This Row],[Transportadora]])</f>
        <v>0</v>
      </c>
      <c r="H21" s="28">
        <f>COUNTIFS(tblPedidos[transportadora],tblTransportadora[[#This Row],[Transportadora]],tblPedidos[estado_operativo],"ENTREGADO")</f>
        <v>0</v>
      </c>
      <c r="I21" s="28">
        <f>COUNTIFS(tblPedidos[transportadora],tblTransportadora[[#This Row],[Transportadora]],tblPedidos[estado_operativo],"DEVOLUCION")</f>
        <v>0</v>
      </c>
      <c r="J21" s="29">
        <f>IFERROR(tblTransportadora[[#This Row],[Devolución]]/tblTransportadora[[#This Row],[Pedidos]],0)</f>
        <v>0</v>
      </c>
      <c r="K21" s="35">
        <f>IFERROR(tblTransportadora[[#This Row],[Entregados]]/tblTransportadora[[#This Row],[Pedidos]],0)</f>
        <v>0</v>
      </c>
    </row>
    <row r="22" spans="2:12">
      <c r="B22" s="37" t="s">
        <v>750</v>
      </c>
      <c r="C22" s="30">
        <f>IFERROR(COUNTIFS(tblPedidos[estado_operativo],B22),0)</f>
        <v>31</v>
      </c>
      <c r="H22" s="17"/>
      <c r="I22" s="18" t="str">
        <f>IF(H22="","",COUNTIF(#REF!,H22))</f>
        <v/>
      </c>
      <c r="J22" s="18" t="str">
        <f>IF(H22="","",COUNTIFS(#REF!,H22,#REF!,"ENTREGADO"))</f>
        <v/>
      </c>
      <c r="K22" s="18" t="str">
        <f>IF(H22="","",COUNTIFS(#REF!,H22,#REF!,"DEVOLUCIÓN"))</f>
        <v/>
      </c>
      <c r="L22" s="19" t="str">
        <f>IF(H22="","",IFERROR(K22/(J22+K22),0))</f>
        <v/>
      </c>
    </row>
    <row r="23" spans="2:12">
      <c r="B23" s="37" t="s">
        <v>720</v>
      </c>
      <c r="C23" s="30">
        <f>IFERROR(COUNTIFS(tblPedidos[estado_operativo],B23),0)</f>
        <v>567</v>
      </c>
      <c r="H23" s="6"/>
      <c r="I23" s="7" t="str">
        <f>IF(H23="","",COUNTIF(#REF!,H23))</f>
        <v/>
      </c>
      <c r="J23" s="7" t="str">
        <f>IF(H23="","",COUNTIFS(#REF!,H23,#REF!,"ENTREGADO"))</f>
        <v/>
      </c>
      <c r="K23" s="7" t="str">
        <f>IF(H23="","",COUNTIFS(#REF!,H23,#REF!,"DEVOLUCIÓN"))</f>
        <v/>
      </c>
      <c r="L23" s="8" t="str">
        <f>IF(H23="","",IFERROR(K23/(J23+K23),0))</f>
        <v/>
      </c>
    </row>
    <row r="24" spans="2:12">
      <c r="B24" s="37" t="s">
        <v>1657</v>
      </c>
      <c r="C24" s="30">
        <f>IFERROR(COUNTIFS(tblPedidos[estado_operativo],B24),0)</f>
        <v>54</v>
      </c>
      <c r="H24" s="6"/>
      <c r="I24" s="7" t="str">
        <f>IF(H24="","",COUNTIF(#REF!,H24))</f>
        <v/>
      </c>
      <c r="J24" s="7" t="str">
        <f>IF(H24="","",COUNTIFS(#REF!,H24,#REF!,"ENTREGADO"))</f>
        <v/>
      </c>
      <c r="K24" s="7" t="str">
        <f>IF(H24="","",COUNTIFS(#REF!,H24,#REF!,"DEVOLUCIÓN"))</f>
        <v/>
      </c>
      <c r="L24" s="8" t="str">
        <f>IF(H24="","",IFERROR(K24/(J24+K24),0))</f>
        <v/>
      </c>
    </row>
    <row r="25" spans="2:12">
      <c r="B25" s="37" t="s">
        <v>939</v>
      </c>
      <c r="C25" s="30">
        <f>IFERROR(COUNTIFS(tblPedidos[estado_operativo],B25),0)</f>
        <v>28</v>
      </c>
      <c r="H25" s="13"/>
      <c r="I25" s="14" t="str">
        <f>IF(H25="","",COUNTIF(#REF!,H25))</f>
        <v/>
      </c>
      <c r="J25" s="14" t="str">
        <f>IF(H25="","",COUNTIFS(#REF!,H25,#REF!,"ENTREGADO"))</f>
        <v/>
      </c>
      <c r="K25" s="14" t="str">
        <f>IF(H25="","",COUNTIFS(#REF!,H25,#REF!,"DEVOLUCIÓN"))</f>
        <v/>
      </c>
      <c r="L25" s="15" t="str">
        <f>IF(H25="","",IFERROR(K25/(J25+K25),0))</f>
        <v/>
      </c>
    </row>
    <row r="26" spans="2:12">
      <c r="B26" s="37" t="s">
        <v>3550</v>
      </c>
      <c r="C26" s="30">
        <f>IFERROR(COUNTIFS(tblPedidos[estado_operativo],B26),0)</f>
        <v>5</v>
      </c>
    </row>
    <row r="27" spans="2:12">
      <c r="B27" s="37" t="s">
        <v>1371</v>
      </c>
      <c r="C27" s="30">
        <f>IFERROR(COUNTIFS(tblPedidos[estado_operativo],B27),0)</f>
        <v>55</v>
      </c>
    </row>
    <row r="28" spans="2:12">
      <c r="B28" s="37" t="s">
        <v>6025</v>
      </c>
      <c r="C28" s="30">
        <f>IFERROR(COUNTIFS(tblPedidos[estado_operativo],B28),0)</f>
        <v>0</v>
      </c>
    </row>
    <row r="29" spans="2:12">
      <c r="B29" s="37" t="s">
        <v>1090</v>
      </c>
      <c r="C29" s="30">
        <f>IFERROR(COUNTIFS(tblPedidos[estado_operativo],B29),0)</f>
        <v>18</v>
      </c>
    </row>
    <row r="30" spans="2:12">
      <c r="B30" s="37" t="s">
        <v>6026</v>
      </c>
      <c r="C30" s="30">
        <f>IFERROR(COUNTIFS(tblPedidos[estado_operativo],B30),0)</f>
        <v>0</v>
      </c>
    </row>
    <row r="31" spans="2:12">
      <c r="B31" s="16" t="s">
        <v>6249</v>
      </c>
      <c r="C31" s="30">
        <f>IFERROR(COUNTIFS(tblPedidos[estado_operativo],B31),0)</f>
        <v>0</v>
      </c>
    </row>
    <row r="33" spans="2:3">
      <c r="B33" s="43" t="s">
        <v>6250</v>
      </c>
      <c r="C33" s="43" t="s">
        <v>6251</v>
      </c>
    </row>
    <row r="34" spans="2:3">
      <c r="B34" s="43" t="s">
        <v>6252</v>
      </c>
      <c r="C34" s="43"/>
    </row>
    <row r="35" spans="2:3">
      <c r="B35" s="43" t="s">
        <v>6253</v>
      </c>
      <c r="C35" s="43"/>
    </row>
    <row r="36" spans="2:3">
      <c r="B36" s="43" t="s">
        <v>6254</v>
      </c>
      <c r="C36" s="43"/>
    </row>
    <row r="37" spans="2:3">
      <c r="B37" s="43" t="s">
        <v>6255</v>
      </c>
      <c r="C37" s="43"/>
    </row>
    <row r="39" spans="2:3">
      <c r="B39" t="s">
        <v>6256</v>
      </c>
      <c r="C39">
        <f>SUM(C34:C37)</f>
        <v>0</v>
      </c>
    </row>
  </sheetData>
  <mergeCells count="28">
    <mergeCell ref="J14:L14"/>
    <mergeCell ref="J10:L10"/>
    <mergeCell ref="J13:L13"/>
    <mergeCell ref="F12:H12"/>
    <mergeCell ref="J9:L9"/>
    <mergeCell ref="F4:H4"/>
    <mergeCell ref="J8:L8"/>
    <mergeCell ref="B12:D12"/>
    <mergeCell ref="J5:L5"/>
    <mergeCell ref="F10:H10"/>
    <mergeCell ref="F6:H6"/>
    <mergeCell ref="J6:L6"/>
    <mergeCell ref="A1:J2"/>
    <mergeCell ref="B14:D14"/>
    <mergeCell ref="F5:H5"/>
    <mergeCell ref="B8:D8"/>
    <mergeCell ref="F8:H8"/>
    <mergeCell ref="B13:D13"/>
    <mergeCell ref="J4:L4"/>
    <mergeCell ref="B10:D10"/>
    <mergeCell ref="F13:H13"/>
    <mergeCell ref="B9:D9"/>
    <mergeCell ref="F9:H9"/>
    <mergeCell ref="J12:L12"/>
    <mergeCell ref="B6:D6"/>
    <mergeCell ref="B5:D5"/>
    <mergeCell ref="F14:H14"/>
    <mergeCell ref="B4:D4"/>
  </mergeCells>
  <conditionalFormatting sqref="L22:L25 J18:K21">
    <cfRule type="colorScale" priority="8">
      <colorScale>
        <cfvo type="min"/>
        <cfvo type="percentile" val="50"/>
        <cfvo type="max"/>
        <color rgb="FFE5E7EB"/>
        <color rgb="FFFDE68A"/>
        <color rgb="FFFCA5A5"/>
      </colorScale>
    </cfRule>
  </conditionalFormatting>
  <conditionalFormatting sqref="K18:K21">
    <cfRule type="cellIs" dxfId="21" priority="5" operator="lessThan">
      <formula>0.75</formula>
    </cfRule>
    <cfRule type="cellIs" dxfId="20" priority="6" operator="between">
      <formula>0.85</formula>
      <formula>1</formula>
    </cfRule>
    <cfRule type="cellIs" dxfId="19" priority="7" operator="between">
      <formula>0.75</formula>
      <formula>0.85</formula>
    </cfRule>
  </conditionalFormatting>
  <conditionalFormatting sqref="J18:J21">
    <cfRule type="cellIs" dxfId="18" priority="1" operator="greaterThan">
      <formula>0.2</formula>
    </cfRule>
    <cfRule type="cellIs" dxfId="17" priority="2" operator="between">
      <formula>0.11</formula>
      <formula>0.18</formula>
    </cfRule>
    <cfRule type="cellIs" dxfId="16" priority="4" operator="between">
      <formula>0</formula>
      <formula>0.1</formula>
    </cfRule>
  </conditionalFormatting>
  <pageMargins left="0.75" right="0.75" top="1" bottom="1" header="0.5" footer="0.5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3" topLeftCell="F9" activePane="bottomLeft" state="frozen"/>
      <selection pane="bottomLeft" activeCell="F37" sqref="F37"/>
    </sheetView>
  </sheetViews>
  <sheetFormatPr defaultColWidth="9.140625" defaultRowHeight="15"/>
  <cols>
    <col min="1" max="1" width="22" customWidth="1"/>
    <col min="2" max="2" width="38.7109375" customWidth="1"/>
    <col min="3" max="3" width="44" customWidth="1"/>
    <col min="4" max="4" width="18" customWidth="1"/>
  </cols>
  <sheetData>
    <row r="1" spans="1:4" ht="21">
      <c r="A1" s="9" t="s">
        <v>6257</v>
      </c>
    </row>
    <row r="3" spans="1:4">
      <c r="A3" s="4" t="s">
        <v>8</v>
      </c>
      <c r="B3" s="4" t="s">
        <v>31</v>
      </c>
      <c r="C3" s="4" t="s">
        <v>6258</v>
      </c>
      <c r="D3" s="4" t="s">
        <v>6259</v>
      </c>
    </row>
    <row r="4" spans="1:4">
      <c r="A4" s="5" t="s">
        <v>36</v>
      </c>
      <c r="B4" s="5" t="s">
        <v>392</v>
      </c>
      <c r="C4" s="5" t="s">
        <v>392</v>
      </c>
      <c r="D4" s="5" t="s">
        <v>386</v>
      </c>
    </row>
    <row r="5" spans="1:4">
      <c r="A5" s="5" t="s">
        <v>45</v>
      </c>
      <c r="B5" s="5" t="s">
        <v>37</v>
      </c>
      <c r="C5" s="5" t="s">
        <v>37</v>
      </c>
      <c r="D5" s="5" t="s">
        <v>37</v>
      </c>
    </row>
    <row r="6" spans="1:4">
      <c r="A6" s="5" t="s">
        <v>958</v>
      </c>
      <c r="B6" s="5" t="s">
        <v>484</v>
      </c>
      <c r="C6" s="5" t="s">
        <v>484</v>
      </c>
      <c r="D6" s="5" t="s">
        <v>386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C9758-B3DD-4F56-B5D5-A3C5AAB9B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FERNANDO DE JESUS PALACIO SUAREZ</cp:lastModifiedBy>
  <cp:revision/>
  <dcterms:created xsi:type="dcterms:W3CDTF">2026-01-03T15:31:37Z</dcterms:created>
  <dcterms:modified xsi:type="dcterms:W3CDTF">2026-01-25T18:44:04Z</dcterms:modified>
  <cp:category/>
  <cp:contentStatus/>
</cp:coreProperties>
</file>