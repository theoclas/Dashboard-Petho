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634956264011c7a3/TRABAJO/J^0D/BASES DE DATOS/"/>
    </mc:Choice>
  </mc:AlternateContent>
  <xr:revisionPtr revIDLastSave="890" documentId="13_ncr:1_{D5EE7A41-7D32-441A-BD0F-E3EB92D2B2A6}" xr6:coauthVersionLast="47" xr6:coauthVersionMax="47" xr10:uidLastSave="{264C17A7-22B1-4F72-A598-4D6C76BED7DC}"/>
  <bookViews>
    <workbookView xWindow="-120" yWindow="-120" windowWidth="38640" windowHeight="21120" xr2:uid="{00000000-000D-0000-FFFF-FFFF00000000}"/>
  </bookViews>
  <sheets>
    <sheet name="INPUT_DATA" sheetId="1" r:id="rId1"/>
    <sheet name="RESUMEN_DIARIO" sheetId="2" r:id="rId2"/>
  </sheets>
  <definedNames>
    <definedName name="_xlnm._FilterDatabase" localSheetId="0" hidden="1">INPUT_DATA!$G$96:$G$97</definedName>
  </definedName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17" i="1" l="1"/>
  <c r="K117" i="1"/>
  <c r="L117" i="1"/>
  <c r="M117" i="1"/>
  <c r="N117" i="1"/>
  <c r="O117" i="1"/>
  <c r="J123" i="1"/>
  <c r="K123" i="1"/>
  <c r="L123" i="1"/>
  <c r="M123" i="1"/>
  <c r="N123" i="1"/>
  <c r="O123" i="1"/>
  <c r="J106" i="1"/>
  <c r="K106" i="1"/>
  <c r="L106" i="1"/>
  <c r="M106" i="1"/>
  <c r="N106" i="1"/>
  <c r="O106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7" i="1"/>
  <c r="J108" i="1"/>
  <c r="J109" i="1"/>
  <c r="J110" i="1"/>
  <c r="J111" i="1"/>
  <c r="J112" i="1"/>
  <c r="J113" i="1"/>
  <c r="J114" i="1"/>
  <c r="J115" i="1"/>
  <c r="J116" i="1"/>
  <c r="J118" i="1"/>
  <c r="J119" i="1"/>
  <c r="J120" i="1"/>
  <c r="J121" i="1"/>
  <c r="J122" i="1"/>
  <c r="J124" i="1"/>
  <c r="J125" i="1"/>
  <c r="J126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7" i="1"/>
  <c r="K108" i="1"/>
  <c r="K109" i="1"/>
  <c r="K110" i="1"/>
  <c r="K111" i="1"/>
  <c r="K112" i="1"/>
  <c r="K113" i="1"/>
  <c r="K114" i="1"/>
  <c r="K115" i="1"/>
  <c r="K116" i="1"/>
  <c r="K118" i="1"/>
  <c r="K119" i="1"/>
  <c r="K120" i="1"/>
  <c r="K121" i="1"/>
  <c r="K122" i="1"/>
  <c r="K124" i="1"/>
  <c r="K125" i="1"/>
  <c r="K126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7" i="1"/>
  <c r="L108" i="1"/>
  <c r="L109" i="1"/>
  <c r="L110" i="1"/>
  <c r="L111" i="1"/>
  <c r="L112" i="1"/>
  <c r="L113" i="1"/>
  <c r="L114" i="1"/>
  <c r="L115" i="1"/>
  <c r="L116" i="1"/>
  <c r="L118" i="1"/>
  <c r="L119" i="1"/>
  <c r="L120" i="1"/>
  <c r="L121" i="1"/>
  <c r="L122" i="1"/>
  <c r="L124" i="1"/>
  <c r="L125" i="1"/>
  <c r="L126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7" i="1"/>
  <c r="M108" i="1"/>
  <c r="M109" i="1"/>
  <c r="M110" i="1"/>
  <c r="M111" i="1"/>
  <c r="M112" i="1"/>
  <c r="M113" i="1"/>
  <c r="M114" i="1"/>
  <c r="M115" i="1"/>
  <c r="M116" i="1"/>
  <c r="M118" i="1"/>
  <c r="M119" i="1"/>
  <c r="M120" i="1"/>
  <c r="M121" i="1"/>
  <c r="M122" i="1"/>
  <c r="M124" i="1"/>
  <c r="M125" i="1"/>
  <c r="M126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7" i="1"/>
  <c r="N108" i="1"/>
  <c r="N109" i="1"/>
  <c r="N110" i="1"/>
  <c r="N111" i="1"/>
  <c r="N112" i="1"/>
  <c r="N113" i="1"/>
  <c r="N114" i="1"/>
  <c r="N115" i="1"/>
  <c r="N116" i="1"/>
  <c r="N118" i="1"/>
  <c r="N119" i="1"/>
  <c r="N120" i="1"/>
  <c r="N121" i="1"/>
  <c r="N122" i="1"/>
  <c r="N124" i="1"/>
  <c r="N125" i="1"/>
  <c r="N126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7" i="1"/>
  <c r="O108" i="1"/>
  <c r="O109" i="1"/>
  <c r="O110" i="1"/>
  <c r="O111" i="1"/>
  <c r="O112" i="1"/>
  <c r="O113" i="1"/>
  <c r="O114" i="1"/>
  <c r="O115" i="1"/>
  <c r="O116" i="1"/>
  <c r="O118" i="1"/>
  <c r="O119" i="1"/>
  <c r="O120" i="1"/>
  <c r="O121" i="1"/>
  <c r="O122" i="1"/>
  <c r="O124" i="1"/>
  <c r="O125" i="1"/>
  <c r="O126" i="1"/>
  <c r="J49" i="1"/>
  <c r="K49" i="1"/>
  <c r="L49" i="1"/>
  <c r="M49" i="1"/>
  <c r="N49" i="1"/>
  <c r="O49" i="1"/>
  <c r="J53" i="1"/>
  <c r="K53" i="1"/>
  <c r="L53" i="1"/>
  <c r="M53" i="1"/>
  <c r="N53" i="1"/>
  <c r="O53" i="1"/>
  <c r="J52" i="1"/>
  <c r="K52" i="1"/>
  <c r="L52" i="1"/>
  <c r="M52" i="1"/>
  <c r="N52" i="1"/>
  <c r="O52" i="1"/>
  <c r="J55" i="1"/>
  <c r="K55" i="1"/>
  <c r="L55" i="1"/>
  <c r="M55" i="1"/>
  <c r="N55" i="1"/>
  <c r="O55" i="1"/>
  <c r="J56" i="1"/>
  <c r="K56" i="1"/>
  <c r="L56" i="1"/>
  <c r="M56" i="1"/>
  <c r="N56" i="1"/>
  <c r="O56" i="1"/>
  <c r="J59" i="1"/>
  <c r="K59" i="1"/>
  <c r="L59" i="1"/>
  <c r="M59" i="1"/>
  <c r="N59" i="1"/>
  <c r="O59" i="1"/>
  <c r="J58" i="1"/>
  <c r="K58" i="1"/>
  <c r="L58" i="1"/>
  <c r="M58" i="1"/>
  <c r="N58" i="1"/>
  <c r="O58" i="1"/>
  <c r="J60" i="1"/>
  <c r="K60" i="1"/>
  <c r="L60" i="1"/>
  <c r="M60" i="1"/>
  <c r="N60" i="1"/>
  <c r="O60" i="1"/>
  <c r="J51" i="1"/>
  <c r="K51" i="1"/>
  <c r="L51" i="1"/>
  <c r="M51" i="1"/>
  <c r="N51" i="1"/>
  <c r="O51" i="1"/>
  <c r="J54" i="1"/>
  <c r="K54" i="1"/>
  <c r="L54" i="1"/>
  <c r="M54" i="1"/>
  <c r="N54" i="1"/>
  <c r="O54" i="1"/>
  <c r="J50" i="1"/>
  <c r="K50" i="1"/>
  <c r="L50" i="1"/>
  <c r="M50" i="1"/>
  <c r="N50" i="1"/>
  <c r="O50" i="1"/>
  <c r="J57" i="1"/>
  <c r="K57" i="1"/>
  <c r="L57" i="1"/>
  <c r="M57" i="1"/>
  <c r="N57" i="1"/>
  <c r="O57" i="1"/>
  <c r="J61" i="1"/>
  <c r="K61" i="1"/>
  <c r="L61" i="1"/>
  <c r="M61" i="1"/>
  <c r="N61" i="1"/>
  <c r="O61" i="1"/>
  <c r="J65" i="1"/>
  <c r="K65" i="1"/>
  <c r="L65" i="1"/>
  <c r="M65" i="1"/>
  <c r="N65" i="1"/>
  <c r="O65" i="1"/>
  <c r="J64" i="1"/>
  <c r="K64" i="1"/>
  <c r="L64" i="1"/>
  <c r="M64" i="1"/>
  <c r="N64" i="1"/>
  <c r="O64" i="1"/>
  <c r="J67" i="1"/>
  <c r="K67" i="1"/>
  <c r="L67" i="1"/>
  <c r="M67" i="1"/>
  <c r="N67" i="1"/>
  <c r="O67" i="1"/>
  <c r="J68" i="1"/>
  <c r="K68" i="1"/>
  <c r="L68" i="1"/>
  <c r="M68" i="1"/>
  <c r="N68" i="1"/>
  <c r="O68" i="1"/>
  <c r="J71" i="1"/>
  <c r="K71" i="1"/>
  <c r="L71" i="1"/>
  <c r="M71" i="1"/>
  <c r="N71" i="1"/>
  <c r="O71" i="1"/>
  <c r="J70" i="1"/>
  <c r="K70" i="1"/>
  <c r="L70" i="1"/>
  <c r="M70" i="1"/>
  <c r="N70" i="1"/>
  <c r="O70" i="1"/>
  <c r="J72" i="1"/>
  <c r="K72" i="1"/>
  <c r="L72" i="1"/>
  <c r="M72" i="1"/>
  <c r="N72" i="1"/>
  <c r="O72" i="1"/>
  <c r="J63" i="1"/>
  <c r="K63" i="1"/>
  <c r="L63" i="1"/>
  <c r="M63" i="1"/>
  <c r="N63" i="1"/>
  <c r="O63" i="1"/>
  <c r="J66" i="1"/>
  <c r="K66" i="1"/>
  <c r="L66" i="1"/>
  <c r="M66" i="1"/>
  <c r="N66" i="1"/>
  <c r="O66" i="1"/>
  <c r="J62" i="1"/>
  <c r="K62" i="1"/>
  <c r="L62" i="1"/>
  <c r="M62" i="1"/>
  <c r="N62" i="1"/>
  <c r="O62" i="1"/>
  <c r="J69" i="1"/>
  <c r="K69" i="1"/>
  <c r="L69" i="1"/>
  <c r="M69" i="1"/>
  <c r="N69" i="1"/>
  <c r="O69" i="1"/>
  <c r="J73" i="1"/>
  <c r="K73" i="1"/>
  <c r="L73" i="1"/>
  <c r="M73" i="1"/>
  <c r="N73" i="1"/>
  <c r="O73" i="1"/>
  <c r="J77" i="1"/>
  <c r="K77" i="1"/>
  <c r="L77" i="1"/>
  <c r="M77" i="1"/>
  <c r="N77" i="1"/>
  <c r="O77" i="1"/>
  <c r="J76" i="1"/>
  <c r="K76" i="1"/>
  <c r="L76" i="1"/>
  <c r="M76" i="1"/>
  <c r="N76" i="1"/>
  <c r="O76" i="1"/>
  <c r="J79" i="1"/>
  <c r="K79" i="1"/>
  <c r="L79" i="1"/>
  <c r="M79" i="1"/>
  <c r="N79" i="1"/>
  <c r="O79" i="1"/>
  <c r="J80" i="1"/>
  <c r="K80" i="1"/>
  <c r="L80" i="1"/>
  <c r="M80" i="1"/>
  <c r="N80" i="1"/>
  <c r="O80" i="1"/>
  <c r="J83" i="1"/>
  <c r="K83" i="1"/>
  <c r="L83" i="1"/>
  <c r="M83" i="1"/>
  <c r="N83" i="1"/>
  <c r="O83" i="1"/>
  <c r="J82" i="1"/>
  <c r="K82" i="1"/>
  <c r="L82" i="1"/>
  <c r="M82" i="1"/>
  <c r="N82" i="1"/>
  <c r="O82" i="1"/>
  <c r="J84" i="1"/>
  <c r="K84" i="1"/>
  <c r="L84" i="1"/>
  <c r="M84" i="1"/>
  <c r="N84" i="1"/>
  <c r="O84" i="1"/>
  <c r="J75" i="1"/>
  <c r="K75" i="1"/>
  <c r="L75" i="1"/>
  <c r="M75" i="1"/>
  <c r="N75" i="1"/>
  <c r="O75" i="1"/>
  <c r="J78" i="1"/>
  <c r="K78" i="1"/>
  <c r="L78" i="1"/>
  <c r="M78" i="1"/>
  <c r="N78" i="1"/>
  <c r="O78" i="1"/>
  <c r="J74" i="1"/>
  <c r="K74" i="1"/>
  <c r="L74" i="1"/>
  <c r="M74" i="1"/>
  <c r="N74" i="1"/>
  <c r="O74" i="1"/>
  <c r="J81" i="1"/>
  <c r="K81" i="1"/>
  <c r="L81" i="1"/>
  <c r="M81" i="1"/>
  <c r="N81" i="1"/>
  <c r="O81" i="1"/>
  <c r="J85" i="1"/>
  <c r="K85" i="1"/>
  <c r="L85" i="1"/>
  <c r="M85" i="1"/>
  <c r="N85" i="1"/>
  <c r="O85" i="1"/>
  <c r="J86" i="1"/>
  <c r="K86" i="1"/>
  <c r="L86" i="1"/>
  <c r="M86" i="1"/>
  <c r="N86" i="1"/>
  <c r="O86" i="1"/>
  <c r="J87" i="1"/>
  <c r="K87" i="1"/>
  <c r="L87" i="1"/>
  <c r="M87" i="1"/>
  <c r="N87" i="1"/>
  <c r="O87" i="1"/>
  <c r="J88" i="1"/>
  <c r="K88" i="1"/>
  <c r="L88" i="1"/>
  <c r="M88" i="1"/>
  <c r="N88" i="1"/>
  <c r="O88" i="1"/>
  <c r="J89" i="1"/>
  <c r="K89" i="1"/>
  <c r="L89" i="1"/>
  <c r="M89" i="1"/>
  <c r="N89" i="1"/>
  <c r="O89" i="1"/>
  <c r="J90" i="1"/>
  <c r="K90" i="1"/>
  <c r="L90" i="1"/>
  <c r="M90" i="1"/>
  <c r="N90" i="1"/>
  <c r="O90" i="1"/>
  <c r="J91" i="1"/>
  <c r="K91" i="1"/>
  <c r="L91" i="1"/>
  <c r="M91" i="1"/>
  <c r="N91" i="1"/>
  <c r="O91" i="1"/>
  <c r="J92" i="1"/>
  <c r="K92" i="1"/>
  <c r="L92" i="1"/>
  <c r="M92" i="1"/>
  <c r="N92" i="1"/>
  <c r="O92" i="1"/>
  <c r="O6" i="1"/>
  <c r="O5" i="1"/>
  <c r="O9" i="1"/>
  <c r="O10" i="1"/>
  <c r="O12" i="1"/>
  <c r="O11" i="1"/>
  <c r="O13" i="1"/>
  <c r="O4" i="1"/>
  <c r="O8" i="1"/>
  <c r="O3" i="1"/>
  <c r="O7" i="1"/>
  <c r="O14" i="1"/>
  <c r="O18" i="1"/>
  <c r="O17" i="1"/>
  <c r="O21" i="1"/>
  <c r="O22" i="1"/>
  <c r="O24" i="1"/>
  <c r="O23" i="1"/>
  <c r="O25" i="1"/>
  <c r="O16" i="1"/>
  <c r="O20" i="1"/>
  <c r="O15" i="1"/>
  <c r="O19" i="1"/>
  <c r="O26" i="1"/>
  <c r="O30" i="1"/>
  <c r="O29" i="1"/>
  <c r="O32" i="1"/>
  <c r="O33" i="1"/>
  <c r="O35" i="1"/>
  <c r="O34" i="1"/>
  <c r="O36" i="1"/>
  <c r="O28" i="1"/>
  <c r="O31" i="1"/>
  <c r="O27" i="1"/>
  <c r="O37" i="1"/>
  <c r="O41" i="1"/>
  <c r="O40" i="1"/>
  <c r="O43" i="1"/>
  <c r="O44" i="1"/>
  <c r="O47" i="1"/>
  <c r="O46" i="1"/>
  <c r="O48" i="1"/>
  <c r="O39" i="1"/>
  <c r="O42" i="1"/>
  <c r="O38" i="1"/>
  <c r="O45" i="1"/>
  <c r="J41" i="1"/>
  <c r="J40" i="1"/>
  <c r="J43" i="1"/>
  <c r="J44" i="1"/>
  <c r="J47" i="1"/>
  <c r="J46" i="1"/>
  <c r="J48" i="1"/>
  <c r="J39" i="1"/>
  <c r="J42" i="1"/>
  <c r="J38" i="1"/>
  <c r="J45" i="1"/>
  <c r="K41" i="1"/>
  <c r="M41" i="1" s="1"/>
  <c r="K40" i="1"/>
  <c r="K43" i="1"/>
  <c r="K44" i="1"/>
  <c r="K47" i="1"/>
  <c r="M47" i="1" s="1"/>
  <c r="K46" i="1"/>
  <c r="M46" i="1" s="1"/>
  <c r="K48" i="1"/>
  <c r="M48" i="1" s="1"/>
  <c r="K39" i="1"/>
  <c r="K42" i="1"/>
  <c r="K38" i="1"/>
  <c r="M38" i="1" s="1"/>
  <c r="K45" i="1"/>
  <c r="M45" i="1" s="1"/>
  <c r="L41" i="1"/>
  <c r="L40" i="1"/>
  <c r="L43" i="1"/>
  <c r="L44" i="1"/>
  <c r="L47" i="1"/>
  <c r="L46" i="1"/>
  <c r="L48" i="1"/>
  <c r="L39" i="1"/>
  <c r="L42" i="1"/>
  <c r="L38" i="1"/>
  <c r="L45" i="1"/>
  <c r="M40" i="1"/>
  <c r="M43" i="1"/>
  <c r="M44" i="1"/>
  <c r="M39" i="1"/>
  <c r="M42" i="1"/>
  <c r="N41" i="1"/>
  <c r="N40" i="1"/>
  <c r="N43" i="1"/>
  <c r="N44" i="1"/>
  <c r="N47" i="1"/>
  <c r="N46" i="1"/>
  <c r="N48" i="1"/>
  <c r="N39" i="1"/>
  <c r="N42" i="1"/>
  <c r="N38" i="1"/>
  <c r="N45" i="1"/>
  <c r="L25" i="1"/>
  <c r="L16" i="1"/>
  <c r="L20" i="1"/>
  <c r="L15" i="1"/>
  <c r="L19" i="1"/>
  <c r="L26" i="1"/>
  <c r="L30" i="1"/>
  <c r="L29" i="1"/>
  <c r="L32" i="1"/>
  <c r="L33" i="1"/>
  <c r="L35" i="1"/>
  <c r="L34" i="1"/>
  <c r="L36" i="1"/>
  <c r="L28" i="1"/>
  <c r="L31" i="1"/>
  <c r="L27" i="1"/>
  <c r="K25" i="1"/>
  <c r="K16" i="1"/>
  <c r="K20" i="1"/>
  <c r="N20" i="1" s="1"/>
  <c r="K15" i="1"/>
  <c r="K19" i="1"/>
  <c r="K26" i="1"/>
  <c r="K30" i="1"/>
  <c r="N30" i="1" s="1"/>
  <c r="K29" i="1"/>
  <c r="K32" i="1"/>
  <c r="K33" i="1"/>
  <c r="K35" i="1"/>
  <c r="K34" i="1"/>
  <c r="N34" i="1" s="1"/>
  <c r="K36" i="1"/>
  <c r="N36" i="1" s="1"/>
  <c r="K28" i="1"/>
  <c r="K31" i="1"/>
  <c r="N31" i="1" s="1"/>
  <c r="K27" i="1"/>
  <c r="N27" i="1" s="1"/>
  <c r="J20" i="1"/>
  <c r="J15" i="1"/>
  <c r="J19" i="1"/>
  <c r="J26" i="1"/>
  <c r="J30" i="1"/>
  <c r="J29" i="1"/>
  <c r="J32" i="1"/>
  <c r="J33" i="1"/>
  <c r="J35" i="1"/>
  <c r="J34" i="1"/>
  <c r="J36" i="1"/>
  <c r="J28" i="1"/>
  <c r="J31" i="1"/>
  <c r="J27" i="1"/>
  <c r="O2" i="1"/>
  <c r="M33" i="1" l="1"/>
  <c r="M32" i="1"/>
  <c r="M26" i="1"/>
  <c r="M19" i="1"/>
  <c r="M15" i="1"/>
  <c r="M28" i="1"/>
  <c r="M20" i="1"/>
  <c r="N28" i="1"/>
  <c r="N33" i="1"/>
  <c r="M29" i="1"/>
  <c r="N32" i="1"/>
  <c r="M35" i="1"/>
  <c r="N26" i="1"/>
  <c r="N19" i="1"/>
  <c r="N15" i="1"/>
  <c r="M27" i="1"/>
  <c r="M31" i="1"/>
  <c r="M36" i="1"/>
  <c r="M34" i="1"/>
  <c r="N35" i="1"/>
  <c r="N29" i="1"/>
  <c r="M30" i="1"/>
  <c r="J37" i="1" l="1"/>
  <c r="K37" i="1"/>
  <c r="L37" i="1"/>
  <c r="M37" i="1"/>
  <c r="N37" i="1"/>
  <c r="K2" i="1" l="1"/>
  <c r="N2" i="1" s="1"/>
  <c r="K6" i="1"/>
  <c r="N6" i="1" s="1"/>
  <c r="K5" i="1"/>
  <c r="N5" i="1" s="1"/>
  <c r="K9" i="1"/>
  <c r="N9" i="1" s="1"/>
  <c r="K10" i="1"/>
  <c r="M10" i="1" s="1"/>
  <c r="K12" i="1"/>
  <c r="M12" i="1" s="1"/>
  <c r="K11" i="1"/>
  <c r="K13" i="1"/>
  <c r="K4" i="1"/>
  <c r="N4" i="1" s="1"/>
  <c r="K8" i="1"/>
  <c r="N8" i="1" s="1"/>
  <c r="K3" i="1"/>
  <c r="M3" i="1" s="1"/>
  <c r="K7" i="1"/>
  <c r="N7" i="1" s="1"/>
  <c r="K14" i="1"/>
  <c r="N14" i="1" s="1"/>
  <c r="K18" i="1"/>
  <c r="N18" i="1" s="1"/>
  <c r="K17" i="1"/>
  <c r="N17" i="1" s="1"/>
  <c r="K21" i="1"/>
  <c r="N21" i="1" s="1"/>
  <c r="K22" i="1"/>
  <c r="M22" i="1" s="1"/>
  <c r="K24" i="1"/>
  <c r="N24" i="1" s="1"/>
  <c r="K23" i="1"/>
  <c r="N23" i="1" s="1"/>
  <c r="N25" i="1"/>
  <c r="N16" i="1"/>
  <c r="J2" i="1"/>
  <c r="J6" i="1"/>
  <c r="J5" i="1"/>
  <c r="J9" i="1"/>
  <c r="J10" i="1"/>
  <c r="J12" i="1"/>
  <c r="J11" i="1"/>
  <c r="J13" i="1"/>
  <c r="J4" i="1"/>
  <c r="J8" i="1"/>
  <c r="J3" i="1"/>
  <c r="J7" i="1"/>
  <c r="J14" i="1"/>
  <c r="J18" i="1"/>
  <c r="J17" i="1"/>
  <c r="J21" i="1"/>
  <c r="J22" i="1"/>
  <c r="J24" i="1"/>
  <c r="J23" i="1"/>
  <c r="J25" i="1"/>
  <c r="J16" i="1"/>
  <c r="N10" i="1"/>
  <c r="N12" i="1"/>
  <c r="N3" i="1"/>
  <c r="N22" i="1"/>
  <c r="L13" i="1"/>
  <c r="L21" i="1"/>
  <c r="L6" i="1"/>
  <c r="L4" i="1"/>
  <c r="L22" i="1"/>
  <c r="L5" i="1"/>
  <c r="L8" i="1"/>
  <c r="L24" i="1"/>
  <c r="L9" i="1"/>
  <c r="L3" i="1"/>
  <c r="L23" i="1"/>
  <c r="L10" i="1"/>
  <c r="L7" i="1"/>
  <c r="L12" i="1"/>
  <c r="L14" i="1"/>
  <c r="L11" i="1"/>
  <c r="L18" i="1"/>
  <c r="L17" i="1"/>
  <c r="L2" i="1"/>
  <c r="M16" i="1" l="1"/>
  <c r="M25" i="1"/>
  <c r="M23" i="1"/>
  <c r="M24" i="1"/>
  <c r="M21" i="1"/>
  <c r="M17" i="1"/>
  <c r="M18" i="1"/>
  <c r="M14" i="1"/>
  <c r="M7" i="1"/>
  <c r="M8" i="1"/>
  <c r="M4" i="1"/>
  <c r="M13" i="1"/>
  <c r="M11" i="1"/>
  <c r="M9" i="1"/>
  <c r="M5" i="1"/>
  <c r="M6" i="1"/>
  <c r="M2" i="1"/>
  <c r="N13" i="1"/>
  <c r="N11" i="1"/>
</calcChain>
</file>

<file path=xl/sharedStrings.xml><?xml version="1.0" encoding="utf-8"?>
<sst xmlns="http://schemas.openxmlformats.org/spreadsheetml/2006/main" count="402" uniqueCount="55">
  <si>
    <t>SEMANA</t>
  </si>
  <si>
    <t>Fecha</t>
  </si>
  <si>
    <t>Producto</t>
  </si>
  <si>
    <t>Cuenta publicitaria</t>
  </si>
  <si>
    <t>CONVERSACIONES</t>
  </si>
  <si>
    <t>TOTAL FACTURADO</t>
  </si>
  <si>
    <t>GANANCIA PROMEDIO</t>
  </si>
  <si>
    <t>VENTAS</t>
  </si>
  <si>
    <t xml:space="preserve">TICKET PROMEDIO DE PRODUCTO </t>
  </si>
  <si>
    <t>CPA</t>
  </si>
  <si>
    <t>CONVERSION RATE</t>
  </si>
  <si>
    <t>COSTO PUBLICITARIO</t>
  </si>
  <si>
    <t>RENTABILIDAD</t>
  </si>
  <si>
    <t>UTILIDAD APROXIMADA</t>
  </si>
  <si>
    <t>SEMANA 1 - MARZO</t>
  </si>
  <si>
    <t>CREMAS</t>
  </si>
  <si>
    <t>CP1</t>
  </si>
  <si>
    <t>GUANTES LAVAPLATOS</t>
  </si>
  <si>
    <t>CP1 BEAUTY</t>
  </si>
  <si>
    <t>MAGNESIUM</t>
  </si>
  <si>
    <t>CP1 DP</t>
  </si>
  <si>
    <t>BATANA</t>
  </si>
  <si>
    <t>CP2</t>
  </si>
  <si>
    <t>CEPILLOS</t>
  </si>
  <si>
    <t>BEEVANA</t>
  </si>
  <si>
    <t>CP2 BEAUTY</t>
  </si>
  <si>
    <t>DHT BLOCKER</t>
  </si>
  <si>
    <t>CP2 DP</t>
  </si>
  <si>
    <t>HER LOSS</t>
  </si>
  <si>
    <t>CP3</t>
  </si>
  <si>
    <t>PARCHES RODILLAS</t>
  </si>
  <si>
    <t>ACEITE TRULY</t>
  </si>
  <si>
    <t>CP4</t>
  </si>
  <si>
    <t>SERUM</t>
  </si>
  <si>
    <t>LEMME BURN</t>
  </si>
  <si>
    <t>CP5</t>
  </si>
  <si>
    <t>COMBO VITAL</t>
  </si>
  <si>
    <t>EVIL GOODS</t>
  </si>
  <si>
    <t>CP3 BEAUTY</t>
  </si>
  <si>
    <t>SEMANA 2 - MARZO</t>
  </si>
  <si>
    <t>QUARXERY</t>
  </si>
  <si>
    <t>CP3 DP</t>
  </si>
  <si>
    <t>AIR FRYER</t>
  </si>
  <si>
    <t>ORGANICO</t>
  </si>
  <si>
    <t>SELVATICA</t>
  </si>
  <si>
    <t>CANDY BELLA</t>
  </si>
  <si>
    <t>CREATINE</t>
  </si>
  <si>
    <t>GASTO PUBLICITARIO</t>
  </si>
  <si>
    <t># de CONVERSACIONES</t>
  </si>
  <si>
    <t># de VENTAS</t>
  </si>
  <si>
    <t>GANANCIA (Prom)</t>
  </si>
  <si>
    <t>CPA (Prom)</t>
  </si>
  <si>
    <t>UTILIDAD APROX</t>
  </si>
  <si>
    <t>Total general</t>
  </si>
  <si>
    <t>GASTO PUBLICIDAD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</si>
</sst>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"/>
    <numFmt numFmtId="165" formatCode="dd/mm/yyyy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9" fontId="1" fillId="0" borderId="1" xfId="0" applyNumberFormat="1" applyFont="1" applyBorder="1" applyAlignment="1">
      <alignment horizontal="center" vertical="top"/>
    </xf>
    <xf numFmtId="9" fontId="0" fillId="0" borderId="0" xfId="0" applyNumberFormat="1"/>
    <xf numFmtId="0" fontId="0" fillId="0" borderId="0" xfId="0" pivotButton="1"/>
    <xf numFmtId="0" fontId="0" fillId="0" borderId="0" xfId="0" applyNumberFormat="1"/>
    <xf numFmtId="165" fontId="0" fillId="2" borderId="2" xfId="0" applyNumberFormat="1" applyFont="1" applyFill="1" applyBorder="1"/>
    <xf numFmtId="165" fontId="0" fillId="0" borderId="2" xfId="0" applyNumberFormat="1" applyFont="1" applyFill="1" applyBorder="1"/>
    <xf numFmtId="0" fontId="0" fillId="0" borderId="0" xfId="0" applyFill="1"/>
    <xf numFmtId="164" fontId="0" fillId="0" borderId="0" xfId="0" applyNumberFormat="1" applyFill="1"/>
    <xf numFmtId="9" fontId="0" fillId="0" borderId="0" xfId="0" applyNumberFormat="1" applyFill="1"/>
    <xf numFmtId="164" fontId="0" fillId="0" borderId="0" xfId="1" applyNumberFormat="1" applyFont="1" applyFill="1"/>
    <xf numFmtId="0" fontId="0" fillId="0" borderId="3" xfId="0" applyFont="1" applyFill="1" applyBorder="1"/>
    <xf numFmtId="164" fontId="0" fillId="0" borderId="0" xfId="0" applyNumberFormat="1" applyFill="1" applyBorder="1"/>
    <xf numFmtId="0" fontId="0" fillId="0" borderId="0" xfId="0" applyFill="1" applyBorder="1"/>
    <xf numFmtId="9" fontId="0" fillId="0" borderId="0" xfId="0" applyNumberFormat="1" applyFill="1" applyBorder="1"/>
    <xf numFmtId="0" fontId="0" fillId="0" borderId="0" xfId="0" applyFont="1" applyFill="1" applyBorder="1"/>
    <xf numFmtId="0" fontId="0" fillId="0" borderId="3" xfId="0" applyFill="1" applyBorder="1"/>
    <xf numFmtId="165" fontId="0" fillId="2" borderId="0" xfId="0" applyNumberFormat="1" applyFill="1" applyBorder="1"/>
    <xf numFmtId="165" fontId="1" fillId="0" borderId="1" xfId="0" applyNumberFormat="1" applyFont="1" applyFill="1" applyBorder="1" applyAlignment="1">
      <alignment horizontal="center" vertical="top"/>
    </xf>
    <xf numFmtId="165" fontId="0" fillId="0" borderId="0" xfId="0" applyNumberFormat="1" applyFill="1" applyBorder="1"/>
    <xf numFmtId="165" fontId="0" fillId="0" borderId="0" xfId="0" applyNumberFormat="1" applyFill="1"/>
    <xf numFmtId="9" fontId="0" fillId="2" borderId="0" xfId="0" applyNumberFormat="1" applyFill="1"/>
    <xf numFmtId="0" fontId="0" fillId="2" borderId="0" xfId="0" applyFill="1" applyBorder="1"/>
    <xf numFmtId="0" fontId="0" fillId="2" borderId="3" xfId="0" applyFont="1" applyFill="1" applyBorder="1"/>
    <xf numFmtId="164" fontId="3" fillId="0" borderId="1" xfId="0" applyNumberFormat="1" applyFont="1" applyBorder="1" applyAlignment="1">
      <alignment horizontal="center" vertical="top"/>
    </xf>
  </cellXfs>
  <cellStyles count="2">
    <cellStyle name="Normal" xfId="0" builtinId="0"/>
    <cellStyle name="Porcentaje" xfId="1" builtinId="5"/>
  </cellStyles>
  <dxfs count="18">
    <dxf>
      <numFmt numFmtId="164" formatCode="&quot;$&quot;\ #,##0"/>
      <fill>
        <patternFill patternType="none">
          <bgColor auto="1"/>
        </patternFill>
      </fill>
    </dxf>
    <dxf>
      <numFmt numFmtId="13" formatCode="0%"/>
      <fill>
        <patternFill patternType="none">
          <bgColor auto="1"/>
        </patternFill>
      </fill>
    </dxf>
    <dxf>
      <numFmt numFmtId="13" formatCode="0%"/>
      <fill>
        <patternFill patternType="none">
          <bgColor auto="1"/>
        </patternFill>
      </fill>
    </dxf>
    <dxf>
      <numFmt numFmtId="13" formatCode="0%"/>
      <fill>
        <patternFill patternType="none">
          <bgColor auto="1"/>
        </patternFill>
      </fill>
    </dxf>
    <dxf>
      <numFmt numFmtId="164" formatCode="&quot;$&quot;\ #,##0"/>
      <fill>
        <patternFill patternType="none">
          <bgColor auto="1"/>
        </patternFill>
      </fill>
    </dxf>
    <dxf>
      <numFmt numFmtId="164" formatCode="&quot;$&quot;\ 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4" formatCode="&quot;$&quot;\ #,##0"/>
      <fill>
        <patternFill patternType="none">
          <bgColor auto="1"/>
        </patternFill>
      </fill>
    </dxf>
    <dxf>
      <numFmt numFmtId="164" formatCode="&quot;$&quot;\ 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4" formatCode="&quot;$&quot;\ 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5" formatCode="dd/mm/yyyy;@"/>
      <fill>
        <patternFill patternType="none">
          <fgColor indexed="64"/>
          <bgColor rgb="FFFFFF00"/>
        </patternFill>
      </fill>
    </dxf>
    <dxf>
      <numFmt numFmtId="13" formatCode="0%"/>
      <fill>
        <patternFill patternType="none">
          <bgColor auto="1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3.410209027781" createdVersion="7" refreshedVersion="8" minRefreshableVersion="3" recordCount="125" xr:uid="{94F48ECD-1BA2-4140-93FE-7DBD5A93FD2D}">
  <cacheSource type="worksheet">
    <worksheetSource name="CPA_DIA_MARZO"/>
  </cacheSource>
  <cacheFields count="15">
    <cacheField name="SEMANA" numFmtId="9">
      <sharedItems containsBlank="1" count="7">
        <s v="SEMANA 1 - MARZO"/>
        <s v="SEMANA 2 - MARZO"/>
        <m u="1"/>
        <s v="SEMANA 2 - MARZO " u="1"/>
        <s v="SEMANA 1 - MARZO " u="1"/>
        <s v="SEMANA 1" u="1"/>
        <s v="SEMANA 2" u="1"/>
      </sharedItems>
    </cacheField>
    <cacheField name="Fecha" numFmtId="165">
      <sharedItems containsSemiMixedTypes="0" containsNonDate="0" containsDate="1" containsString="0" minDate="2026-03-02T00:00:00" maxDate="2026-03-12T00:00:00" count="10"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</sharedItems>
    </cacheField>
    <cacheField name="Producto" numFmtId="0">
      <sharedItems containsBlank="1" count="20">
        <s v="CREMAS"/>
        <s v="GUANTES LAVAPLATOS"/>
        <s v="MAGNESIUM"/>
        <s v="BATANA"/>
        <s v="CEPILLOS"/>
        <s v="BEEVANA"/>
        <s v="DHT BLOCKER"/>
        <s v="HER LOSS"/>
        <s v="PARCHES RODILLAS"/>
        <s v="ACEITE TRULY"/>
        <s v="SERUM"/>
        <s v="LEMME BURN"/>
        <s v="COMBO VITAL"/>
        <s v="EVIL GOODS"/>
        <s v="QUARXERY"/>
        <s v="AIR FRYER"/>
        <s v="SELVATICA"/>
        <s v="CANDY BELLA"/>
        <s v="CREATINE"/>
        <m u="1"/>
      </sharedItems>
    </cacheField>
    <cacheField name="Cuenta publicitaria" numFmtId="0">
      <sharedItems/>
    </cacheField>
    <cacheField name="GASTO WP" numFmtId="164">
      <sharedItems containsSemiMixedTypes="0" containsString="0" containsNumber="1" containsInteger="1" minValue="0" maxValue="221592"/>
    </cacheField>
    <cacheField name="CONVERSACIONES" numFmtId="0">
      <sharedItems containsSemiMixedTypes="0" containsString="0" containsNumber="1" containsInteger="1" minValue="1" maxValue="156"/>
    </cacheField>
    <cacheField name="TOTAL FACTURADO" numFmtId="164">
      <sharedItems containsSemiMixedTypes="0" containsString="0" containsNumber="1" containsInteger="1" minValue="0" maxValue="2554098"/>
    </cacheField>
    <cacheField name="GANANCIA PROMEDIO" numFmtId="164">
      <sharedItems containsSemiMixedTypes="0" containsString="0" containsNumber="1" containsInteger="1" minValue="0" maxValue="195000"/>
    </cacheField>
    <cacheField name="VENTAS" numFmtId="0">
      <sharedItems containsSemiMixedTypes="0" containsString="0" containsNumber="1" containsInteger="1" minValue="0" maxValue="29"/>
    </cacheField>
    <cacheField name="TICKET PROMEDIO DE PRODUCTO " numFmtId="164">
      <sharedItems containsSemiMixedTypes="0" containsString="0" containsNumber="1" minValue="0" maxValue="1015000"/>
    </cacheField>
    <cacheField name="CPA" numFmtId="164">
      <sharedItems containsMixedTypes="1" containsNumber="1" minValue="0" maxValue="45619"/>
    </cacheField>
    <cacheField name="CONVERSION RATE" numFmtId="9">
      <sharedItems containsSemiMixedTypes="0" containsString="0" containsNumber="1" minValue="0" maxValue="1"/>
    </cacheField>
    <cacheField name="COSTO PUBLICITARIO" numFmtId="9">
      <sharedItems containsMixedTypes="1" containsNumber="1" minValue="0" maxValue="0.966797385620915"/>
    </cacheField>
    <cacheField name="RENTABILIDAD" numFmtId="9">
      <sharedItems containsSemiMixedTypes="0" containsString="0" containsNumber="1" minValue="0" maxValue="1.8951072877462241"/>
    </cacheField>
    <cacheField name="UTILIDAD APROXIMADA" numFmtId="164">
      <sharedItems containsSemiMixedTypes="0" containsString="0" containsNumber="1" minValue="-40555" maxValue="487915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x v="0"/>
    <x v="0"/>
    <x v="0"/>
    <s v="CP1"/>
    <n v="119468"/>
    <n v="51"/>
    <n v="1372698"/>
    <n v="18350"/>
    <n v="23"/>
    <n v="59682.521739130432"/>
    <n v="5194.260869565217"/>
    <n v="0.45098039215686275"/>
    <n v="8.7031524778210495E-2"/>
    <n v="0.28306598744224615"/>
    <n v="226936.5"/>
  </r>
  <r>
    <x v="0"/>
    <x v="0"/>
    <x v="1"/>
    <s v="CP1 BEAUTY"/>
    <n v="17910"/>
    <n v="5"/>
    <n v="0"/>
    <n v="0"/>
    <n v="0"/>
    <n v="0"/>
    <s v=""/>
    <n v="0"/>
    <s v=""/>
    <n v="1"/>
    <n v="-17910"/>
  </r>
  <r>
    <x v="0"/>
    <x v="0"/>
    <x v="2"/>
    <s v="CP1 DP"/>
    <n v="204982"/>
    <n v="130"/>
    <n v="1557200"/>
    <n v="26922"/>
    <n v="18"/>
    <n v="86511.111111111109"/>
    <n v="11387.888888888889"/>
    <n v="0.13846153846153847"/>
    <n v="0.13163498587207809"/>
    <n v="0.42299564998472955"/>
    <n v="209710.5"/>
  </r>
  <r>
    <x v="0"/>
    <x v="0"/>
    <x v="3"/>
    <s v="CP2"/>
    <n v="46265"/>
    <n v="16"/>
    <n v="294500"/>
    <n v="25462"/>
    <n v="5"/>
    <n v="58900"/>
    <n v="9253"/>
    <n v="0.3125"/>
    <n v="0.15709677419354839"/>
    <n v="0.36340428874401071"/>
    <n v="60783.75"/>
  </r>
  <r>
    <x v="0"/>
    <x v="0"/>
    <x v="4"/>
    <s v="CP2"/>
    <n v="35384"/>
    <n v="26"/>
    <n v="713900"/>
    <n v="24927"/>
    <n v="11"/>
    <n v="64900"/>
    <n v="3216.7272727272725"/>
    <n v="0.42307692307692307"/>
    <n v="4.9564364756968758E-2"/>
    <n v="0.12904590495154941"/>
    <n v="179109.75"/>
  </r>
  <r>
    <x v="0"/>
    <x v="0"/>
    <x v="5"/>
    <s v="CP2 BEAUTY"/>
    <n v="44376"/>
    <n v="11"/>
    <n v="45900"/>
    <n v="24900"/>
    <n v="1"/>
    <n v="45900"/>
    <n v="44376"/>
    <n v="9.0909090909090912E-2"/>
    <n v="0.966797385620915"/>
    <n v="1.7821686746987953"/>
    <n v="-14607"/>
  </r>
  <r>
    <x v="0"/>
    <x v="0"/>
    <x v="6"/>
    <s v="CP2 DP"/>
    <n v="34672"/>
    <n v="18"/>
    <n v="564300"/>
    <n v="29202"/>
    <n v="7"/>
    <n v="80614.28571428571"/>
    <n v="4953.1428571428569"/>
    <n v="0.3888888888888889"/>
    <n v="6.1442495126705653E-2"/>
    <n v="0.16961656246636728"/>
    <n v="127306.5"/>
  </r>
  <r>
    <x v="0"/>
    <x v="0"/>
    <x v="7"/>
    <s v="CP3"/>
    <n v="31215"/>
    <n v="18"/>
    <n v="434599"/>
    <n v="29353"/>
    <n v="4"/>
    <n v="108649.75"/>
    <n v="7803.75"/>
    <n v="0.22222222222222221"/>
    <n v="7.182483162639583E-2"/>
    <n v="0.26585868565393656"/>
    <n v="64647.75"/>
  </r>
  <r>
    <x v="0"/>
    <x v="0"/>
    <x v="8"/>
    <s v="CP3"/>
    <n v="31302"/>
    <n v="35"/>
    <n v="0"/>
    <n v="0"/>
    <n v="0"/>
    <n v="0"/>
    <s v=""/>
    <n v="0"/>
    <s v=""/>
    <n v="1"/>
    <n v="-31302"/>
  </r>
  <r>
    <x v="0"/>
    <x v="0"/>
    <x v="9"/>
    <s v="CP4"/>
    <n v="38772"/>
    <n v="9"/>
    <n v="54900"/>
    <n v="20459"/>
    <n v="1"/>
    <n v="54900"/>
    <n v="38772"/>
    <n v="0.1111111111111111"/>
    <n v="0.70622950819672126"/>
    <n v="1.8951072877462241"/>
    <n v="-13734.75"/>
  </r>
  <r>
    <x v="0"/>
    <x v="0"/>
    <x v="10"/>
    <s v="CP4"/>
    <n v="3927"/>
    <n v="4"/>
    <n v="0"/>
    <n v="0"/>
    <n v="0"/>
    <n v="0"/>
    <s v=""/>
    <n v="0"/>
    <s v=""/>
    <n v="1"/>
    <n v="-3927"/>
  </r>
  <r>
    <x v="0"/>
    <x v="0"/>
    <x v="11"/>
    <s v="CP5"/>
    <n v="57621"/>
    <n v="48"/>
    <n v="839000"/>
    <n v="21705"/>
    <n v="10"/>
    <n v="83900"/>
    <n v="5762.1"/>
    <n v="0.20833333333333334"/>
    <n v="6.8678188319427888E-2"/>
    <n v="0.26547339322736696"/>
    <n v="119571.75"/>
  </r>
  <r>
    <x v="0"/>
    <x v="1"/>
    <x v="0"/>
    <s v="CP1"/>
    <n v="115484"/>
    <n v="48"/>
    <n v="1138094"/>
    <n v="18255"/>
    <n v="19"/>
    <n v="59899.684210526313"/>
    <n v="6078.105263157895"/>
    <n v="0.39583333333333331"/>
    <n v="0.1014714074584349"/>
    <n v="0.33295564301056668"/>
    <n v="173520.75"/>
  </r>
  <r>
    <x v="0"/>
    <x v="1"/>
    <x v="1"/>
    <s v="CP1 BEAUTY"/>
    <n v="8790"/>
    <n v="1"/>
    <n v="69900"/>
    <n v="30344"/>
    <n v="1"/>
    <n v="69900"/>
    <n v="8790"/>
    <n v="1"/>
    <n v="0.12575107296137339"/>
    <n v="0.28967835486422355"/>
    <n v="16165.5"/>
  </r>
  <r>
    <x v="0"/>
    <x v="1"/>
    <x v="2"/>
    <s v="CP1 DP"/>
    <n v="203222"/>
    <n v="136"/>
    <n v="1470600"/>
    <n v="27504"/>
    <n v="15"/>
    <n v="98040"/>
    <n v="13548.133333333333"/>
    <n v="0.11029411764705882"/>
    <n v="0.13818985448116414"/>
    <n v="0.49258774481287571"/>
    <n v="157003.5"/>
  </r>
  <r>
    <x v="0"/>
    <x v="1"/>
    <x v="3"/>
    <s v="CP2"/>
    <n v="41934"/>
    <n v="18"/>
    <n v="214600"/>
    <n v="22605"/>
    <n v="4"/>
    <n v="53650"/>
    <n v="10483.5"/>
    <n v="0.22222222222222221"/>
    <n v="0.19540540540540541"/>
    <n v="0.46376907763769076"/>
    <n v="36364.5"/>
  </r>
  <r>
    <x v="0"/>
    <x v="1"/>
    <x v="4"/>
    <s v="CP2"/>
    <n v="26934"/>
    <n v="29"/>
    <n v="549100"/>
    <n v="25219"/>
    <n v="9"/>
    <n v="61011.111111111109"/>
    <n v="2992.6666666666665"/>
    <n v="0.31034482758620691"/>
    <n v="4.9051174649426335E-2"/>
    <n v="0.11866714249838084"/>
    <n v="150027.75"/>
  </r>
  <r>
    <x v="0"/>
    <x v="1"/>
    <x v="5"/>
    <s v="CP2 BEAUTY"/>
    <n v="10273"/>
    <n v="1"/>
    <n v="45900"/>
    <n v="14971"/>
    <n v="1"/>
    <n v="45900"/>
    <n v="10273"/>
    <n v="1"/>
    <n v="0.22381263616557734"/>
    <n v="0.68619330706031656"/>
    <n v="3523.5"/>
  </r>
  <r>
    <x v="0"/>
    <x v="1"/>
    <x v="6"/>
    <s v="CP2 DP"/>
    <n v="30974"/>
    <n v="21"/>
    <n v="394500"/>
    <n v="27389"/>
    <n v="5"/>
    <n v="78900"/>
    <n v="6194.8"/>
    <n v="0.23809523809523808"/>
    <n v="7.8514575411913812E-2"/>
    <n v="0.22617839278542481"/>
    <n v="79478.25"/>
  </r>
  <r>
    <x v="0"/>
    <x v="1"/>
    <x v="7"/>
    <s v="CP3"/>
    <n v="27418"/>
    <n v="15"/>
    <n v="139800"/>
    <n v="22828"/>
    <n v="2"/>
    <n v="69900"/>
    <n v="13709"/>
    <n v="0.13333333333333333"/>
    <n v="0.19612303290414879"/>
    <n v="0.60053443140003504"/>
    <n v="13678.5"/>
  </r>
  <r>
    <x v="0"/>
    <x v="1"/>
    <x v="8"/>
    <s v="CP3"/>
    <n v="26686"/>
    <n v="30"/>
    <n v="0"/>
    <n v="0"/>
    <n v="0"/>
    <n v="0"/>
    <s v=""/>
    <n v="0"/>
    <s v=""/>
    <n v="1"/>
    <n v="-26686"/>
  </r>
  <r>
    <x v="0"/>
    <x v="1"/>
    <x v="9"/>
    <s v="CP4"/>
    <n v="22356"/>
    <n v="15"/>
    <n v="69900"/>
    <n v="28953"/>
    <n v="1"/>
    <n v="69900"/>
    <n v="22356"/>
    <n v="6.6666666666666666E-2"/>
    <n v="0.31982832618025753"/>
    <n v="0.77214796394156049"/>
    <n v="4947.75"/>
  </r>
  <r>
    <x v="0"/>
    <x v="1"/>
    <x v="12"/>
    <s v="CP4"/>
    <n v="42744"/>
    <n v="21"/>
    <n v="479400"/>
    <n v="33282"/>
    <n v="6"/>
    <n v="79900"/>
    <n v="7124"/>
    <n v="0.2857142857142857"/>
    <n v="8.9161451814768464E-2"/>
    <n v="0.21404963644011779"/>
    <n v="117711"/>
  </r>
  <r>
    <x v="0"/>
    <x v="1"/>
    <x v="11"/>
    <s v="CP5"/>
    <n v="56622"/>
    <n v="36"/>
    <n v="654200"/>
    <n v="18816"/>
    <n v="8"/>
    <n v="81775"/>
    <n v="7077.75"/>
    <n v="0.22222222222222221"/>
    <n v="8.655151329868542E-2"/>
    <n v="0.37615593112244899"/>
    <n v="70429.5"/>
  </r>
  <r>
    <x v="0"/>
    <x v="2"/>
    <x v="0"/>
    <s v="CP1"/>
    <n v="106776"/>
    <n v="32"/>
    <n v="948400"/>
    <n v="19575"/>
    <n v="16"/>
    <n v="59275"/>
    <n v="6673.5"/>
    <n v="0.5"/>
    <n v="0.11258540700126529"/>
    <n v="0.34091954022988508"/>
    <n v="154818"/>
  </r>
  <r>
    <x v="0"/>
    <x v="2"/>
    <x v="1"/>
    <s v="CP1 BEAUTY"/>
    <n v="8324"/>
    <n v="4"/>
    <n v="69900"/>
    <n v="30344"/>
    <n v="1"/>
    <n v="69900"/>
    <n v="8324"/>
    <n v="0.25"/>
    <n v="0.11908440629470672"/>
    <n v="0.27432111784866858"/>
    <n v="16515"/>
  </r>
  <r>
    <x v="0"/>
    <x v="2"/>
    <x v="2"/>
    <s v="CP1 DP"/>
    <n v="201255"/>
    <n v="155"/>
    <n v="1019799"/>
    <n v="26558"/>
    <n v="12"/>
    <n v="84983.25"/>
    <n v="16771.25"/>
    <n v="7.7419354838709681E-2"/>
    <n v="0.19734771263749032"/>
    <n v="0.63149521801340458"/>
    <n v="88080.75"/>
  </r>
  <r>
    <x v="0"/>
    <x v="2"/>
    <x v="3"/>
    <s v="CP2"/>
    <n v="37931"/>
    <n v="20"/>
    <n v="501898"/>
    <n v="36622"/>
    <n v="6"/>
    <n v="83649.666666666672"/>
    <n v="6321.833333333333"/>
    <n v="0.3"/>
    <n v="7.5575116856413049E-2"/>
    <n v="0.17262392368885732"/>
    <n v="136350.75"/>
  </r>
  <r>
    <x v="0"/>
    <x v="2"/>
    <x v="4"/>
    <s v="CP2"/>
    <n v="29460"/>
    <n v="21"/>
    <n v="329500"/>
    <n v="27098"/>
    <n v="5"/>
    <n v="65900"/>
    <n v="5892"/>
    <n v="0.23809523809523808"/>
    <n v="8.9408194233687399E-2"/>
    <n v="0.21743302088715033"/>
    <n v="79522.5"/>
  </r>
  <r>
    <x v="0"/>
    <x v="2"/>
    <x v="6"/>
    <s v="CP2 DP"/>
    <n v="29097"/>
    <n v="10"/>
    <n v="79900"/>
    <n v="28344"/>
    <n v="1"/>
    <n v="79900"/>
    <n v="29097"/>
    <n v="0.1"/>
    <n v="0.36416770963704631"/>
    <n v="1.0265664690939882"/>
    <n v="-564.75"/>
  </r>
  <r>
    <x v="0"/>
    <x v="2"/>
    <x v="7"/>
    <s v="CP3"/>
    <n v="30986"/>
    <n v="30"/>
    <n v="339600"/>
    <n v="24224"/>
    <n v="4"/>
    <n v="84900"/>
    <n v="7746.5"/>
    <n v="0.13333333333333333"/>
    <n v="9.124263839811543E-2"/>
    <n v="0.31978616248348746"/>
    <n v="49432.5"/>
  </r>
  <r>
    <x v="0"/>
    <x v="2"/>
    <x v="8"/>
    <s v="CP3"/>
    <n v="30271"/>
    <n v="35"/>
    <n v="139800"/>
    <n v="42199"/>
    <n v="2"/>
    <n v="69900"/>
    <n v="15135.5"/>
    <n v="5.7142857142857141E-2"/>
    <n v="0.21653075822603721"/>
    <n v="0.3586696367212493"/>
    <n v="40595.25"/>
  </r>
  <r>
    <x v="0"/>
    <x v="2"/>
    <x v="9"/>
    <s v="CP4"/>
    <n v="23212"/>
    <n v="11"/>
    <n v="254600"/>
    <n v="21315"/>
    <n v="4"/>
    <n v="63650"/>
    <n v="5803"/>
    <n v="0.36363636363636365"/>
    <n v="9.117046347211312E-2"/>
    <n v="0.27224958949096878"/>
    <n v="46536"/>
  </r>
  <r>
    <x v="0"/>
    <x v="2"/>
    <x v="12"/>
    <s v="CP4"/>
    <n v="39871"/>
    <n v="13"/>
    <n v="239700"/>
    <n v="32067"/>
    <n v="3"/>
    <n v="79900"/>
    <n v="13290.333333333334"/>
    <n v="0.23076923076923078"/>
    <n v="0.16633708802670005"/>
    <n v="0.41445515119385457"/>
    <n v="42247.5"/>
  </r>
  <r>
    <x v="0"/>
    <x v="2"/>
    <x v="11"/>
    <s v="CP5"/>
    <n v="47766"/>
    <n v="24"/>
    <n v="504300"/>
    <n v="18512"/>
    <n v="7"/>
    <n v="72042.857142857145"/>
    <n v="6823.7142857142853"/>
    <n v="0.29166666666666669"/>
    <n v="9.4717430101130276E-2"/>
    <n v="0.36861032226200763"/>
    <n v="61363.5"/>
  </r>
  <r>
    <x v="0"/>
    <x v="3"/>
    <x v="0"/>
    <s v="CP1"/>
    <n v="111783"/>
    <n v="43"/>
    <n v="1148101"/>
    <n v="19093"/>
    <n v="19"/>
    <n v="60426.368421052633"/>
    <n v="5883.3157894736842"/>
    <n v="0.44186046511627908"/>
    <n v="9.7363385277079273E-2"/>
    <n v="0.30813993555091834"/>
    <n v="188238"/>
  </r>
  <r>
    <x v="0"/>
    <x v="3"/>
    <x v="1"/>
    <s v="CP1 BEAUTY"/>
    <n v="13521"/>
    <n v="2"/>
    <n v="134800"/>
    <n v="31531"/>
    <n v="2"/>
    <n v="67400"/>
    <n v="6760.5"/>
    <n v="1"/>
    <n v="0.10030415430267062"/>
    <n v="0.21440804287843709"/>
    <n v="37155.75"/>
  </r>
  <r>
    <x v="0"/>
    <x v="3"/>
    <x v="2"/>
    <s v="CP1 DP"/>
    <n v="203453"/>
    <n v="106"/>
    <n v="1471399"/>
    <n v="26505"/>
    <n v="17"/>
    <n v="86552.882352941175"/>
    <n v="11967.823529411764"/>
    <n v="0.16037735849056603"/>
    <n v="0.13827180798682071"/>
    <n v="0.45153078775369793"/>
    <n v="185349"/>
  </r>
  <r>
    <x v="0"/>
    <x v="3"/>
    <x v="3"/>
    <s v="CP2"/>
    <n v="34640"/>
    <n v="20"/>
    <n v="509198"/>
    <n v="27059"/>
    <n v="8"/>
    <n v="63649.75"/>
    <n v="4330"/>
    <n v="0.4"/>
    <n v="6.8028546852108615E-2"/>
    <n v="0.16002069551720316"/>
    <n v="136374"/>
  </r>
  <r>
    <x v="0"/>
    <x v="3"/>
    <x v="4"/>
    <s v="CP2"/>
    <n v="25882"/>
    <n v="24"/>
    <n v="724900"/>
    <n v="27822"/>
    <n v="11"/>
    <n v="65900"/>
    <n v="2352.909090909091"/>
    <n v="0.45833333333333331"/>
    <n v="3.570423506690578E-2"/>
    <n v="8.4570091686761953E-2"/>
    <n v="210120"/>
  </r>
  <r>
    <x v="0"/>
    <x v="3"/>
    <x v="6"/>
    <s v="CP2 DP"/>
    <n v="24718"/>
    <n v="11"/>
    <n v="79900"/>
    <n v="28344"/>
    <n v="1"/>
    <n v="79900"/>
    <n v="24718"/>
    <n v="9.0909090909090912E-2"/>
    <n v="0.30936170212765957"/>
    <n v="0.87207169065763479"/>
    <n v="2719.5"/>
  </r>
  <r>
    <x v="0"/>
    <x v="3"/>
    <x v="7"/>
    <s v="CP3"/>
    <n v="28028"/>
    <n v="11"/>
    <n v="409600"/>
    <n v="31556"/>
    <n v="4"/>
    <n v="102400"/>
    <n v="7007"/>
    <n v="0.36363636363636365"/>
    <n v="6.8427734374999993E-2"/>
    <n v="0.22204968944099379"/>
    <n v="73647"/>
  </r>
  <r>
    <x v="0"/>
    <x v="3"/>
    <x v="8"/>
    <s v="CP3"/>
    <n v="28499"/>
    <n v="65"/>
    <n v="199700"/>
    <n v="37930"/>
    <n v="3"/>
    <n v="66566.666666666672"/>
    <n v="9499.6666666666661"/>
    <n v="4.6153846153846156E-2"/>
    <n v="0.14270906359539307"/>
    <n v="0.25045258810088761"/>
    <n v="63968.25"/>
  </r>
  <r>
    <x v="0"/>
    <x v="3"/>
    <x v="13"/>
    <s v="CP3 BEAUTY"/>
    <n v="17832"/>
    <n v="4"/>
    <n v="109900"/>
    <n v="34552"/>
    <n v="1"/>
    <n v="109900"/>
    <n v="17832"/>
    <n v="0.25"/>
    <n v="0.16225659690627844"/>
    <n v="0.51609168789071547"/>
    <n v="12540"/>
  </r>
  <r>
    <x v="0"/>
    <x v="3"/>
    <x v="9"/>
    <s v="CP4"/>
    <n v="19969"/>
    <n v="12"/>
    <n v="359500"/>
    <n v="24020"/>
    <n v="5"/>
    <n v="71900"/>
    <n v="3993.8"/>
    <n v="0.41666666666666669"/>
    <n v="5.554659248956885E-2"/>
    <n v="0.1662697751873439"/>
    <n v="75098.25"/>
  </r>
  <r>
    <x v="0"/>
    <x v="3"/>
    <x v="12"/>
    <s v="CP4"/>
    <n v="33850"/>
    <n v="15"/>
    <n v="159800"/>
    <n v="34114"/>
    <n v="2"/>
    <n v="79900"/>
    <n v="16925"/>
    <n v="0.13333333333333333"/>
    <n v="0.21182728410513141"/>
    <n v="0.49613062085947118"/>
    <n v="25783.5"/>
  </r>
  <r>
    <x v="0"/>
    <x v="3"/>
    <x v="11"/>
    <s v="CP5"/>
    <n v="46775"/>
    <n v="24"/>
    <n v="779100"/>
    <n v="24691"/>
    <n v="9"/>
    <n v="86566.666666666672"/>
    <n v="5197.2222222222226"/>
    <n v="0.375"/>
    <n v="6.0037222436144268E-2"/>
    <n v="0.21049055211300566"/>
    <n v="131583"/>
  </r>
  <r>
    <x v="0"/>
    <x v="4"/>
    <x v="0"/>
    <s v="CP1"/>
    <n v="114392"/>
    <n v="33"/>
    <n v="948400"/>
    <n v="19901"/>
    <n v="16"/>
    <n v="59275"/>
    <n v="7149.5"/>
    <n v="0.48484848484848486"/>
    <n v="0.12061577393504851"/>
    <n v="0.35925330385407767"/>
    <n v="153018"/>
  </r>
  <r>
    <x v="0"/>
    <x v="4"/>
    <x v="1"/>
    <s v="CP1 BEAUTY"/>
    <n v="8746"/>
    <n v="6"/>
    <n v="0"/>
    <n v="0"/>
    <n v="0"/>
    <n v="0"/>
    <s v=""/>
    <n v="0"/>
    <s v=""/>
    <n v="1"/>
    <n v="-8746"/>
  </r>
  <r>
    <x v="0"/>
    <x v="4"/>
    <x v="2"/>
    <s v="CP1 DP"/>
    <n v="205321"/>
    <n v="108"/>
    <n v="1574298"/>
    <n v="27829"/>
    <n v="17"/>
    <n v="92605.76470588235"/>
    <n v="12077.705882352941"/>
    <n v="0.15740740740740741"/>
    <n v="0.13042067003832819"/>
    <n v="0.4339971210734464"/>
    <n v="200829"/>
  </r>
  <r>
    <x v="0"/>
    <x v="4"/>
    <x v="3"/>
    <s v="CP2"/>
    <n v="34687"/>
    <n v="7"/>
    <n v="424300"/>
    <n v="25486"/>
    <n v="7"/>
    <n v="60614.285714285717"/>
    <n v="4955.2857142857147"/>
    <n v="1"/>
    <n v="8.1751119490926227E-2"/>
    <n v="0.19443167677492407"/>
    <n v="107786.25"/>
  </r>
  <r>
    <x v="0"/>
    <x v="4"/>
    <x v="4"/>
    <s v="CP2"/>
    <n v="28316"/>
    <n v="19"/>
    <n v="459300"/>
    <n v="27933"/>
    <n v="7"/>
    <n v="65614.28571428571"/>
    <n v="4045.1428571428573"/>
    <n v="0.36842105263157893"/>
    <n v="6.1650337470063148E-2"/>
    <n v="0.14481591154343812"/>
    <n v="125411.25"/>
  </r>
  <r>
    <x v="0"/>
    <x v="4"/>
    <x v="6"/>
    <s v="CP2 DP"/>
    <n v="25471"/>
    <n v="6"/>
    <n v="239700"/>
    <n v="28344"/>
    <n v="3"/>
    <n v="79900"/>
    <n v="8490.3333333333339"/>
    <n v="0.5"/>
    <n v="0.10626199415936588"/>
    <n v="0.29954605325054101"/>
    <n v="44670.75"/>
  </r>
  <r>
    <x v="0"/>
    <x v="4"/>
    <x v="7"/>
    <s v="CP3"/>
    <n v="30454"/>
    <n v="19"/>
    <n v="449400"/>
    <n v="23469"/>
    <n v="6"/>
    <n v="74900"/>
    <n v="5075.666666666667"/>
    <n v="0.31578947368421051"/>
    <n v="6.7765910102358703E-2"/>
    <n v="0.21627110940673513"/>
    <n v="82770"/>
  </r>
  <r>
    <x v="0"/>
    <x v="4"/>
    <x v="8"/>
    <s v="CP3"/>
    <n v="36300"/>
    <n v="26"/>
    <n v="59900"/>
    <n v="38934"/>
    <n v="1"/>
    <n v="59900"/>
    <n v="36300"/>
    <n v="3.8461538461538464E-2"/>
    <n v="0.60601001669449084"/>
    <n v="0.93234704885190323"/>
    <n v="1975.5"/>
  </r>
  <r>
    <x v="0"/>
    <x v="4"/>
    <x v="13"/>
    <s v="CP3 BEAUTY"/>
    <n v="17342"/>
    <n v="10"/>
    <n v="0"/>
    <n v="0"/>
    <n v="0"/>
    <n v="0"/>
    <s v=""/>
    <n v="0"/>
    <s v=""/>
    <n v="1"/>
    <n v="-17342"/>
  </r>
  <r>
    <x v="0"/>
    <x v="4"/>
    <x v="9"/>
    <s v="CP4"/>
    <n v="18194"/>
    <n v="12"/>
    <n v="69900"/>
    <n v="24784"/>
    <n v="1"/>
    <n v="69900"/>
    <n v="18194"/>
    <n v="8.3333333333333329E-2"/>
    <n v="0.26028612303290416"/>
    <n v="0.73410264686894766"/>
    <n v="4942.5"/>
  </r>
  <r>
    <x v="0"/>
    <x v="4"/>
    <x v="12"/>
    <s v="CP4"/>
    <n v="37017"/>
    <n v="15"/>
    <n v="239700"/>
    <n v="33677"/>
    <n v="3"/>
    <n v="79900"/>
    <n v="12339"/>
    <n v="0.2"/>
    <n v="0.1544305381727159"/>
    <n v="0.36639249339311697"/>
    <n v="48010.5"/>
  </r>
  <r>
    <x v="0"/>
    <x v="4"/>
    <x v="11"/>
    <s v="CP5"/>
    <n v="45306"/>
    <n v="22"/>
    <n v="114800"/>
    <n v="16317"/>
    <n v="2"/>
    <n v="57400"/>
    <n v="22653"/>
    <n v="9.0909090909090912E-2"/>
    <n v="0.39465156794425088"/>
    <n v="1.3883066740209598"/>
    <n v="-9504"/>
  </r>
  <r>
    <x v="0"/>
    <x v="5"/>
    <x v="0"/>
    <s v="CP1"/>
    <n v="103382"/>
    <n v="38"/>
    <n v="873599"/>
    <n v="17525"/>
    <n v="14"/>
    <n v="62399.928571428572"/>
    <n v="7384.4285714285716"/>
    <n v="0.36842105263157893"/>
    <n v="0.11834033692804136"/>
    <n v="0.42136539637252907"/>
    <n v="106476"/>
  </r>
  <r>
    <x v="0"/>
    <x v="5"/>
    <x v="1"/>
    <s v="CP1 BEAUTY"/>
    <n v="8427"/>
    <n v="3"/>
    <n v="0"/>
    <n v="0"/>
    <n v="0"/>
    <n v="0"/>
    <s v=""/>
    <n v="0"/>
    <s v=""/>
    <n v="1"/>
    <n v="-8427"/>
  </r>
  <r>
    <x v="0"/>
    <x v="5"/>
    <x v="2"/>
    <s v="CP1 DP"/>
    <n v="204360"/>
    <n v="147"/>
    <n v="908999"/>
    <n v="31263"/>
    <n v="10"/>
    <n v="90899.9"/>
    <n v="20436"/>
    <n v="6.8027210884353748E-2"/>
    <n v="0.22481872917351944"/>
    <n v="0.65368006909125809"/>
    <n v="81202.5"/>
  </r>
  <r>
    <x v="0"/>
    <x v="5"/>
    <x v="3"/>
    <s v="CP2"/>
    <n v="32314"/>
    <n v="18"/>
    <n v="239600"/>
    <n v="26136"/>
    <n v="4"/>
    <n v="59900"/>
    <n v="8078.5"/>
    <n v="0.22222222222222221"/>
    <n v="0.13486644407345577"/>
    <n v="0.30909473523109887"/>
    <n v="54172.5"/>
  </r>
  <r>
    <x v="0"/>
    <x v="5"/>
    <x v="4"/>
    <s v="CP2"/>
    <n v="27679"/>
    <n v="41"/>
    <n v="514200"/>
    <n v="26132"/>
    <n v="8"/>
    <n v="64275"/>
    <n v="3459.875"/>
    <n v="0.1951219512195122"/>
    <n v="5.3829249319331002E-2"/>
    <n v="0.13239993111893464"/>
    <n v="136032.75"/>
  </r>
  <r>
    <x v="0"/>
    <x v="5"/>
    <x v="6"/>
    <s v="CP2 DP"/>
    <n v="28600"/>
    <n v="12"/>
    <n v="369500"/>
    <n v="23594"/>
    <n v="5"/>
    <n v="73900"/>
    <n v="5720"/>
    <n v="0.41666666666666669"/>
    <n v="7.7401894451962105E-2"/>
    <n v="0.24243451725014833"/>
    <n v="67027.5"/>
  </r>
  <r>
    <x v="0"/>
    <x v="5"/>
    <x v="7"/>
    <s v="CP3"/>
    <n v="28059"/>
    <n v="13"/>
    <n v="209700"/>
    <n v="25840"/>
    <n v="3"/>
    <n v="69900"/>
    <n v="9353"/>
    <n v="0.23076923076923078"/>
    <n v="0.13380543633762518"/>
    <n v="0.36195820433436532"/>
    <n v="37095.75"/>
  </r>
  <r>
    <x v="0"/>
    <x v="5"/>
    <x v="8"/>
    <s v="CP3"/>
    <n v="31739"/>
    <n v="24"/>
    <n v="0"/>
    <n v="0"/>
    <n v="0"/>
    <n v="0"/>
    <s v=""/>
    <n v="0"/>
    <s v=""/>
    <n v="1"/>
    <n v="-31739"/>
  </r>
  <r>
    <x v="0"/>
    <x v="5"/>
    <x v="13"/>
    <s v="CP3 BEAUTY"/>
    <n v="16410"/>
    <n v="12"/>
    <n v="79900"/>
    <n v="24334"/>
    <n v="1"/>
    <n v="79900"/>
    <n v="16410"/>
    <n v="8.3333333333333329E-2"/>
    <n v="0.20538172715894867"/>
    <n v="0.67436508588805788"/>
    <n v="5943"/>
  </r>
  <r>
    <x v="0"/>
    <x v="5"/>
    <x v="9"/>
    <s v="CP4"/>
    <n v="13165"/>
    <n v="12"/>
    <n v="139800"/>
    <n v="21127"/>
    <n v="2"/>
    <n v="69900"/>
    <n v="6582.5"/>
    <n v="0.16666666666666666"/>
    <n v="9.4170243204577966E-2"/>
    <n v="0.31156813556113033"/>
    <n v="21816.75"/>
  </r>
  <r>
    <x v="0"/>
    <x v="5"/>
    <x v="12"/>
    <s v="CP4"/>
    <n v="36094"/>
    <n v="15"/>
    <n v="239700"/>
    <n v="33701"/>
    <n v="3"/>
    <n v="79900"/>
    <n v="12031.333333333334"/>
    <n v="0.2"/>
    <n v="0.15057989153108053"/>
    <n v="0.357002265016864"/>
    <n v="48756.75"/>
  </r>
  <r>
    <x v="0"/>
    <x v="5"/>
    <x v="11"/>
    <s v="CP5"/>
    <n v="48345"/>
    <n v="31"/>
    <n v="509300"/>
    <n v="20494"/>
    <n v="7"/>
    <n v="72757.142857142855"/>
    <n v="6906.4285714285716"/>
    <n v="0.22580645161290322"/>
    <n v="9.4924406047516202E-2"/>
    <n v="0.33699758814426523"/>
    <n v="71334.75"/>
  </r>
  <r>
    <x v="0"/>
    <x v="6"/>
    <x v="0"/>
    <s v="CP1"/>
    <n v="127910"/>
    <n v="44"/>
    <n v="603998"/>
    <n v="20143"/>
    <n v="10"/>
    <n v="60399.8"/>
    <n v="12791"/>
    <n v="0.22727272727272727"/>
    <n v="0.21177222441133911"/>
    <n v="0.63500968078240583"/>
    <n v="55140"/>
  </r>
  <r>
    <x v="0"/>
    <x v="6"/>
    <x v="1"/>
    <s v="CP1 BEAUTY"/>
    <n v="11795"/>
    <n v="5"/>
    <n v="0"/>
    <n v="0"/>
    <n v="0"/>
    <n v="0"/>
    <s v=""/>
    <n v="0"/>
    <s v=""/>
    <n v="1"/>
    <n v="-11795"/>
  </r>
  <r>
    <x v="0"/>
    <x v="6"/>
    <x v="2"/>
    <s v="CP1 DP"/>
    <n v="205597"/>
    <n v="147"/>
    <n v="1408398"/>
    <n v="32082"/>
    <n v="16"/>
    <n v="88024.875"/>
    <n v="12849.8125"/>
    <n v="0.10884353741496598"/>
    <n v="0.1459793325466239"/>
    <n v="0.40053028177794403"/>
    <n v="230786.25"/>
  </r>
  <r>
    <x v="0"/>
    <x v="6"/>
    <x v="3"/>
    <s v="CP2"/>
    <n v="48970"/>
    <n v="30"/>
    <n v="404399"/>
    <n v="26550"/>
    <n v="6"/>
    <n v="67399.833333333328"/>
    <n v="8161.666666666667"/>
    <n v="0.2"/>
    <n v="0.12109327668960607"/>
    <n v="0.30740740740740741"/>
    <n v="82747.5"/>
  </r>
  <r>
    <x v="0"/>
    <x v="6"/>
    <x v="4"/>
    <s v="CP2"/>
    <n v="32566"/>
    <n v="25"/>
    <n v="798800"/>
    <n v="26562"/>
    <n v="12"/>
    <n v="66566.666666666672"/>
    <n v="2713.8333333333335"/>
    <n v="0.48"/>
    <n v="4.0768652979469203E-2"/>
    <n v="0.10216976633285647"/>
    <n v="214633.5"/>
  </r>
  <r>
    <x v="0"/>
    <x v="6"/>
    <x v="6"/>
    <s v="CP2 DP"/>
    <n v="28607"/>
    <n v="12"/>
    <n v="304600"/>
    <n v="44957"/>
    <n v="3"/>
    <n v="101533.33333333333"/>
    <n v="9535.6666666666661"/>
    <n v="0.25"/>
    <n v="9.3916611950098483E-2"/>
    <n v="0.21210638313647856"/>
    <n v="79698"/>
  </r>
  <r>
    <x v="0"/>
    <x v="6"/>
    <x v="7"/>
    <s v="CP3"/>
    <n v="31334"/>
    <n v="20"/>
    <n v="149800"/>
    <n v="25829"/>
    <n v="2"/>
    <n v="74900"/>
    <n v="15667"/>
    <n v="0.1"/>
    <n v="0.20917222963951937"/>
    <n v="0.60656626272794145"/>
    <n v="15243"/>
  </r>
  <r>
    <x v="0"/>
    <x v="6"/>
    <x v="8"/>
    <s v="CP3"/>
    <n v="31246"/>
    <n v="22"/>
    <n v="0"/>
    <n v="0"/>
    <n v="0"/>
    <n v="0"/>
    <s v=""/>
    <n v="0"/>
    <s v=""/>
    <n v="1"/>
    <n v="-31246"/>
  </r>
  <r>
    <x v="0"/>
    <x v="6"/>
    <x v="13"/>
    <s v="CP3 BEAUTY"/>
    <n v="17933"/>
    <n v="15"/>
    <n v="79900"/>
    <n v="24334"/>
    <n v="1"/>
    <n v="79900"/>
    <n v="17933"/>
    <n v="6.6666666666666666E-2"/>
    <n v="0.22444305381727159"/>
    <n v="0.73695241226267771"/>
    <n v="4800.75"/>
  </r>
  <r>
    <x v="0"/>
    <x v="6"/>
    <x v="9"/>
    <s v="CP4"/>
    <n v="20648"/>
    <n v="20"/>
    <n v="139800"/>
    <n v="24734"/>
    <n v="2"/>
    <n v="69900"/>
    <n v="10324"/>
    <n v="0.1"/>
    <n v="0.1476967095851216"/>
    <n v="0.41740114821702917"/>
    <n v="21615"/>
  </r>
  <r>
    <x v="0"/>
    <x v="6"/>
    <x v="12"/>
    <s v="CP4"/>
    <n v="40555"/>
    <n v="15"/>
    <n v="0"/>
    <n v="0"/>
    <n v="0"/>
    <n v="0"/>
    <s v=""/>
    <n v="0"/>
    <s v=""/>
    <n v="1"/>
    <n v="-40555"/>
  </r>
  <r>
    <x v="0"/>
    <x v="6"/>
    <x v="11"/>
    <s v="CP5"/>
    <n v="48369"/>
    <n v="31"/>
    <n v="414500"/>
    <n v="22705"/>
    <n v="5"/>
    <n v="82900"/>
    <n v="9673.7999999999993"/>
    <n v="0.16129032258064516"/>
    <n v="0.11669240048250903"/>
    <n v="0.42606474344857959"/>
    <n v="48867"/>
  </r>
  <r>
    <x v="1"/>
    <x v="7"/>
    <x v="0"/>
    <s v="CP1"/>
    <n v="130164"/>
    <n v="47"/>
    <n v="1108098"/>
    <n v="19708"/>
    <n v="19"/>
    <n v="58320.947368421053"/>
    <n v="6850.7368421052633"/>
    <n v="0.40425531914893614"/>
    <n v="0.11746614469117353"/>
    <n v="0.34761197696901075"/>
    <n v="183216"/>
  </r>
  <r>
    <x v="1"/>
    <x v="7"/>
    <x v="1"/>
    <s v="CP1 BEAUTY"/>
    <n v="9282"/>
    <n v="2"/>
    <n v="0"/>
    <n v="0"/>
    <n v="0"/>
    <n v="0"/>
    <s v=""/>
    <n v="0"/>
    <s v=""/>
    <n v="1"/>
    <n v="-9282"/>
  </r>
  <r>
    <x v="1"/>
    <x v="7"/>
    <x v="2"/>
    <s v="CP1 DP"/>
    <n v="204551"/>
    <n v="156"/>
    <n v="721100"/>
    <n v="28739"/>
    <n v="9"/>
    <n v="80122.222222222219"/>
    <n v="22727.888888888891"/>
    <n v="5.7692307692307696E-2"/>
    <n v="0.28366523367078078"/>
    <n v="0.79083784713764882"/>
    <n v="40575"/>
  </r>
  <r>
    <x v="1"/>
    <x v="7"/>
    <x v="3"/>
    <s v="CP2"/>
    <n v="52329"/>
    <n v="25"/>
    <n v="524200"/>
    <n v="29117"/>
    <n v="8"/>
    <n v="65525"/>
    <n v="6541.125"/>
    <n v="0.32"/>
    <n v="9.9826402136589082E-2"/>
    <n v="0.22464968918501219"/>
    <n v="135455.25"/>
  </r>
  <r>
    <x v="1"/>
    <x v="7"/>
    <x v="4"/>
    <s v="CP2"/>
    <n v="37792"/>
    <n v="27"/>
    <n v="179700"/>
    <n v="23127"/>
    <n v="3"/>
    <n v="59900"/>
    <n v="12597.333333333334"/>
    <n v="0.1111111111111111"/>
    <n v="0.21030606566499724"/>
    <n v="0.54470244014932045"/>
    <n v="23691.75"/>
  </r>
  <r>
    <x v="1"/>
    <x v="7"/>
    <x v="6"/>
    <s v="CP2 DP"/>
    <n v="35362"/>
    <n v="17"/>
    <n v="164800"/>
    <n v="36121"/>
    <n v="2"/>
    <n v="82400"/>
    <n v="17681"/>
    <n v="0.11764705882352941"/>
    <n v="0.21457524271844661"/>
    <n v="0.48949364635530579"/>
    <n v="27660"/>
  </r>
  <r>
    <x v="1"/>
    <x v="7"/>
    <x v="7"/>
    <s v="CP3"/>
    <n v="36275"/>
    <n v="13"/>
    <n v="69900"/>
    <n v="22784"/>
    <n v="1"/>
    <n v="69900"/>
    <n v="36275"/>
    <n v="7.6923076923076927E-2"/>
    <n v="0.51895565092989981"/>
    <n v="1.5921260533707866"/>
    <n v="-10118.25"/>
  </r>
  <r>
    <x v="1"/>
    <x v="7"/>
    <x v="8"/>
    <s v="CP3"/>
    <n v="35040"/>
    <n v="25"/>
    <n v="59900"/>
    <n v="38934"/>
    <n v="1"/>
    <n v="59900"/>
    <n v="35040"/>
    <n v="0.04"/>
    <n v="0.58497495826377299"/>
    <n v="0.8999845893049776"/>
    <n v="2920.5"/>
  </r>
  <r>
    <x v="1"/>
    <x v="7"/>
    <x v="13"/>
    <s v="CP3 BEAUTY"/>
    <n v="18803"/>
    <n v="15"/>
    <n v="309599"/>
    <n v="27551"/>
    <n v="4"/>
    <n v="77399.75"/>
    <n v="4700.75"/>
    <n v="0.26666666666666666"/>
    <n v="6.0733400301680562E-2"/>
    <n v="0.17061994119995644"/>
    <n v="68550.75"/>
  </r>
  <r>
    <x v="1"/>
    <x v="7"/>
    <x v="9"/>
    <s v="CP4"/>
    <n v="20770"/>
    <n v="10"/>
    <n v="69900"/>
    <n v="27244"/>
    <n v="1"/>
    <n v="69900"/>
    <n v="20770"/>
    <n v="0.1"/>
    <n v="0.29713876967095854"/>
    <n v="0.76236969607987082"/>
    <n v="4855.5"/>
  </r>
  <r>
    <x v="1"/>
    <x v="7"/>
    <x v="12"/>
    <s v="CP4"/>
    <n v="41462"/>
    <n v="15"/>
    <n v="79900"/>
    <n v="32894"/>
    <n v="1"/>
    <n v="79900"/>
    <n v="41462"/>
    <n v="6.6666666666666666E-2"/>
    <n v="0.51892365456821021"/>
    <n v="1.2604730345959749"/>
    <n v="-6426"/>
  </r>
  <r>
    <x v="1"/>
    <x v="7"/>
    <x v="11"/>
    <s v="CP5"/>
    <n v="64815"/>
    <n v="38"/>
    <n v="1183500"/>
    <n v="17519"/>
    <n v="15"/>
    <n v="78900"/>
    <n v="4321"/>
    <n v="0.39473684210526316"/>
    <n v="5.4765525982256022E-2"/>
    <n v="0.24664649808779041"/>
    <n v="148477.5"/>
  </r>
  <r>
    <x v="1"/>
    <x v="8"/>
    <x v="0"/>
    <s v="CP1"/>
    <n v="123849"/>
    <n v="50"/>
    <n v="968398"/>
    <n v="19436"/>
    <n v="16"/>
    <n v="60524.875"/>
    <n v="7740.5625"/>
    <n v="0.32"/>
    <n v="0.12789059870012123"/>
    <n v="0.39825902963572751"/>
    <n v="140345.25"/>
  </r>
  <r>
    <x v="1"/>
    <x v="8"/>
    <x v="1"/>
    <s v="CP1 BEAUTY"/>
    <n v="15226"/>
    <n v="1"/>
    <n v="69900"/>
    <n v="30344"/>
    <n v="1"/>
    <n v="69900"/>
    <n v="15226"/>
    <n v="1"/>
    <n v="0.21782546494992847"/>
    <n v="0.50177959398892702"/>
    <n v="11338.5"/>
  </r>
  <r>
    <x v="1"/>
    <x v="8"/>
    <x v="2"/>
    <s v="CP1 DP"/>
    <n v="221592"/>
    <n v="156"/>
    <n v="2554098"/>
    <n v="30074"/>
    <n v="29"/>
    <n v="88072.344827586203"/>
    <n v="7641.1034482758623"/>
    <n v="0.1858974358974359"/>
    <n v="8.6759396076423079E-2"/>
    <n v="0.254076725685837"/>
    <n v="487915.5"/>
  </r>
  <r>
    <x v="1"/>
    <x v="8"/>
    <x v="3"/>
    <s v="CP2"/>
    <n v="47042"/>
    <n v="24"/>
    <n v="394400"/>
    <n v="27739"/>
    <n v="6"/>
    <n v="65733.333333333328"/>
    <n v="7840.333333333333"/>
    <n v="0.25"/>
    <n v="0.11927484787018255"/>
    <n v="0.28264657461816695"/>
    <n v="89544"/>
  </r>
  <r>
    <x v="1"/>
    <x v="8"/>
    <x v="4"/>
    <s v="CP2"/>
    <n v="32052"/>
    <n v="21"/>
    <n v="424300"/>
    <n v="26348"/>
    <n v="7"/>
    <n v="60614.285714285717"/>
    <n v="4578.8571428571431"/>
    <n v="0.33333333333333331"/>
    <n v="7.5540890879094977E-2"/>
    <n v="0.17378385998395107"/>
    <n v="114288"/>
  </r>
  <r>
    <x v="1"/>
    <x v="8"/>
    <x v="6"/>
    <s v="CP2 DP"/>
    <n v="35431"/>
    <n v="22"/>
    <n v="659200"/>
    <n v="31885"/>
    <n v="8"/>
    <n v="82400"/>
    <n v="4428.875"/>
    <n v="0.36363636363636365"/>
    <n v="5.374848300970874E-2"/>
    <n v="0.13890152109142229"/>
    <n v="164736.75"/>
  </r>
  <r>
    <x v="1"/>
    <x v="8"/>
    <x v="7"/>
    <s v="CP3"/>
    <n v="32609"/>
    <n v="18"/>
    <n v="519300"/>
    <n v="26706"/>
    <n v="7"/>
    <n v="74185.71428571429"/>
    <n v="4658.4285714285716"/>
    <n v="0.3888888888888889"/>
    <n v="6.279414596572308E-2"/>
    <n v="0.17443378160071038"/>
    <n v="115749.75"/>
  </r>
  <r>
    <x v="1"/>
    <x v="8"/>
    <x v="8"/>
    <s v="CP3"/>
    <n v="15655"/>
    <n v="19"/>
    <n v="64900"/>
    <n v="32609"/>
    <n v="1"/>
    <n v="64900"/>
    <n v="15655"/>
    <n v="5.2631578947368418E-2"/>
    <n v="0.24121725731895224"/>
    <n v="0.48008218589959828"/>
    <n v="12715.5"/>
  </r>
  <r>
    <x v="1"/>
    <x v="8"/>
    <x v="13"/>
    <s v="CP3 BEAUTY"/>
    <n v="20360"/>
    <n v="23"/>
    <n v="59900"/>
    <n v="22734"/>
    <n v="1"/>
    <n v="59900"/>
    <n v="20360"/>
    <n v="4.3478260869565216E-2"/>
    <n v="0.3398998330550918"/>
    <n v="0.8955749098266913"/>
    <n v="1780.5"/>
  </r>
  <r>
    <x v="1"/>
    <x v="8"/>
    <x v="14"/>
    <s v="CP3 DP"/>
    <n v="4588"/>
    <n v="4"/>
    <n v="59900"/>
    <n v="21234"/>
    <n v="1"/>
    <n v="59900"/>
    <n v="4588"/>
    <n v="0.25"/>
    <n v="7.6594323873121872E-2"/>
    <n v="0.21606856927568993"/>
    <n v="12484.5"/>
  </r>
  <r>
    <x v="1"/>
    <x v="8"/>
    <x v="9"/>
    <s v="CP4"/>
    <n v="23692"/>
    <n v="9"/>
    <n v="139800"/>
    <n v="22284"/>
    <n v="2"/>
    <n v="69900"/>
    <n v="11846"/>
    <n v="0.22222222222222221"/>
    <n v="0.16947067238912733"/>
    <n v="0.53159217375695567"/>
    <n v="15657"/>
  </r>
  <r>
    <x v="1"/>
    <x v="8"/>
    <x v="12"/>
    <s v="CP4"/>
    <n v="45619"/>
    <n v="13"/>
    <n v="79900"/>
    <n v="32894"/>
    <n v="1"/>
    <n v="79900"/>
    <n v="45619"/>
    <n v="7.6923076923076927E-2"/>
    <n v="0.57095118898623276"/>
    <n v="1.3868486654101051"/>
    <n v="-9543.75"/>
  </r>
  <r>
    <x v="1"/>
    <x v="8"/>
    <x v="11"/>
    <s v="CP5"/>
    <n v="60489"/>
    <n v="21"/>
    <n v="329600"/>
    <n v="17972"/>
    <n v="4"/>
    <n v="82400"/>
    <n v="15122.25"/>
    <n v="0.19047619047619047"/>
    <n v="0.18352245145631069"/>
    <n v="0.8414338971733808"/>
    <n v="8549.25"/>
  </r>
  <r>
    <x v="1"/>
    <x v="8"/>
    <x v="15"/>
    <s v="ORGANICO"/>
    <n v="0"/>
    <n v="1"/>
    <n v="189900"/>
    <n v="54384"/>
    <n v="1"/>
    <n v="189900"/>
    <n v="0"/>
    <n v="1"/>
    <n v="0"/>
    <n v="0"/>
    <n v="40788"/>
  </r>
  <r>
    <x v="1"/>
    <x v="8"/>
    <x v="16"/>
    <s v="ORGANICO"/>
    <n v="0"/>
    <n v="1"/>
    <n v="1015000"/>
    <n v="195000"/>
    <n v="1"/>
    <n v="1015000"/>
    <n v="0"/>
    <n v="1"/>
    <n v="0"/>
    <n v="0"/>
    <n v="146250"/>
  </r>
  <r>
    <x v="1"/>
    <x v="9"/>
    <x v="0"/>
    <s v="CP1"/>
    <n v="92917"/>
    <n v="37"/>
    <n v="1217097"/>
    <n v="19636"/>
    <n v="20"/>
    <n v="60854.85"/>
    <n v="4645.8500000000004"/>
    <n v="0.54054054054054057"/>
    <n v="7.6343134524199802E-2"/>
    <n v="0.23659859441841519"/>
    <n v="224852.25"/>
  </r>
  <r>
    <x v="1"/>
    <x v="9"/>
    <x v="1"/>
    <s v="CP1 BEAUTY"/>
    <n v="9826"/>
    <n v="2"/>
    <n v="134800"/>
    <n v="27957"/>
    <n v="2"/>
    <n v="67400"/>
    <n v="4913"/>
    <n v="1"/>
    <n v="7.2893175074183983E-2"/>
    <n v="0.17573416317916801"/>
    <n v="34566"/>
  </r>
  <r>
    <x v="1"/>
    <x v="9"/>
    <x v="2"/>
    <s v="CP1 DP"/>
    <n v="164292"/>
    <n v="140"/>
    <n v="1424300"/>
    <n v="29660"/>
    <n v="17"/>
    <n v="83782.352941176476"/>
    <n v="9664.2352941176468"/>
    <n v="0.12142857142857143"/>
    <n v="0.11534929439022677"/>
    <n v="0.32583396136607035"/>
    <n v="254946"/>
  </r>
  <r>
    <x v="1"/>
    <x v="9"/>
    <x v="3"/>
    <s v="CP2"/>
    <n v="34942"/>
    <n v="19"/>
    <n v="354400"/>
    <n v="23738"/>
    <n v="6"/>
    <n v="59066.666666666664"/>
    <n v="5823.666666666667"/>
    <n v="0.31578947368421051"/>
    <n v="9.8594808126410846E-2"/>
    <n v="0.24533097424663691"/>
    <n v="80614.5"/>
  </r>
  <r>
    <x v="1"/>
    <x v="9"/>
    <x v="4"/>
    <s v="CP2"/>
    <n v="24767"/>
    <n v="21"/>
    <n v="703900"/>
    <n v="25081"/>
    <n v="11"/>
    <n v="63990.909090909088"/>
    <n v="2251.5454545454545"/>
    <n v="0.52380952380952384"/>
    <n v="3.5185395652791593E-2"/>
    <n v="8.9770960270541628E-2"/>
    <n v="188343"/>
  </r>
  <r>
    <x v="1"/>
    <x v="9"/>
    <x v="17"/>
    <s v="CP2 BEAUTY"/>
    <n v="43108"/>
    <n v="33"/>
    <n v="269600"/>
    <n v="28398"/>
    <n v="4"/>
    <n v="67400"/>
    <n v="10777"/>
    <n v="0.12121212121212122"/>
    <n v="0.15989614243323441"/>
    <n v="0.3794985562363547"/>
    <n v="52863"/>
  </r>
  <r>
    <x v="1"/>
    <x v="9"/>
    <x v="6"/>
    <s v="CP2 DP"/>
    <n v="30821"/>
    <n v="15"/>
    <n v="324600"/>
    <n v="28760"/>
    <n v="4"/>
    <n v="81150"/>
    <n v="7705.25"/>
    <n v="0.26666666666666666"/>
    <n v="9.4950708564386935E-2"/>
    <n v="0.26791550764951322"/>
    <n v="63164.25"/>
  </r>
  <r>
    <x v="1"/>
    <x v="9"/>
    <x v="7"/>
    <s v="CP3"/>
    <n v="28345"/>
    <n v="14"/>
    <n v="409500"/>
    <n v="25338"/>
    <n v="5"/>
    <n v="81900"/>
    <n v="5669"/>
    <n v="0.35714285714285715"/>
    <n v="6.9218559218559225E-2"/>
    <n v="0.22373510142868419"/>
    <n v="73758.75"/>
  </r>
  <r>
    <x v="1"/>
    <x v="9"/>
    <x v="8"/>
    <s v="CP3"/>
    <n v="9886"/>
    <n v="12"/>
    <n v="69900"/>
    <n v="37384"/>
    <n v="1"/>
    <n v="69900"/>
    <n v="9886"/>
    <n v="8.3333333333333329E-2"/>
    <n v="0.14143061516452074"/>
    <n v="0.26444468221699124"/>
    <n v="20623.5"/>
  </r>
  <r>
    <x v="1"/>
    <x v="9"/>
    <x v="13"/>
    <s v="CP3 BEAUTY"/>
    <n v="21698"/>
    <n v="21"/>
    <n v="210801"/>
    <n v="36714"/>
    <n v="2"/>
    <n v="105400.5"/>
    <n v="10849"/>
    <n v="9.5238095238095233E-2"/>
    <n v="0.10293120051612659"/>
    <n v="0.29550035408835867"/>
    <n v="38797.5"/>
  </r>
  <r>
    <x v="1"/>
    <x v="9"/>
    <x v="14"/>
    <s v="CP3 DP"/>
    <n v="3014"/>
    <n v="2"/>
    <n v="0"/>
    <n v="0"/>
    <n v="0"/>
    <n v="0"/>
    <s v=""/>
    <n v="0"/>
    <s v=""/>
    <n v="1"/>
    <n v="-3014"/>
  </r>
  <r>
    <x v="1"/>
    <x v="9"/>
    <x v="18"/>
    <s v="CP3 DP"/>
    <n v="5185"/>
    <n v="2"/>
    <n v="89900"/>
    <n v="39253"/>
    <n v="1"/>
    <n v="89900"/>
    <n v="5185"/>
    <n v="0.5"/>
    <n v="5.7675194660734147E-2"/>
    <n v="0.13209181463837158"/>
    <n v="25551"/>
  </r>
  <r>
    <x v="1"/>
    <x v="9"/>
    <x v="9"/>
    <s v="CP4"/>
    <n v="20178"/>
    <n v="12"/>
    <n v="213900"/>
    <n v="35167"/>
    <n v="2"/>
    <n v="106950"/>
    <n v="10089"/>
    <n v="0.16666666666666666"/>
    <n v="9.4333800841514728E-2"/>
    <n v="0.28688827594051242"/>
    <n v="37617"/>
  </r>
  <r>
    <x v="1"/>
    <x v="9"/>
    <x v="12"/>
    <s v="CP4"/>
    <n v="39600"/>
    <n v="10"/>
    <n v="319600"/>
    <n v="32751"/>
    <n v="4"/>
    <n v="79900"/>
    <n v="9900"/>
    <n v="0.4"/>
    <n v="0.12390488110137672"/>
    <n v="0.30228084638636987"/>
    <n v="68553"/>
  </r>
  <r>
    <x v="1"/>
    <x v="9"/>
    <x v="11"/>
    <s v="CP5"/>
    <n v="44836"/>
    <n v="26"/>
    <n v="269600"/>
    <n v="16747"/>
    <n v="4"/>
    <n v="67400"/>
    <n v="11209"/>
    <n v="0.15384615384615385"/>
    <n v="0.16630563798219586"/>
    <n v="0.6693139069684122"/>
    <n v="166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C5F3C5-CD51-4CA6-9B45-2C1C6EF7D032}" name="Resumen dia" cacheId="0" applyNumberFormats="0" applyBorderFormats="0" applyFontFormats="0" applyPatternFormats="0" applyAlignmentFormats="0" applyWidthHeightFormats="1" dataCaption="Valores" showError="1" updatedVersion="8" minRefreshableVersion="3" useAutoFormatting="1" itemPrintTitles="1" createdVersion="7" indent="0" compact="0" compactData="0" multipleFieldFilters="0">
  <location ref="B2:J5" firstHeaderRow="0" firstDataRow="1" firstDataCol="3"/>
  <pivotFields count="15">
    <pivotField axis="axisRow" compact="0" outline="0" subtotalTop="0" showAll="0">
      <items count="8">
        <item h="1" m="1" x="5"/>
        <item h="1" m="1" x="2"/>
        <item h="1" m="1" x="6"/>
        <item sd="0" x="0"/>
        <item h="1" m="1" x="4"/>
        <item h="1" sd="0" m="1" x="3"/>
        <item sd="0" x="1"/>
        <item t="default"/>
      </items>
    </pivotField>
    <pivotField axis="axisRow" compact="0" outline="0" subtotalTop="0" multipleItemSelectionAllowed="1" showAll="0">
      <items count="1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t="default"/>
      </items>
    </pivotField>
    <pivotField axis="axisRow" compact="0" outline="0" subtotalTop="0" showAll="0">
      <items count="21">
        <item x="9"/>
        <item x="3"/>
        <item x="5"/>
        <item x="4"/>
        <item x="0"/>
        <item x="6"/>
        <item x="1"/>
        <item x="7"/>
        <item x="11"/>
        <item x="2"/>
        <item x="8"/>
        <item x="10"/>
        <item m="1" x="19"/>
        <item x="12"/>
        <item x="13"/>
        <item x="14"/>
        <item x="15"/>
        <item x="16"/>
        <item x="17"/>
        <item x="18"/>
        <item t="default"/>
      </items>
    </pivotField>
    <pivotField compact="0" outline="0" subtotalTop="0" showAll="0"/>
    <pivotField dataField="1" compact="0" outline="0" subtotalTop="0" showAll="0"/>
    <pivotField dataField="1" compact="0" outline="0" subtotalTop="0" showAll="0"/>
    <pivotField compact="0" outline="0" subtotalTop="0" showAll="0"/>
    <pivotField dataField="1" compact="0" outline="0" subtotalTop="0" showAll="0"/>
    <pivotField dataField="1" compact="0" outline="0" subtotalTop="0" showAll="0"/>
    <pivotField compact="0" outline="0" subtotalTop="0" showAll="0"/>
    <pivotField dataField="1"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dataField="1" compact="0" outline="0" subtotalTop="0" showAll="0"/>
  </pivotFields>
  <rowFields count="3">
    <field x="0"/>
    <field x="1"/>
    <field x="2"/>
  </rowFields>
  <rowItems count="3">
    <i>
      <x v="3"/>
    </i>
    <i>
      <x v="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GASTO PUBLICITARIO" fld="4" baseField="0" baseItem="0" numFmtId="164"/>
    <dataField name="# de CONVERSACIONES" fld="5" baseField="0" baseItem="0"/>
    <dataField name="# de VENTAS" fld="8" baseField="0" baseItem="0"/>
    <dataField name="GANANCIA (Prom)" fld="7" subtotal="average" baseField="0" baseItem="0" numFmtId="164"/>
    <dataField name="CPA (Prom)" fld="10" subtotal="average" baseField="0" baseItem="0" numFmtId="164"/>
    <dataField name="UTILIDAD APROX" fld="14" baseField="0" baseItem="0" numFmtId="164"/>
  </dataFields>
  <pivotTableStyleInfo name="PivotStyleDark4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A1F27A-5552-4A04-A4EA-EAFC37A8BB58}" name="CPA_DIA_MARZO" displayName="CPA_DIA_MARZO" ref="A1:O126" totalsRowShown="0" headerRowDxfId="17" headerRowBorderDxfId="16" tableBorderDxfId="15">
  <autoFilter ref="A1:O126" xr:uid="{D1A1F27A-5552-4A04-A4EA-EAFC37A8BB58}"/>
  <sortState xmlns:xlrd2="http://schemas.microsoft.com/office/spreadsheetml/2017/richdata2" ref="B2:O92">
    <sortCondition ref="B1:B92"/>
  </sortState>
  <tableColumns count="15">
    <tableColumn id="16" xr3:uid="{A9498FA3-0D4E-43C1-8ADB-2F5FF5D5F059}" name="SEMANA" dataDxfId="14"/>
    <tableColumn id="1" xr3:uid="{88EE510F-01BE-487D-B241-74BA83A81D85}" name="Fecha" dataDxfId="13"/>
    <tableColumn id="2" xr3:uid="{1AED807F-758D-41FB-B4ED-59ADB79821D6}" name="Producto" dataDxfId="12"/>
    <tableColumn id="3" xr3:uid="{3D71CDF6-3AD8-47A0-8B9A-CA4992CC7FAC}" name="Cuenta publicitaria" dataDxfId="11"/>
    <tableColumn id="5" xr3:uid="{20FDC0F5-E85D-49BF-B8D4-2FDDE8E6D63E}" name="GASTO PUBLICIDAD" dataDxfId="10"/>
    <tableColumn id="6" xr3:uid="{973E35B7-5F61-4BE2-8634-0E7C35A9F276}" name="CONVERSACIONES" dataDxfId="9"/>
    <tableColumn id="4" xr3:uid="{9B70A250-CD08-4929-87AE-984DCD062271}" name="TOTAL FACTURADO" dataDxfId="8"/>
    <tableColumn id="13" xr3:uid="{30959B3D-FC03-4D9B-8E27-E020B8A0AD4D}" name="GANANCIA PROMEDIO" dataDxfId="7"/>
    <tableColumn id="7" xr3:uid="{C1E91810-05C0-4704-B66C-652C87CE8D8F}" name="VENTAS" dataDxfId="6"/>
    <tableColumn id="8" xr3:uid="{17319EEF-A51F-4AAD-94AD-A4CDF7028C1A}" name="TICKET PROMEDIO DE PRODUCTO " dataDxfId="5">
      <calculatedColumnFormula>IFERROR(IF(CPA_DIA_MARZO[[#This Row],[TOTAL FACTURADO]]="","",IF(CPA_DIA_MARZO[[#This Row],[TOTAL FACTURADO]]=0,0,CPA_DIA_MARZO[[#This Row],[TOTAL FACTURADO]]/CPA_DIA_MARZO[[#This Row],[VENTAS]])),"")</calculatedColumnFormula>
    </tableColumn>
    <tableColumn id="10" xr3:uid="{1A82C7E2-0309-4980-8032-B4D7064606AA}" name="CPA" dataDxfId="4">
      <calculatedColumnFormula>IFERROR(IF(CPA_DIA_MARZO[[#This Row],[VENTAS]]=0,"",CPA_DIA_MARZO[[#This Row],[GASTO PUBLICIDAD]]/CPA_DIA_MARZO[[#This Row],[VENTAS]]),"")</calculatedColumnFormula>
    </tableColumn>
    <tableColumn id="9" xr3:uid="{E5224BEF-8FFB-4D48-BC97-AFDD9C25A69D}" name="CONVERSION RATE" dataDxfId="3">
      <calculatedColumnFormula>IFERROR(CPA_DIA_MARZO[[#This Row],[VENTAS]]/CPA_DIA_MARZO[[#This Row],[CONVERSACIONES]],"")</calculatedColumnFormula>
    </tableColumn>
    <tableColumn id="11" xr3:uid="{7698AABE-1389-423E-A102-8FE7E35073E9}" name="COSTO PUBLICITARIO" dataDxfId="2">
      <calculatedColumnFormula>IFERROR(IF(CPA_DIA_MARZO[[#This Row],[CPA]]="","",CPA_DIA_MARZO[[#This Row],[CPA]]*100%/CPA_DIA_MARZO[[#This Row],[TICKET PROMEDIO DE PRODUCTO ]]),"")</calculatedColumnFormula>
    </tableColumn>
    <tableColumn id="12" xr3:uid="{8C1EEC92-F713-4954-89CF-47B662816396}" name="RENTABILIDAD" dataDxfId="1">
      <calculatedColumnFormula>IFERROR(IF(CPA_DIA_MARZO[[#This Row],[VENTAS]]="","",IF(CPA_DIA_MARZO[[#This Row],[VENTAS]]=0,100%,CPA_DIA_MARZO[[#This Row],[CPA]]/CPA_DIA_MARZO[[#This Row],[GANANCIA PROMEDIO]])),"")</calculatedColumnFormula>
    </tableColumn>
    <tableColumn id="14" xr3:uid="{5CFD2DA6-CB7A-49AE-9FB9-DD5B5B3B96B3}" name="UTILIDAD APROXIMADA" dataDxfId="0">
      <calculatedColumnFormula>IF(CPA_DIA_MARZO[[#This Row],[VENTAS]]=0,-(CPA_DIA_MARZO[[#This Row],[GASTO PUBLICIDAD]]),((CPA_DIA_MARZO[[#This Row],[GANANCIA PROMEDIO]]*CPA_DIA_MARZO[[#This Row],[VENTAS]])-CPA_DIA_MARZO[[#This Row],[GASTO PUBLICIDAD]])*0.75)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6"/>
  <sheetViews>
    <sheetView tabSelected="1" workbookViewId="0">
      <selection activeCell="O7" sqref="O7"/>
    </sheetView>
  </sheetViews>
  <sheetFormatPr baseColWidth="10" defaultColWidth="9.140625" defaultRowHeight="15" x14ac:dyDescent="0.25"/>
  <cols>
    <col min="1" max="1" width="3.140625" customWidth="1"/>
    <col min="2" max="2" width="11.140625" style="24" bestFit="1" customWidth="1"/>
    <col min="3" max="3" width="24.7109375" customWidth="1"/>
    <col min="4" max="4" width="20" bestFit="1" customWidth="1"/>
    <col min="5" max="5" width="22.28515625" style="4" customWidth="1"/>
    <col min="6" max="6" width="19.5703125" bestFit="1" customWidth="1"/>
    <col min="7" max="7" width="20.5703125" style="4" bestFit="1" customWidth="1"/>
    <col min="8" max="8" width="23.5703125" style="4" bestFit="1" customWidth="1"/>
    <col min="9" max="9" width="10.28515625" bestFit="1" customWidth="1"/>
    <col min="10" max="10" width="33.85546875" style="4" bestFit="1" customWidth="1"/>
    <col min="11" max="11" width="8.42578125" style="4" bestFit="1" customWidth="1"/>
    <col min="12" max="12" width="20.140625" style="6" bestFit="1" customWidth="1"/>
    <col min="13" max="13" width="22.28515625" bestFit="1" customWidth="1"/>
    <col min="14" max="14" width="16.42578125" style="6" bestFit="1" customWidth="1"/>
    <col min="15" max="15" width="24.85546875" style="6" bestFit="1" customWidth="1"/>
    <col min="16" max="16" width="12" customWidth="1"/>
  </cols>
  <sheetData>
    <row r="1" spans="1:15" x14ac:dyDescent="0.25">
      <c r="A1" s="1" t="s">
        <v>0</v>
      </c>
      <c r="B1" s="22" t="s">
        <v>1</v>
      </c>
      <c r="C1" s="1" t="s">
        <v>2</v>
      </c>
      <c r="D1" s="2" t="s">
        <v>3</v>
      </c>
      <c r="E1" s="28" t="s">
        <v>54</v>
      </c>
      <c r="F1" s="1" t="s">
        <v>4</v>
      </c>
      <c r="G1" s="3" t="s">
        <v>5</v>
      </c>
      <c r="H1" s="3" t="s">
        <v>6</v>
      </c>
      <c r="I1" s="1" t="s">
        <v>7</v>
      </c>
      <c r="J1" s="3" t="s">
        <v>8</v>
      </c>
      <c r="K1" s="3" t="s">
        <v>9</v>
      </c>
      <c r="L1" s="5" t="s">
        <v>10</v>
      </c>
      <c r="M1" s="5" t="s">
        <v>11</v>
      </c>
      <c r="N1" s="5" t="s">
        <v>12</v>
      </c>
      <c r="O1" s="2" t="s">
        <v>13</v>
      </c>
    </row>
    <row r="2" spans="1:15" x14ac:dyDescent="0.25">
      <c r="A2" s="25" t="s">
        <v>14</v>
      </c>
      <c r="B2" s="21">
        <v>46083</v>
      </c>
      <c r="C2" s="26" t="s">
        <v>15</v>
      </c>
      <c r="D2" s="26" t="s">
        <v>16</v>
      </c>
      <c r="E2" s="12">
        <v>119468</v>
      </c>
      <c r="F2" s="11">
        <v>51</v>
      </c>
      <c r="G2" s="12">
        <v>1372698</v>
      </c>
      <c r="H2" s="12">
        <v>18350</v>
      </c>
      <c r="I2" s="11">
        <v>23</v>
      </c>
      <c r="J2" s="12">
        <f>IFERROR(IF(CPA_DIA_MARZO[[#This Row],[TOTAL FACTURADO]]="","",IF(CPA_DIA_MARZO[[#This Row],[TOTAL FACTURADO]]=0,0,CPA_DIA_MARZO[[#This Row],[TOTAL FACTURADO]]/CPA_DIA_MARZO[[#This Row],[VENTAS]])),"")</f>
        <v>59682.521739130432</v>
      </c>
      <c r="K2" s="12">
        <f>IFERROR(IF(CPA_DIA_MARZO[[#This Row],[VENTAS]]=0,"",CPA_DIA_MARZO[[#This Row],[GASTO PUBLICIDAD]]/CPA_DIA_MARZO[[#This Row],[VENTAS]]),"")</f>
        <v>5194.260869565217</v>
      </c>
      <c r="L2" s="13">
        <f>IFERROR(CPA_DIA_MARZO[[#This Row],[VENTAS]]/CPA_DIA_MARZO[[#This Row],[CONVERSACIONES]],"")</f>
        <v>0.45098039215686275</v>
      </c>
      <c r="M2" s="13">
        <f>IFERROR(IF(CPA_DIA_MARZO[[#This Row],[VENTAS]]=0,100%,IF(CPA_DIA_MARZO[[#This Row],[CPA]]="","",CPA_DIA_MARZO[[#This Row],[CPA]]*100%/CPA_DIA_MARZO[[#This Row],[TICKET PROMEDIO DE PRODUCTO ]])),"")</f>
        <v>8.7031524778210495E-2</v>
      </c>
      <c r="N2" s="13">
        <f>IFERROR(IF(CPA_DIA_MARZO[[#This Row],[VENTAS]]="","",IF(CPA_DIA_MARZO[[#This Row],[VENTAS]]=0,100%,CPA_DIA_MARZO[[#This Row],[CPA]]/CPA_DIA_MARZO[[#This Row],[GANANCIA PROMEDIO]])),"")</f>
        <v>0.28306598744224615</v>
      </c>
      <c r="O2" s="14">
        <f>IF(CPA_DIA_MARZO[[#This Row],[VENTAS]]=0,-(CPA_DIA_MARZO[[#This Row],[GASTO PUBLICIDAD]]),((CPA_DIA_MARZO[[#This Row],[GANANCIA PROMEDIO]]*CPA_DIA_MARZO[[#This Row],[VENTAS]])-CPA_DIA_MARZO[[#This Row],[GASTO PUBLICIDAD]])*0.75)</f>
        <v>226936.5</v>
      </c>
    </row>
    <row r="3" spans="1:15" x14ac:dyDescent="0.25">
      <c r="A3" s="13" t="s">
        <v>14</v>
      </c>
      <c r="B3" s="23">
        <v>46083</v>
      </c>
      <c r="C3" s="17" t="s">
        <v>17</v>
      </c>
      <c r="D3" s="17" t="s">
        <v>18</v>
      </c>
      <c r="E3" s="12">
        <v>17910</v>
      </c>
      <c r="F3" s="11">
        <v>5</v>
      </c>
      <c r="G3" s="12">
        <v>0</v>
      </c>
      <c r="H3" s="12">
        <v>0</v>
      </c>
      <c r="I3" s="11">
        <v>0</v>
      </c>
      <c r="J3" s="12">
        <f>IFERROR(IF(CPA_DIA_MARZO[[#This Row],[TOTAL FACTURADO]]="","",IF(CPA_DIA_MARZO[[#This Row],[TOTAL FACTURADO]]=0,0,CPA_DIA_MARZO[[#This Row],[TOTAL FACTURADO]]/CPA_DIA_MARZO[[#This Row],[VENTAS]])),"")</f>
        <v>0</v>
      </c>
      <c r="K3" s="12" t="str">
        <f>IFERROR(IF(CPA_DIA_MARZO[[#This Row],[VENTAS]]=0,"",CPA_DIA_MARZO[[#This Row],[GASTO PUBLICIDAD]]/CPA_DIA_MARZO[[#This Row],[VENTAS]]),"")</f>
        <v/>
      </c>
      <c r="L3" s="13">
        <f>IFERROR(CPA_DIA_MARZO[[#This Row],[VENTAS]]/CPA_DIA_MARZO[[#This Row],[CONVERSACIONES]],"")</f>
        <v>0</v>
      </c>
      <c r="M3" s="13" t="str">
        <f>IFERROR(IF(CPA_DIA_MARZO[[#This Row],[CPA]]="","",CPA_DIA_MARZO[[#This Row],[CPA]]*100%/CPA_DIA_MARZO[[#This Row],[TICKET PROMEDIO DE PRODUCTO ]]),"")</f>
        <v/>
      </c>
      <c r="N3" s="13">
        <f>IFERROR(IF(CPA_DIA_MARZO[[#This Row],[VENTAS]]="","",IF(CPA_DIA_MARZO[[#This Row],[VENTAS]]=0,100%,CPA_DIA_MARZO[[#This Row],[CPA]]/CPA_DIA_MARZO[[#This Row],[GANANCIA PROMEDIO]])),"")</f>
        <v>1</v>
      </c>
      <c r="O3" s="14">
        <f>IF(CPA_DIA_MARZO[[#This Row],[VENTAS]]=0,-(CPA_DIA_MARZO[[#This Row],[GASTO PUBLICIDAD]]),((CPA_DIA_MARZO[[#This Row],[GANANCIA PROMEDIO]]*CPA_DIA_MARZO[[#This Row],[VENTAS]])-CPA_DIA_MARZO[[#This Row],[GASTO PUBLICIDAD]])*0.75)</f>
        <v>-17910</v>
      </c>
    </row>
    <row r="4" spans="1:15" x14ac:dyDescent="0.25">
      <c r="A4" s="13" t="s">
        <v>14</v>
      </c>
      <c r="B4" s="23">
        <v>46083</v>
      </c>
      <c r="C4" s="17" t="s">
        <v>19</v>
      </c>
      <c r="D4" s="17" t="s">
        <v>20</v>
      </c>
      <c r="E4" s="12">
        <v>204982</v>
      </c>
      <c r="F4" s="11">
        <v>130</v>
      </c>
      <c r="G4" s="12">
        <v>1557200</v>
      </c>
      <c r="H4" s="12">
        <v>26922</v>
      </c>
      <c r="I4" s="11">
        <v>18</v>
      </c>
      <c r="J4" s="12">
        <f>IFERROR(IF(CPA_DIA_MARZO[[#This Row],[TOTAL FACTURADO]]="","",IF(CPA_DIA_MARZO[[#This Row],[TOTAL FACTURADO]]=0,0,CPA_DIA_MARZO[[#This Row],[TOTAL FACTURADO]]/CPA_DIA_MARZO[[#This Row],[VENTAS]])),"")</f>
        <v>86511.111111111109</v>
      </c>
      <c r="K4" s="12">
        <f>IFERROR(IF(CPA_DIA_MARZO[[#This Row],[VENTAS]]=0,"",CPA_DIA_MARZO[[#This Row],[GASTO PUBLICIDAD]]/CPA_DIA_MARZO[[#This Row],[VENTAS]]),"")</f>
        <v>11387.888888888889</v>
      </c>
      <c r="L4" s="13">
        <f>IFERROR(CPA_DIA_MARZO[[#This Row],[VENTAS]]/CPA_DIA_MARZO[[#This Row],[CONVERSACIONES]],"")</f>
        <v>0.13846153846153847</v>
      </c>
      <c r="M4" s="13">
        <f>IFERROR(IF(CPA_DIA_MARZO[[#This Row],[CPA]]="","",CPA_DIA_MARZO[[#This Row],[CPA]]*100%/CPA_DIA_MARZO[[#This Row],[TICKET PROMEDIO DE PRODUCTO ]]),"")</f>
        <v>0.13163498587207809</v>
      </c>
      <c r="N4" s="13">
        <f>IFERROR(IF(CPA_DIA_MARZO[[#This Row],[VENTAS]]="","",IF(CPA_DIA_MARZO[[#This Row],[VENTAS]]=0,100%,CPA_DIA_MARZO[[#This Row],[CPA]]/CPA_DIA_MARZO[[#This Row],[GANANCIA PROMEDIO]])),"")</f>
        <v>0.42299564998472955</v>
      </c>
      <c r="O4" s="14">
        <f>IF(CPA_DIA_MARZO[[#This Row],[VENTAS]]=0,-(CPA_DIA_MARZO[[#This Row],[GASTO PUBLICIDAD]]),((CPA_DIA_MARZO[[#This Row],[GANANCIA PROMEDIO]]*CPA_DIA_MARZO[[#This Row],[VENTAS]])-CPA_DIA_MARZO[[#This Row],[GASTO PUBLICIDAD]])*0.75)</f>
        <v>209710.5</v>
      </c>
    </row>
    <row r="5" spans="1:15" x14ac:dyDescent="0.25">
      <c r="A5" s="13" t="s">
        <v>14</v>
      </c>
      <c r="B5" s="24">
        <v>46083</v>
      </c>
      <c r="C5" s="11" t="s">
        <v>21</v>
      </c>
      <c r="D5" s="11" t="s">
        <v>22</v>
      </c>
      <c r="E5" s="12">
        <v>46265</v>
      </c>
      <c r="F5" s="11">
        <v>16</v>
      </c>
      <c r="G5" s="12">
        <v>294500</v>
      </c>
      <c r="H5" s="12">
        <v>25462</v>
      </c>
      <c r="I5" s="11">
        <v>5</v>
      </c>
      <c r="J5" s="12">
        <f>IFERROR(IF(CPA_DIA_MARZO[[#This Row],[TOTAL FACTURADO]]="","",IF(CPA_DIA_MARZO[[#This Row],[TOTAL FACTURADO]]=0,0,CPA_DIA_MARZO[[#This Row],[TOTAL FACTURADO]]/CPA_DIA_MARZO[[#This Row],[VENTAS]])),"")</f>
        <v>58900</v>
      </c>
      <c r="K5" s="12">
        <f>IFERROR(IF(CPA_DIA_MARZO[[#This Row],[VENTAS]]=0,"",CPA_DIA_MARZO[[#This Row],[GASTO PUBLICIDAD]]/CPA_DIA_MARZO[[#This Row],[VENTAS]]),"")</f>
        <v>9253</v>
      </c>
      <c r="L5" s="13">
        <f>IFERROR(CPA_DIA_MARZO[[#This Row],[VENTAS]]/CPA_DIA_MARZO[[#This Row],[CONVERSACIONES]],"")</f>
        <v>0.3125</v>
      </c>
      <c r="M5" s="13">
        <f>IFERROR(IF(CPA_DIA_MARZO[[#This Row],[CPA]]="","",CPA_DIA_MARZO[[#This Row],[CPA]]*100%/CPA_DIA_MARZO[[#This Row],[TICKET PROMEDIO DE PRODUCTO ]]),"")</f>
        <v>0.15709677419354839</v>
      </c>
      <c r="N5" s="13">
        <f>IFERROR(IF(CPA_DIA_MARZO[[#This Row],[VENTAS]]="","",IF(CPA_DIA_MARZO[[#This Row],[VENTAS]]=0,100%,CPA_DIA_MARZO[[#This Row],[CPA]]/CPA_DIA_MARZO[[#This Row],[GANANCIA PROMEDIO]])),"")</f>
        <v>0.36340428874401071</v>
      </c>
      <c r="O5" s="14">
        <f>IF(CPA_DIA_MARZO[[#This Row],[VENTAS]]=0,-(CPA_DIA_MARZO[[#This Row],[GASTO PUBLICIDAD]]),((CPA_DIA_MARZO[[#This Row],[GANANCIA PROMEDIO]]*CPA_DIA_MARZO[[#This Row],[VENTAS]])-CPA_DIA_MARZO[[#This Row],[GASTO PUBLICIDAD]])*0.75)</f>
        <v>60783.75</v>
      </c>
    </row>
    <row r="6" spans="1:15" x14ac:dyDescent="0.25">
      <c r="A6" s="13" t="s">
        <v>14</v>
      </c>
      <c r="B6" s="23">
        <v>46083</v>
      </c>
      <c r="C6" s="17" t="s">
        <v>23</v>
      </c>
      <c r="D6" s="17" t="s">
        <v>22</v>
      </c>
      <c r="E6" s="12">
        <v>35384</v>
      </c>
      <c r="F6" s="11">
        <v>26</v>
      </c>
      <c r="G6" s="12">
        <v>713900</v>
      </c>
      <c r="H6" s="12">
        <v>24927</v>
      </c>
      <c r="I6" s="11">
        <v>11</v>
      </c>
      <c r="J6" s="12">
        <f>IFERROR(IF(CPA_DIA_MARZO[[#This Row],[TOTAL FACTURADO]]="","",IF(CPA_DIA_MARZO[[#This Row],[TOTAL FACTURADO]]=0,0,CPA_DIA_MARZO[[#This Row],[TOTAL FACTURADO]]/CPA_DIA_MARZO[[#This Row],[VENTAS]])),"")</f>
        <v>64900</v>
      </c>
      <c r="K6" s="12">
        <f>IFERROR(IF(CPA_DIA_MARZO[[#This Row],[VENTAS]]=0,"",CPA_DIA_MARZO[[#This Row],[GASTO PUBLICIDAD]]/CPA_DIA_MARZO[[#This Row],[VENTAS]]),"")</f>
        <v>3216.7272727272725</v>
      </c>
      <c r="L6" s="13">
        <f>IFERROR(CPA_DIA_MARZO[[#This Row],[VENTAS]]/CPA_DIA_MARZO[[#This Row],[CONVERSACIONES]],"")</f>
        <v>0.42307692307692307</v>
      </c>
      <c r="M6" s="13">
        <f>IFERROR(IF(CPA_DIA_MARZO[[#This Row],[CPA]]="","",CPA_DIA_MARZO[[#This Row],[CPA]]*100%/CPA_DIA_MARZO[[#This Row],[TICKET PROMEDIO DE PRODUCTO ]]),"")</f>
        <v>4.9564364756968758E-2</v>
      </c>
      <c r="N6" s="13">
        <f>IFERROR(IF(CPA_DIA_MARZO[[#This Row],[VENTAS]]="","",IF(CPA_DIA_MARZO[[#This Row],[VENTAS]]=0,100%,CPA_DIA_MARZO[[#This Row],[CPA]]/CPA_DIA_MARZO[[#This Row],[GANANCIA PROMEDIO]])),"")</f>
        <v>0.12904590495154941</v>
      </c>
      <c r="O6" s="14">
        <f>IF(CPA_DIA_MARZO[[#This Row],[VENTAS]]=0,-(CPA_DIA_MARZO[[#This Row],[GASTO PUBLICIDAD]]),((CPA_DIA_MARZO[[#This Row],[GANANCIA PROMEDIO]]*CPA_DIA_MARZO[[#This Row],[VENTAS]])-CPA_DIA_MARZO[[#This Row],[GASTO PUBLICIDAD]])*0.75)</f>
        <v>179109.75</v>
      </c>
    </row>
    <row r="7" spans="1:15" x14ac:dyDescent="0.25">
      <c r="A7" s="13" t="s">
        <v>14</v>
      </c>
      <c r="B7" s="23">
        <v>46083</v>
      </c>
      <c r="C7" s="17" t="s">
        <v>24</v>
      </c>
      <c r="D7" s="17" t="s">
        <v>25</v>
      </c>
      <c r="E7" s="12">
        <v>44376</v>
      </c>
      <c r="F7" s="11">
        <v>11</v>
      </c>
      <c r="G7" s="12">
        <v>45900</v>
      </c>
      <c r="H7" s="12">
        <v>24900</v>
      </c>
      <c r="I7" s="11">
        <v>1</v>
      </c>
      <c r="J7" s="12">
        <f>IFERROR(IF(CPA_DIA_MARZO[[#This Row],[TOTAL FACTURADO]]="","",IF(CPA_DIA_MARZO[[#This Row],[TOTAL FACTURADO]]=0,0,CPA_DIA_MARZO[[#This Row],[TOTAL FACTURADO]]/CPA_DIA_MARZO[[#This Row],[VENTAS]])),"")</f>
        <v>45900</v>
      </c>
      <c r="K7" s="12">
        <f>IFERROR(IF(CPA_DIA_MARZO[[#This Row],[VENTAS]]=0,"",CPA_DIA_MARZO[[#This Row],[GASTO PUBLICIDAD]]/CPA_DIA_MARZO[[#This Row],[VENTAS]]),"")</f>
        <v>44376</v>
      </c>
      <c r="L7" s="13">
        <f>IFERROR(CPA_DIA_MARZO[[#This Row],[VENTAS]]/CPA_DIA_MARZO[[#This Row],[CONVERSACIONES]],"")</f>
        <v>9.0909090909090912E-2</v>
      </c>
      <c r="M7" s="13">
        <f>IFERROR(IF(CPA_DIA_MARZO[[#This Row],[CPA]]="","",CPA_DIA_MARZO[[#This Row],[CPA]]*100%/CPA_DIA_MARZO[[#This Row],[TICKET PROMEDIO DE PRODUCTO ]]),"")</f>
        <v>0.966797385620915</v>
      </c>
      <c r="N7" s="13">
        <f>IFERROR(IF(CPA_DIA_MARZO[[#This Row],[VENTAS]]="","",IF(CPA_DIA_MARZO[[#This Row],[VENTAS]]=0,100%,CPA_DIA_MARZO[[#This Row],[CPA]]/CPA_DIA_MARZO[[#This Row],[GANANCIA PROMEDIO]])),"")</f>
        <v>1.7821686746987953</v>
      </c>
      <c r="O7" s="14">
        <f>IF(CPA_DIA_MARZO[[#This Row],[VENTAS]]=0,-(CPA_DIA_MARZO[[#This Row],[GASTO PUBLICIDAD]]),((CPA_DIA_MARZO[[#This Row],[GANANCIA PROMEDIO]]*CPA_DIA_MARZO[[#This Row],[VENTAS]])-CPA_DIA_MARZO[[#This Row],[GASTO PUBLICIDAD]])*0.75)</f>
        <v>-14607</v>
      </c>
    </row>
    <row r="8" spans="1:15" x14ac:dyDescent="0.25">
      <c r="A8" s="13" t="s">
        <v>14</v>
      </c>
      <c r="B8" s="23">
        <v>46083</v>
      </c>
      <c r="C8" s="17" t="s">
        <v>26</v>
      </c>
      <c r="D8" s="17" t="s">
        <v>27</v>
      </c>
      <c r="E8" s="12">
        <v>34672</v>
      </c>
      <c r="F8" s="11">
        <v>18</v>
      </c>
      <c r="G8" s="12">
        <v>564300</v>
      </c>
      <c r="H8" s="12">
        <v>29202</v>
      </c>
      <c r="I8" s="11">
        <v>7</v>
      </c>
      <c r="J8" s="12">
        <f>IFERROR(IF(CPA_DIA_MARZO[[#This Row],[TOTAL FACTURADO]]="","",IF(CPA_DIA_MARZO[[#This Row],[TOTAL FACTURADO]]=0,0,CPA_DIA_MARZO[[#This Row],[TOTAL FACTURADO]]/CPA_DIA_MARZO[[#This Row],[VENTAS]])),"")</f>
        <v>80614.28571428571</v>
      </c>
      <c r="K8" s="12">
        <f>IFERROR(IF(CPA_DIA_MARZO[[#This Row],[VENTAS]]=0,"",CPA_DIA_MARZO[[#This Row],[GASTO PUBLICIDAD]]/CPA_DIA_MARZO[[#This Row],[VENTAS]]),"")</f>
        <v>4953.1428571428569</v>
      </c>
      <c r="L8" s="13">
        <f>IFERROR(CPA_DIA_MARZO[[#This Row],[VENTAS]]/CPA_DIA_MARZO[[#This Row],[CONVERSACIONES]],"")</f>
        <v>0.3888888888888889</v>
      </c>
      <c r="M8" s="13">
        <f>IFERROR(IF(CPA_DIA_MARZO[[#This Row],[CPA]]="","",CPA_DIA_MARZO[[#This Row],[CPA]]*100%/CPA_DIA_MARZO[[#This Row],[TICKET PROMEDIO DE PRODUCTO ]]),"")</f>
        <v>6.1442495126705653E-2</v>
      </c>
      <c r="N8" s="13">
        <f>IFERROR(IF(CPA_DIA_MARZO[[#This Row],[VENTAS]]="","",IF(CPA_DIA_MARZO[[#This Row],[VENTAS]]=0,100%,CPA_DIA_MARZO[[#This Row],[CPA]]/CPA_DIA_MARZO[[#This Row],[GANANCIA PROMEDIO]])),"")</f>
        <v>0.16961656246636728</v>
      </c>
      <c r="O8" s="14">
        <f>IF(CPA_DIA_MARZO[[#This Row],[VENTAS]]=0,-(CPA_DIA_MARZO[[#This Row],[GASTO PUBLICIDAD]]),((CPA_DIA_MARZO[[#This Row],[GANANCIA PROMEDIO]]*CPA_DIA_MARZO[[#This Row],[VENTAS]])-CPA_DIA_MARZO[[#This Row],[GASTO PUBLICIDAD]])*0.75)</f>
        <v>127306.5</v>
      </c>
    </row>
    <row r="9" spans="1:15" x14ac:dyDescent="0.25">
      <c r="A9" s="13" t="s">
        <v>14</v>
      </c>
      <c r="B9" s="23">
        <v>46083</v>
      </c>
      <c r="C9" s="17" t="s">
        <v>28</v>
      </c>
      <c r="D9" s="17" t="s">
        <v>29</v>
      </c>
      <c r="E9" s="12">
        <v>31215</v>
      </c>
      <c r="F9" s="11">
        <v>18</v>
      </c>
      <c r="G9" s="12">
        <v>434599</v>
      </c>
      <c r="H9" s="12">
        <v>29353</v>
      </c>
      <c r="I9" s="11">
        <v>4</v>
      </c>
      <c r="J9" s="12">
        <f>IFERROR(IF(CPA_DIA_MARZO[[#This Row],[TOTAL FACTURADO]]="","",IF(CPA_DIA_MARZO[[#This Row],[TOTAL FACTURADO]]=0,0,CPA_DIA_MARZO[[#This Row],[TOTAL FACTURADO]]/CPA_DIA_MARZO[[#This Row],[VENTAS]])),"")</f>
        <v>108649.75</v>
      </c>
      <c r="K9" s="12">
        <f>IFERROR(IF(CPA_DIA_MARZO[[#This Row],[VENTAS]]=0,"",CPA_DIA_MARZO[[#This Row],[GASTO PUBLICIDAD]]/CPA_DIA_MARZO[[#This Row],[VENTAS]]),"")</f>
        <v>7803.75</v>
      </c>
      <c r="L9" s="13">
        <f>IFERROR(CPA_DIA_MARZO[[#This Row],[VENTAS]]/CPA_DIA_MARZO[[#This Row],[CONVERSACIONES]],"")</f>
        <v>0.22222222222222221</v>
      </c>
      <c r="M9" s="13">
        <f>IFERROR(IF(CPA_DIA_MARZO[[#This Row],[CPA]]="","",CPA_DIA_MARZO[[#This Row],[CPA]]*100%/CPA_DIA_MARZO[[#This Row],[TICKET PROMEDIO DE PRODUCTO ]]),"")</f>
        <v>7.182483162639583E-2</v>
      </c>
      <c r="N9" s="13">
        <f>IFERROR(IF(CPA_DIA_MARZO[[#This Row],[VENTAS]]="","",IF(CPA_DIA_MARZO[[#This Row],[VENTAS]]=0,100%,CPA_DIA_MARZO[[#This Row],[CPA]]/CPA_DIA_MARZO[[#This Row],[GANANCIA PROMEDIO]])),"")</f>
        <v>0.26585868565393656</v>
      </c>
      <c r="O9" s="14">
        <f>IF(CPA_DIA_MARZO[[#This Row],[VENTAS]]=0,-(CPA_DIA_MARZO[[#This Row],[GASTO PUBLICIDAD]]),((CPA_DIA_MARZO[[#This Row],[GANANCIA PROMEDIO]]*CPA_DIA_MARZO[[#This Row],[VENTAS]])-CPA_DIA_MARZO[[#This Row],[GASTO PUBLICIDAD]])*0.75)</f>
        <v>64647.75</v>
      </c>
    </row>
    <row r="10" spans="1:15" x14ac:dyDescent="0.25">
      <c r="A10" s="13" t="s">
        <v>14</v>
      </c>
      <c r="B10" s="23">
        <v>46083</v>
      </c>
      <c r="C10" s="17" t="s">
        <v>30</v>
      </c>
      <c r="D10" s="17" t="s">
        <v>29</v>
      </c>
      <c r="E10" s="12">
        <v>31302</v>
      </c>
      <c r="F10" s="11">
        <v>35</v>
      </c>
      <c r="G10" s="12">
        <v>0</v>
      </c>
      <c r="H10" s="12">
        <v>0</v>
      </c>
      <c r="I10" s="11">
        <v>0</v>
      </c>
      <c r="J10" s="12">
        <f>IFERROR(IF(CPA_DIA_MARZO[[#This Row],[TOTAL FACTURADO]]="","",IF(CPA_DIA_MARZO[[#This Row],[TOTAL FACTURADO]]=0,0,CPA_DIA_MARZO[[#This Row],[TOTAL FACTURADO]]/CPA_DIA_MARZO[[#This Row],[VENTAS]])),"")</f>
        <v>0</v>
      </c>
      <c r="K10" s="12" t="str">
        <f>IFERROR(IF(CPA_DIA_MARZO[[#This Row],[VENTAS]]=0,"",CPA_DIA_MARZO[[#This Row],[GASTO PUBLICIDAD]]/CPA_DIA_MARZO[[#This Row],[VENTAS]]),"")</f>
        <v/>
      </c>
      <c r="L10" s="13">
        <f>IFERROR(CPA_DIA_MARZO[[#This Row],[VENTAS]]/CPA_DIA_MARZO[[#This Row],[CONVERSACIONES]],"")</f>
        <v>0</v>
      </c>
      <c r="M10" s="13" t="str">
        <f>IFERROR(IF(CPA_DIA_MARZO[[#This Row],[CPA]]="","",CPA_DIA_MARZO[[#This Row],[CPA]]*100%/CPA_DIA_MARZO[[#This Row],[TICKET PROMEDIO DE PRODUCTO ]]),"")</f>
        <v/>
      </c>
      <c r="N10" s="13">
        <f>IFERROR(IF(CPA_DIA_MARZO[[#This Row],[VENTAS]]="","",IF(CPA_DIA_MARZO[[#This Row],[VENTAS]]=0,100%,CPA_DIA_MARZO[[#This Row],[CPA]]/CPA_DIA_MARZO[[#This Row],[GANANCIA PROMEDIO]])),"")</f>
        <v>1</v>
      </c>
      <c r="O10" s="14">
        <f>IF(CPA_DIA_MARZO[[#This Row],[VENTAS]]=0,-(CPA_DIA_MARZO[[#This Row],[GASTO PUBLICIDAD]]),((CPA_DIA_MARZO[[#This Row],[GANANCIA PROMEDIO]]*CPA_DIA_MARZO[[#This Row],[VENTAS]])-CPA_DIA_MARZO[[#This Row],[GASTO PUBLICIDAD]])*0.75)</f>
        <v>-31302</v>
      </c>
    </row>
    <row r="11" spans="1:15" x14ac:dyDescent="0.25">
      <c r="A11" s="13" t="s">
        <v>14</v>
      </c>
      <c r="B11" s="23">
        <v>46083</v>
      </c>
      <c r="C11" s="17" t="s">
        <v>31</v>
      </c>
      <c r="D11" s="17" t="s">
        <v>32</v>
      </c>
      <c r="E11" s="12">
        <v>38772</v>
      </c>
      <c r="F11" s="11">
        <v>9</v>
      </c>
      <c r="G11" s="12">
        <v>54900</v>
      </c>
      <c r="H11" s="12">
        <v>20459</v>
      </c>
      <c r="I11" s="11">
        <v>1</v>
      </c>
      <c r="J11" s="12">
        <f>IFERROR(IF(CPA_DIA_MARZO[[#This Row],[TOTAL FACTURADO]]="","",IF(CPA_DIA_MARZO[[#This Row],[TOTAL FACTURADO]]=0,0,CPA_DIA_MARZO[[#This Row],[TOTAL FACTURADO]]/CPA_DIA_MARZO[[#This Row],[VENTAS]])),"")</f>
        <v>54900</v>
      </c>
      <c r="K11" s="12">
        <f>IFERROR(IF(CPA_DIA_MARZO[[#This Row],[VENTAS]]=0,"",CPA_DIA_MARZO[[#This Row],[GASTO PUBLICIDAD]]/CPA_DIA_MARZO[[#This Row],[VENTAS]]),"")</f>
        <v>38772</v>
      </c>
      <c r="L11" s="13">
        <f>IFERROR(CPA_DIA_MARZO[[#This Row],[VENTAS]]/CPA_DIA_MARZO[[#This Row],[CONVERSACIONES]],"")</f>
        <v>0.1111111111111111</v>
      </c>
      <c r="M11" s="13">
        <f>IFERROR(IF(CPA_DIA_MARZO[[#This Row],[CPA]]="","",CPA_DIA_MARZO[[#This Row],[CPA]]*100%/CPA_DIA_MARZO[[#This Row],[TICKET PROMEDIO DE PRODUCTO ]]),"")</f>
        <v>0.70622950819672126</v>
      </c>
      <c r="N11" s="13">
        <f>IFERROR(IF(CPA_DIA_MARZO[[#This Row],[VENTAS]]="","",IF(CPA_DIA_MARZO[[#This Row],[VENTAS]]=0,100%,CPA_DIA_MARZO[[#This Row],[CPA]]/CPA_DIA_MARZO[[#This Row],[GANANCIA PROMEDIO]])),"")</f>
        <v>1.8951072877462241</v>
      </c>
      <c r="O11" s="14">
        <f>IF(CPA_DIA_MARZO[[#This Row],[VENTAS]]=0,-(CPA_DIA_MARZO[[#This Row],[GASTO PUBLICIDAD]]),((CPA_DIA_MARZO[[#This Row],[GANANCIA PROMEDIO]]*CPA_DIA_MARZO[[#This Row],[VENTAS]])-CPA_DIA_MARZO[[#This Row],[GASTO PUBLICIDAD]])*0.75)</f>
        <v>-13734.75</v>
      </c>
    </row>
    <row r="12" spans="1:15" x14ac:dyDescent="0.25">
      <c r="A12" s="13" t="s">
        <v>14</v>
      </c>
      <c r="B12" s="23">
        <v>46083</v>
      </c>
      <c r="C12" s="17" t="s">
        <v>33</v>
      </c>
      <c r="D12" s="17" t="s">
        <v>32</v>
      </c>
      <c r="E12" s="12">
        <v>3927</v>
      </c>
      <c r="F12" s="11">
        <v>4</v>
      </c>
      <c r="G12" s="12">
        <v>0</v>
      </c>
      <c r="H12" s="12">
        <v>0</v>
      </c>
      <c r="I12" s="11">
        <v>0</v>
      </c>
      <c r="J12" s="12">
        <f>IFERROR(IF(CPA_DIA_MARZO[[#This Row],[TOTAL FACTURADO]]="","",IF(CPA_DIA_MARZO[[#This Row],[TOTAL FACTURADO]]=0,0,CPA_DIA_MARZO[[#This Row],[TOTAL FACTURADO]]/CPA_DIA_MARZO[[#This Row],[VENTAS]])),"")</f>
        <v>0</v>
      </c>
      <c r="K12" s="12" t="str">
        <f>IFERROR(IF(CPA_DIA_MARZO[[#This Row],[VENTAS]]=0,"",CPA_DIA_MARZO[[#This Row],[GASTO PUBLICIDAD]]/CPA_DIA_MARZO[[#This Row],[VENTAS]]),"")</f>
        <v/>
      </c>
      <c r="L12" s="13">
        <f>IFERROR(CPA_DIA_MARZO[[#This Row],[VENTAS]]/CPA_DIA_MARZO[[#This Row],[CONVERSACIONES]],"")</f>
        <v>0</v>
      </c>
      <c r="M12" s="13" t="str">
        <f>IFERROR(IF(CPA_DIA_MARZO[[#This Row],[CPA]]="","",CPA_DIA_MARZO[[#This Row],[CPA]]*100%/CPA_DIA_MARZO[[#This Row],[TICKET PROMEDIO DE PRODUCTO ]]),"")</f>
        <v/>
      </c>
      <c r="N12" s="13">
        <f>IFERROR(IF(CPA_DIA_MARZO[[#This Row],[VENTAS]]="","",IF(CPA_DIA_MARZO[[#This Row],[VENTAS]]=0,100%,CPA_DIA_MARZO[[#This Row],[CPA]]/CPA_DIA_MARZO[[#This Row],[GANANCIA PROMEDIO]])),"")</f>
        <v>1</v>
      </c>
      <c r="O12" s="14">
        <f>IF(CPA_DIA_MARZO[[#This Row],[VENTAS]]=0,-(CPA_DIA_MARZO[[#This Row],[GASTO PUBLICIDAD]]),((CPA_DIA_MARZO[[#This Row],[GANANCIA PROMEDIO]]*CPA_DIA_MARZO[[#This Row],[VENTAS]])-CPA_DIA_MARZO[[#This Row],[GASTO PUBLICIDAD]])*0.75)</f>
        <v>-3927</v>
      </c>
    </row>
    <row r="13" spans="1:15" x14ac:dyDescent="0.25">
      <c r="A13" s="13" t="s">
        <v>14</v>
      </c>
      <c r="B13" s="23">
        <v>46083</v>
      </c>
      <c r="C13" s="17" t="s">
        <v>34</v>
      </c>
      <c r="D13" s="17" t="s">
        <v>35</v>
      </c>
      <c r="E13" s="12">
        <v>57621</v>
      </c>
      <c r="F13" s="11">
        <v>48</v>
      </c>
      <c r="G13" s="12">
        <v>839000</v>
      </c>
      <c r="H13" s="12">
        <v>21705</v>
      </c>
      <c r="I13" s="11">
        <v>10</v>
      </c>
      <c r="J13" s="12">
        <f>IFERROR(IF(CPA_DIA_MARZO[[#This Row],[TOTAL FACTURADO]]="","",IF(CPA_DIA_MARZO[[#This Row],[TOTAL FACTURADO]]=0,0,CPA_DIA_MARZO[[#This Row],[TOTAL FACTURADO]]/CPA_DIA_MARZO[[#This Row],[VENTAS]])),"")</f>
        <v>83900</v>
      </c>
      <c r="K13" s="12">
        <f>IFERROR(IF(CPA_DIA_MARZO[[#This Row],[VENTAS]]=0,"",CPA_DIA_MARZO[[#This Row],[GASTO PUBLICIDAD]]/CPA_DIA_MARZO[[#This Row],[VENTAS]]),"")</f>
        <v>5762.1</v>
      </c>
      <c r="L13" s="13">
        <f>IFERROR(CPA_DIA_MARZO[[#This Row],[VENTAS]]/CPA_DIA_MARZO[[#This Row],[CONVERSACIONES]],"")</f>
        <v>0.20833333333333334</v>
      </c>
      <c r="M13" s="13">
        <f>IFERROR(IF(CPA_DIA_MARZO[[#This Row],[CPA]]="","",CPA_DIA_MARZO[[#This Row],[CPA]]*100%/CPA_DIA_MARZO[[#This Row],[TICKET PROMEDIO DE PRODUCTO ]]),"")</f>
        <v>6.8678188319427888E-2</v>
      </c>
      <c r="N13" s="13">
        <f>IFERROR(IF(CPA_DIA_MARZO[[#This Row],[VENTAS]]="","",IF(CPA_DIA_MARZO[[#This Row],[VENTAS]]=0,100%,CPA_DIA_MARZO[[#This Row],[CPA]]/CPA_DIA_MARZO[[#This Row],[GANANCIA PROMEDIO]])),"")</f>
        <v>0.26547339322736696</v>
      </c>
      <c r="O13" s="14">
        <f>IF(CPA_DIA_MARZO[[#This Row],[VENTAS]]=0,-(CPA_DIA_MARZO[[#This Row],[GASTO PUBLICIDAD]]),((CPA_DIA_MARZO[[#This Row],[GANANCIA PROMEDIO]]*CPA_DIA_MARZO[[#This Row],[VENTAS]])-CPA_DIA_MARZO[[#This Row],[GASTO PUBLICIDAD]])*0.75)</f>
        <v>119571.75</v>
      </c>
    </row>
    <row r="14" spans="1:15" x14ac:dyDescent="0.25">
      <c r="A14" s="25" t="s">
        <v>14</v>
      </c>
      <c r="B14" s="21">
        <v>46084</v>
      </c>
      <c r="C14" s="26" t="s">
        <v>15</v>
      </c>
      <c r="D14" s="26" t="s">
        <v>16</v>
      </c>
      <c r="E14" s="12">
        <v>115484</v>
      </c>
      <c r="F14" s="11">
        <v>48</v>
      </c>
      <c r="G14" s="12">
        <v>1138094</v>
      </c>
      <c r="H14" s="12">
        <v>18255</v>
      </c>
      <c r="I14" s="11">
        <v>19</v>
      </c>
      <c r="J14" s="12">
        <f>IFERROR(IF(CPA_DIA_MARZO[[#This Row],[TOTAL FACTURADO]]="","",IF(CPA_DIA_MARZO[[#This Row],[TOTAL FACTURADO]]=0,0,CPA_DIA_MARZO[[#This Row],[TOTAL FACTURADO]]/CPA_DIA_MARZO[[#This Row],[VENTAS]])),"")</f>
        <v>59899.684210526313</v>
      </c>
      <c r="K14" s="12">
        <f>IFERROR(IF(CPA_DIA_MARZO[[#This Row],[VENTAS]]=0,"",CPA_DIA_MARZO[[#This Row],[GASTO PUBLICIDAD]]/CPA_DIA_MARZO[[#This Row],[VENTAS]]),"")</f>
        <v>6078.105263157895</v>
      </c>
      <c r="L14" s="13">
        <f>IFERROR(CPA_DIA_MARZO[[#This Row],[VENTAS]]/CPA_DIA_MARZO[[#This Row],[CONVERSACIONES]],"")</f>
        <v>0.39583333333333331</v>
      </c>
      <c r="M14" s="13">
        <f>IFERROR(IF(CPA_DIA_MARZO[[#This Row],[CPA]]="","",CPA_DIA_MARZO[[#This Row],[CPA]]*100%/CPA_DIA_MARZO[[#This Row],[TICKET PROMEDIO DE PRODUCTO ]]),"")</f>
        <v>0.1014714074584349</v>
      </c>
      <c r="N14" s="13">
        <f>IFERROR(IF(CPA_DIA_MARZO[[#This Row],[VENTAS]]="","",IF(CPA_DIA_MARZO[[#This Row],[VENTAS]]=0,100%,CPA_DIA_MARZO[[#This Row],[CPA]]/CPA_DIA_MARZO[[#This Row],[GANANCIA PROMEDIO]])),"")</f>
        <v>0.33295564301056668</v>
      </c>
      <c r="O14" s="14">
        <f>IF(CPA_DIA_MARZO[[#This Row],[VENTAS]]=0,-(CPA_DIA_MARZO[[#This Row],[GASTO PUBLICIDAD]]),((CPA_DIA_MARZO[[#This Row],[GANANCIA PROMEDIO]]*CPA_DIA_MARZO[[#This Row],[VENTAS]])-CPA_DIA_MARZO[[#This Row],[GASTO PUBLICIDAD]])*0.75)</f>
        <v>173520.75</v>
      </c>
    </row>
    <row r="15" spans="1:15" x14ac:dyDescent="0.25">
      <c r="A15" s="13" t="s">
        <v>14</v>
      </c>
      <c r="B15" s="23">
        <v>46084</v>
      </c>
      <c r="C15" s="17" t="s">
        <v>17</v>
      </c>
      <c r="D15" s="17" t="s">
        <v>18</v>
      </c>
      <c r="E15" s="12">
        <v>8790</v>
      </c>
      <c r="F15" s="11">
        <v>1</v>
      </c>
      <c r="G15" s="12">
        <v>69900</v>
      </c>
      <c r="H15" s="12">
        <v>30344</v>
      </c>
      <c r="I15" s="11">
        <v>1</v>
      </c>
      <c r="J15" s="12">
        <f>IFERROR(IF(CPA_DIA_MARZO[[#This Row],[TOTAL FACTURADO]]="","",IF(CPA_DIA_MARZO[[#This Row],[TOTAL FACTURADO]]=0,0,CPA_DIA_MARZO[[#This Row],[TOTAL FACTURADO]]/CPA_DIA_MARZO[[#This Row],[VENTAS]])),"")</f>
        <v>69900</v>
      </c>
      <c r="K15" s="12">
        <f>IFERROR(IF(CPA_DIA_MARZO[[#This Row],[VENTAS]]=0,"",CPA_DIA_MARZO[[#This Row],[GASTO PUBLICIDAD]]/CPA_DIA_MARZO[[#This Row],[VENTAS]]),"")</f>
        <v>8790</v>
      </c>
      <c r="L15" s="13">
        <f>IFERROR(CPA_DIA_MARZO[[#This Row],[VENTAS]]/CPA_DIA_MARZO[[#This Row],[CONVERSACIONES]],"")</f>
        <v>1</v>
      </c>
      <c r="M15" s="13">
        <f>IFERROR(IF(CPA_DIA_MARZO[[#This Row],[CPA]]="","",CPA_DIA_MARZO[[#This Row],[CPA]]*100%/CPA_DIA_MARZO[[#This Row],[TICKET PROMEDIO DE PRODUCTO ]]),"")</f>
        <v>0.12575107296137339</v>
      </c>
      <c r="N15" s="13">
        <f>IFERROR(IF(CPA_DIA_MARZO[[#This Row],[VENTAS]]="","",IF(CPA_DIA_MARZO[[#This Row],[VENTAS]]=0,100%,CPA_DIA_MARZO[[#This Row],[CPA]]/CPA_DIA_MARZO[[#This Row],[GANANCIA PROMEDIO]])),"")</f>
        <v>0.28967835486422355</v>
      </c>
      <c r="O15" s="14">
        <f>IF(CPA_DIA_MARZO[[#This Row],[VENTAS]]=0,-(CPA_DIA_MARZO[[#This Row],[GASTO PUBLICIDAD]]),((CPA_DIA_MARZO[[#This Row],[GANANCIA PROMEDIO]]*CPA_DIA_MARZO[[#This Row],[VENTAS]])-CPA_DIA_MARZO[[#This Row],[GASTO PUBLICIDAD]])*0.75)</f>
        <v>16165.5</v>
      </c>
    </row>
    <row r="16" spans="1:15" x14ac:dyDescent="0.25">
      <c r="A16" s="13" t="s">
        <v>14</v>
      </c>
      <c r="B16" s="23">
        <v>46084</v>
      </c>
      <c r="C16" s="17" t="s">
        <v>19</v>
      </c>
      <c r="D16" s="17" t="s">
        <v>20</v>
      </c>
      <c r="E16" s="12">
        <v>203222</v>
      </c>
      <c r="F16" s="11">
        <v>136</v>
      </c>
      <c r="G16" s="12">
        <v>1470600</v>
      </c>
      <c r="H16" s="12">
        <v>27504</v>
      </c>
      <c r="I16" s="11">
        <v>15</v>
      </c>
      <c r="J16" s="12">
        <f>IFERROR(IF(CPA_DIA_MARZO[[#This Row],[TOTAL FACTURADO]]="","",IF(CPA_DIA_MARZO[[#This Row],[TOTAL FACTURADO]]=0,0,CPA_DIA_MARZO[[#This Row],[TOTAL FACTURADO]]/CPA_DIA_MARZO[[#This Row],[VENTAS]])),"")</f>
        <v>98040</v>
      </c>
      <c r="K16" s="12">
        <f>IFERROR(IF(CPA_DIA_MARZO[[#This Row],[VENTAS]]=0,"",CPA_DIA_MARZO[[#This Row],[GASTO PUBLICIDAD]]/CPA_DIA_MARZO[[#This Row],[VENTAS]]),"")</f>
        <v>13548.133333333333</v>
      </c>
      <c r="L16" s="13">
        <f>IFERROR(CPA_DIA_MARZO[[#This Row],[VENTAS]]/CPA_DIA_MARZO[[#This Row],[CONVERSACIONES]],"")</f>
        <v>0.11029411764705882</v>
      </c>
      <c r="M16" s="13">
        <f>IFERROR(IF(CPA_DIA_MARZO[[#This Row],[CPA]]="","",CPA_DIA_MARZO[[#This Row],[CPA]]*100%/CPA_DIA_MARZO[[#This Row],[TICKET PROMEDIO DE PRODUCTO ]]),"")</f>
        <v>0.13818985448116414</v>
      </c>
      <c r="N16" s="13">
        <f>IFERROR(IF(CPA_DIA_MARZO[[#This Row],[VENTAS]]="","",IF(CPA_DIA_MARZO[[#This Row],[VENTAS]]=0,100%,CPA_DIA_MARZO[[#This Row],[CPA]]/CPA_DIA_MARZO[[#This Row],[GANANCIA PROMEDIO]])),"")</f>
        <v>0.49258774481287571</v>
      </c>
      <c r="O16" s="14">
        <f>IF(CPA_DIA_MARZO[[#This Row],[VENTAS]]=0,-(CPA_DIA_MARZO[[#This Row],[GASTO PUBLICIDAD]]),((CPA_DIA_MARZO[[#This Row],[GANANCIA PROMEDIO]]*CPA_DIA_MARZO[[#This Row],[VENTAS]])-CPA_DIA_MARZO[[#This Row],[GASTO PUBLICIDAD]])*0.75)</f>
        <v>157003.5</v>
      </c>
    </row>
    <row r="17" spans="1:15" x14ac:dyDescent="0.25">
      <c r="A17" s="13" t="s">
        <v>14</v>
      </c>
      <c r="B17" s="23">
        <v>46084</v>
      </c>
      <c r="C17" s="17" t="s">
        <v>21</v>
      </c>
      <c r="D17" s="17" t="s">
        <v>22</v>
      </c>
      <c r="E17" s="12">
        <v>41934</v>
      </c>
      <c r="F17" s="11">
        <v>18</v>
      </c>
      <c r="G17" s="12">
        <v>214600</v>
      </c>
      <c r="H17" s="12">
        <v>22605</v>
      </c>
      <c r="I17" s="11">
        <v>4</v>
      </c>
      <c r="J17" s="12">
        <f>IFERROR(IF(CPA_DIA_MARZO[[#This Row],[TOTAL FACTURADO]]="","",IF(CPA_DIA_MARZO[[#This Row],[TOTAL FACTURADO]]=0,0,CPA_DIA_MARZO[[#This Row],[TOTAL FACTURADO]]/CPA_DIA_MARZO[[#This Row],[VENTAS]])),"")</f>
        <v>53650</v>
      </c>
      <c r="K17" s="12">
        <f>IFERROR(IF(CPA_DIA_MARZO[[#This Row],[VENTAS]]=0,"",CPA_DIA_MARZO[[#This Row],[GASTO PUBLICIDAD]]/CPA_DIA_MARZO[[#This Row],[VENTAS]]),"")</f>
        <v>10483.5</v>
      </c>
      <c r="L17" s="13">
        <f>IFERROR(CPA_DIA_MARZO[[#This Row],[VENTAS]]/CPA_DIA_MARZO[[#This Row],[CONVERSACIONES]],"")</f>
        <v>0.22222222222222221</v>
      </c>
      <c r="M17" s="13">
        <f>IFERROR(IF(CPA_DIA_MARZO[[#This Row],[CPA]]="","",CPA_DIA_MARZO[[#This Row],[CPA]]*100%/CPA_DIA_MARZO[[#This Row],[TICKET PROMEDIO DE PRODUCTO ]]),"")</f>
        <v>0.19540540540540541</v>
      </c>
      <c r="N17" s="13">
        <f>IFERROR(IF(CPA_DIA_MARZO[[#This Row],[VENTAS]]="","",IF(CPA_DIA_MARZO[[#This Row],[VENTAS]]=0,100%,CPA_DIA_MARZO[[#This Row],[CPA]]/CPA_DIA_MARZO[[#This Row],[GANANCIA PROMEDIO]])),"")</f>
        <v>0.46376907763769076</v>
      </c>
      <c r="O17" s="14">
        <f>IF(CPA_DIA_MARZO[[#This Row],[VENTAS]]=0,-(CPA_DIA_MARZO[[#This Row],[GASTO PUBLICIDAD]]),((CPA_DIA_MARZO[[#This Row],[GANANCIA PROMEDIO]]*CPA_DIA_MARZO[[#This Row],[VENTAS]])-CPA_DIA_MARZO[[#This Row],[GASTO PUBLICIDAD]])*0.75)</f>
        <v>36364.5</v>
      </c>
    </row>
    <row r="18" spans="1:15" x14ac:dyDescent="0.25">
      <c r="A18" s="13" t="s">
        <v>14</v>
      </c>
      <c r="B18" s="23">
        <v>46084</v>
      </c>
      <c r="C18" s="17" t="s">
        <v>23</v>
      </c>
      <c r="D18" s="17" t="s">
        <v>22</v>
      </c>
      <c r="E18" s="12">
        <v>26934</v>
      </c>
      <c r="F18" s="11">
        <v>29</v>
      </c>
      <c r="G18" s="12">
        <v>549100</v>
      </c>
      <c r="H18" s="12">
        <v>25219</v>
      </c>
      <c r="I18" s="11">
        <v>9</v>
      </c>
      <c r="J18" s="12">
        <f>IFERROR(IF(CPA_DIA_MARZO[[#This Row],[TOTAL FACTURADO]]="","",IF(CPA_DIA_MARZO[[#This Row],[TOTAL FACTURADO]]=0,0,CPA_DIA_MARZO[[#This Row],[TOTAL FACTURADO]]/CPA_DIA_MARZO[[#This Row],[VENTAS]])),"")</f>
        <v>61011.111111111109</v>
      </c>
      <c r="K18" s="12">
        <f>IFERROR(IF(CPA_DIA_MARZO[[#This Row],[VENTAS]]=0,"",CPA_DIA_MARZO[[#This Row],[GASTO PUBLICIDAD]]/CPA_DIA_MARZO[[#This Row],[VENTAS]]),"")</f>
        <v>2992.6666666666665</v>
      </c>
      <c r="L18" s="13">
        <f>IFERROR(CPA_DIA_MARZO[[#This Row],[VENTAS]]/CPA_DIA_MARZO[[#This Row],[CONVERSACIONES]],"")</f>
        <v>0.31034482758620691</v>
      </c>
      <c r="M18" s="13">
        <f>IFERROR(IF(CPA_DIA_MARZO[[#This Row],[CPA]]="","",CPA_DIA_MARZO[[#This Row],[CPA]]*100%/CPA_DIA_MARZO[[#This Row],[TICKET PROMEDIO DE PRODUCTO ]]),"")</f>
        <v>4.9051174649426335E-2</v>
      </c>
      <c r="N18" s="13">
        <f>IFERROR(IF(CPA_DIA_MARZO[[#This Row],[VENTAS]]="","",IF(CPA_DIA_MARZO[[#This Row],[VENTAS]]=0,100%,CPA_DIA_MARZO[[#This Row],[CPA]]/CPA_DIA_MARZO[[#This Row],[GANANCIA PROMEDIO]])),"")</f>
        <v>0.11866714249838084</v>
      </c>
      <c r="O18" s="14">
        <f>IF(CPA_DIA_MARZO[[#This Row],[VENTAS]]=0,-(CPA_DIA_MARZO[[#This Row],[GASTO PUBLICIDAD]]),((CPA_DIA_MARZO[[#This Row],[GANANCIA PROMEDIO]]*CPA_DIA_MARZO[[#This Row],[VENTAS]])-CPA_DIA_MARZO[[#This Row],[GASTO PUBLICIDAD]])*0.75)</f>
        <v>150027.75</v>
      </c>
    </row>
    <row r="19" spans="1:15" x14ac:dyDescent="0.25">
      <c r="A19" s="13" t="s">
        <v>14</v>
      </c>
      <c r="B19" s="23">
        <v>46084</v>
      </c>
      <c r="C19" s="17" t="s">
        <v>24</v>
      </c>
      <c r="D19" s="17" t="s">
        <v>25</v>
      </c>
      <c r="E19" s="12">
        <v>10273</v>
      </c>
      <c r="F19" s="11">
        <v>1</v>
      </c>
      <c r="G19" s="12">
        <v>45900</v>
      </c>
      <c r="H19" s="12">
        <v>14971</v>
      </c>
      <c r="I19" s="11">
        <v>1</v>
      </c>
      <c r="J19" s="12">
        <f>IFERROR(IF(CPA_DIA_MARZO[[#This Row],[TOTAL FACTURADO]]="","",IF(CPA_DIA_MARZO[[#This Row],[TOTAL FACTURADO]]=0,0,CPA_DIA_MARZO[[#This Row],[TOTAL FACTURADO]]/CPA_DIA_MARZO[[#This Row],[VENTAS]])),"")</f>
        <v>45900</v>
      </c>
      <c r="K19" s="12">
        <f>IFERROR(IF(CPA_DIA_MARZO[[#This Row],[VENTAS]]=0,"",CPA_DIA_MARZO[[#This Row],[GASTO PUBLICIDAD]]/CPA_DIA_MARZO[[#This Row],[VENTAS]]),"")</f>
        <v>10273</v>
      </c>
      <c r="L19" s="13">
        <f>IFERROR(CPA_DIA_MARZO[[#This Row],[VENTAS]]/CPA_DIA_MARZO[[#This Row],[CONVERSACIONES]],"")</f>
        <v>1</v>
      </c>
      <c r="M19" s="13">
        <f>IFERROR(IF(CPA_DIA_MARZO[[#This Row],[CPA]]="","",CPA_DIA_MARZO[[#This Row],[CPA]]*100%/CPA_DIA_MARZO[[#This Row],[TICKET PROMEDIO DE PRODUCTO ]]),"")</f>
        <v>0.22381263616557734</v>
      </c>
      <c r="N19" s="13">
        <f>IFERROR(IF(CPA_DIA_MARZO[[#This Row],[VENTAS]]="","",IF(CPA_DIA_MARZO[[#This Row],[VENTAS]]=0,100%,CPA_DIA_MARZO[[#This Row],[CPA]]/CPA_DIA_MARZO[[#This Row],[GANANCIA PROMEDIO]])),"")</f>
        <v>0.68619330706031656</v>
      </c>
      <c r="O19" s="14">
        <f>IF(CPA_DIA_MARZO[[#This Row],[VENTAS]]=0,-(CPA_DIA_MARZO[[#This Row],[GASTO PUBLICIDAD]]),((CPA_DIA_MARZO[[#This Row],[GANANCIA PROMEDIO]]*CPA_DIA_MARZO[[#This Row],[VENTAS]])-CPA_DIA_MARZO[[#This Row],[GASTO PUBLICIDAD]])*0.75)</f>
        <v>3523.5</v>
      </c>
    </row>
    <row r="20" spans="1:15" x14ac:dyDescent="0.25">
      <c r="A20" s="13" t="s">
        <v>14</v>
      </c>
      <c r="B20" s="23">
        <v>46084</v>
      </c>
      <c r="C20" s="17" t="s">
        <v>26</v>
      </c>
      <c r="D20" s="17" t="s">
        <v>27</v>
      </c>
      <c r="E20" s="12">
        <v>30974</v>
      </c>
      <c r="F20" s="11">
        <v>21</v>
      </c>
      <c r="G20" s="12">
        <v>394500</v>
      </c>
      <c r="H20" s="12">
        <v>27389</v>
      </c>
      <c r="I20" s="11">
        <v>5</v>
      </c>
      <c r="J20" s="12">
        <f>IFERROR(IF(CPA_DIA_MARZO[[#This Row],[TOTAL FACTURADO]]="","",IF(CPA_DIA_MARZO[[#This Row],[TOTAL FACTURADO]]=0,0,CPA_DIA_MARZO[[#This Row],[TOTAL FACTURADO]]/CPA_DIA_MARZO[[#This Row],[VENTAS]])),"")</f>
        <v>78900</v>
      </c>
      <c r="K20" s="12">
        <f>IFERROR(IF(CPA_DIA_MARZO[[#This Row],[VENTAS]]=0,"",CPA_DIA_MARZO[[#This Row],[GASTO PUBLICIDAD]]/CPA_DIA_MARZO[[#This Row],[VENTAS]]),"")</f>
        <v>6194.8</v>
      </c>
      <c r="L20" s="13">
        <f>IFERROR(CPA_DIA_MARZO[[#This Row],[VENTAS]]/CPA_DIA_MARZO[[#This Row],[CONVERSACIONES]],"")</f>
        <v>0.23809523809523808</v>
      </c>
      <c r="M20" s="13">
        <f>IFERROR(IF(CPA_DIA_MARZO[[#This Row],[CPA]]="","",CPA_DIA_MARZO[[#This Row],[CPA]]*100%/CPA_DIA_MARZO[[#This Row],[TICKET PROMEDIO DE PRODUCTO ]]),"")</f>
        <v>7.8514575411913812E-2</v>
      </c>
      <c r="N20" s="13">
        <f>IFERROR(IF(CPA_DIA_MARZO[[#This Row],[VENTAS]]="","",IF(CPA_DIA_MARZO[[#This Row],[VENTAS]]=0,100%,CPA_DIA_MARZO[[#This Row],[CPA]]/CPA_DIA_MARZO[[#This Row],[GANANCIA PROMEDIO]])),"")</f>
        <v>0.22617839278542481</v>
      </c>
      <c r="O20" s="14">
        <f>IF(CPA_DIA_MARZO[[#This Row],[VENTAS]]=0,-(CPA_DIA_MARZO[[#This Row],[GASTO PUBLICIDAD]]),((CPA_DIA_MARZO[[#This Row],[GANANCIA PROMEDIO]]*CPA_DIA_MARZO[[#This Row],[VENTAS]])-CPA_DIA_MARZO[[#This Row],[GASTO PUBLICIDAD]])*0.75)</f>
        <v>79478.25</v>
      </c>
    </row>
    <row r="21" spans="1:15" x14ac:dyDescent="0.25">
      <c r="A21" s="13" t="s">
        <v>14</v>
      </c>
      <c r="B21" s="23">
        <v>46084</v>
      </c>
      <c r="C21" s="17" t="s">
        <v>28</v>
      </c>
      <c r="D21" s="17" t="s">
        <v>29</v>
      </c>
      <c r="E21" s="12">
        <v>27418</v>
      </c>
      <c r="F21" s="11">
        <v>15</v>
      </c>
      <c r="G21" s="12">
        <v>139800</v>
      </c>
      <c r="H21" s="12">
        <v>22828</v>
      </c>
      <c r="I21" s="11">
        <v>2</v>
      </c>
      <c r="J21" s="12">
        <f>IFERROR(IF(CPA_DIA_MARZO[[#This Row],[TOTAL FACTURADO]]="","",IF(CPA_DIA_MARZO[[#This Row],[TOTAL FACTURADO]]=0,0,CPA_DIA_MARZO[[#This Row],[TOTAL FACTURADO]]/CPA_DIA_MARZO[[#This Row],[VENTAS]])),"")</f>
        <v>69900</v>
      </c>
      <c r="K21" s="12">
        <f>IFERROR(IF(CPA_DIA_MARZO[[#This Row],[VENTAS]]=0,"",CPA_DIA_MARZO[[#This Row],[GASTO PUBLICIDAD]]/CPA_DIA_MARZO[[#This Row],[VENTAS]]),"")</f>
        <v>13709</v>
      </c>
      <c r="L21" s="13">
        <f>IFERROR(CPA_DIA_MARZO[[#This Row],[VENTAS]]/CPA_DIA_MARZO[[#This Row],[CONVERSACIONES]],"")</f>
        <v>0.13333333333333333</v>
      </c>
      <c r="M21" s="13">
        <f>IFERROR(IF(CPA_DIA_MARZO[[#This Row],[CPA]]="","",CPA_DIA_MARZO[[#This Row],[CPA]]*100%/CPA_DIA_MARZO[[#This Row],[TICKET PROMEDIO DE PRODUCTO ]]),"")</f>
        <v>0.19612303290414879</v>
      </c>
      <c r="N21" s="13">
        <f>IFERROR(IF(CPA_DIA_MARZO[[#This Row],[VENTAS]]="","",IF(CPA_DIA_MARZO[[#This Row],[VENTAS]]=0,100%,CPA_DIA_MARZO[[#This Row],[CPA]]/CPA_DIA_MARZO[[#This Row],[GANANCIA PROMEDIO]])),"")</f>
        <v>0.60053443140003504</v>
      </c>
      <c r="O21" s="14">
        <f>IF(CPA_DIA_MARZO[[#This Row],[VENTAS]]=0,-(CPA_DIA_MARZO[[#This Row],[GASTO PUBLICIDAD]]),((CPA_DIA_MARZO[[#This Row],[GANANCIA PROMEDIO]]*CPA_DIA_MARZO[[#This Row],[VENTAS]])-CPA_DIA_MARZO[[#This Row],[GASTO PUBLICIDAD]])*0.75)</f>
        <v>13678.5</v>
      </c>
    </row>
    <row r="22" spans="1:15" x14ac:dyDescent="0.25">
      <c r="A22" s="13" t="s">
        <v>14</v>
      </c>
      <c r="B22" s="23">
        <v>46084</v>
      </c>
      <c r="C22" s="17" t="s">
        <v>30</v>
      </c>
      <c r="D22" s="17" t="s">
        <v>29</v>
      </c>
      <c r="E22" s="12">
        <v>26686</v>
      </c>
      <c r="F22" s="11">
        <v>30</v>
      </c>
      <c r="G22" s="12">
        <v>0</v>
      </c>
      <c r="H22" s="12">
        <v>0</v>
      </c>
      <c r="I22" s="11">
        <v>0</v>
      </c>
      <c r="J22" s="12">
        <f>IFERROR(IF(CPA_DIA_MARZO[[#This Row],[TOTAL FACTURADO]]="","",IF(CPA_DIA_MARZO[[#This Row],[TOTAL FACTURADO]]=0,0,CPA_DIA_MARZO[[#This Row],[TOTAL FACTURADO]]/CPA_DIA_MARZO[[#This Row],[VENTAS]])),"")</f>
        <v>0</v>
      </c>
      <c r="K22" s="12" t="str">
        <f>IFERROR(IF(CPA_DIA_MARZO[[#This Row],[VENTAS]]=0,"",CPA_DIA_MARZO[[#This Row],[GASTO PUBLICIDAD]]/CPA_DIA_MARZO[[#This Row],[VENTAS]]),"")</f>
        <v/>
      </c>
      <c r="L22" s="13">
        <f>IFERROR(CPA_DIA_MARZO[[#This Row],[VENTAS]]/CPA_DIA_MARZO[[#This Row],[CONVERSACIONES]],"")</f>
        <v>0</v>
      </c>
      <c r="M22" s="13" t="str">
        <f>IFERROR(IF(CPA_DIA_MARZO[[#This Row],[CPA]]="","",CPA_DIA_MARZO[[#This Row],[CPA]]*100%/CPA_DIA_MARZO[[#This Row],[TICKET PROMEDIO DE PRODUCTO ]]),"")</f>
        <v/>
      </c>
      <c r="N22" s="13">
        <f>IFERROR(IF(CPA_DIA_MARZO[[#This Row],[VENTAS]]="","",IF(CPA_DIA_MARZO[[#This Row],[VENTAS]]=0,100%,CPA_DIA_MARZO[[#This Row],[CPA]]/CPA_DIA_MARZO[[#This Row],[GANANCIA PROMEDIO]])),"")</f>
        <v>1</v>
      </c>
      <c r="O22" s="14">
        <f>IF(CPA_DIA_MARZO[[#This Row],[VENTAS]]=0,-(CPA_DIA_MARZO[[#This Row],[GASTO PUBLICIDAD]]),((CPA_DIA_MARZO[[#This Row],[GANANCIA PROMEDIO]]*CPA_DIA_MARZO[[#This Row],[VENTAS]])-CPA_DIA_MARZO[[#This Row],[GASTO PUBLICIDAD]])*0.75)</f>
        <v>-26686</v>
      </c>
    </row>
    <row r="23" spans="1:15" x14ac:dyDescent="0.25">
      <c r="A23" s="13" t="s">
        <v>14</v>
      </c>
      <c r="B23" s="23">
        <v>46084</v>
      </c>
      <c r="C23" s="17" t="s">
        <v>31</v>
      </c>
      <c r="D23" s="17" t="s">
        <v>32</v>
      </c>
      <c r="E23" s="12">
        <v>22356</v>
      </c>
      <c r="F23" s="11">
        <v>15</v>
      </c>
      <c r="G23" s="12">
        <v>69900</v>
      </c>
      <c r="H23" s="12">
        <v>28953</v>
      </c>
      <c r="I23" s="11">
        <v>1</v>
      </c>
      <c r="J23" s="12">
        <f>IFERROR(IF(CPA_DIA_MARZO[[#This Row],[TOTAL FACTURADO]]="","",IF(CPA_DIA_MARZO[[#This Row],[TOTAL FACTURADO]]=0,0,CPA_DIA_MARZO[[#This Row],[TOTAL FACTURADO]]/CPA_DIA_MARZO[[#This Row],[VENTAS]])),"")</f>
        <v>69900</v>
      </c>
      <c r="K23" s="12">
        <f>IFERROR(IF(CPA_DIA_MARZO[[#This Row],[VENTAS]]=0,"",CPA_DIA_MARZO[[#This Row],[GASTO PUBLICIDAD]]/CPA_DIA_MARZO[[#This Row],[VENTAS]]),"")</f>
        <v>22356</v>
      </c>
      <c r="L23" s="13">
        <f>IFERROR(CPA_DIA_MARZO[[#This Row],[VENTAS]]/CPA_DIA_MARZO[[#This Row],[CONVERSACIONES]],"")</f>
        <v>6.6666666666666666E-2</v>
      </c>
      <c r="M23" s="13">
        <f>IFERROR(IF(CPA_DIA_MARZO[[#This Row],[CPA]]="","",CPA_DIA_MARZO[[#This Row],[CPA]]*100%/CPA_DIA_MARZO[[#This Row],[TICKET PROMEDIO DE PRODUCTO ]]),"")</f>
        <v>0.31982832618025753</v>
      </c>
      <c r="N23" s="13">
        <f>IFERROR(IF(CPA_DIA_MARZO[[#This Row],[VENTAS]]="","",IF(CPA_DIA_MARZO[[#This Row],[VENTAS]]=0,100%,CPA_DIA_MARZO[[#This Row],[CPA]]/CPA_DIA_MARZO[[#This Row],[GANANCIA PROMEDIO]])),"")</f>
        <v>0.77214796394156049</v>
      </c>
      <c r="O23" s="14">
        <f>IF(CPA_DIA_MARZO[[#This Row],[VENTAS]]=0,-(CPA_DIA_MARZO[[#This Row],[GASTO PUBLICIDAD]]),((CPA_DIA_MARZO[[#This Row],[GANANCIA PROMEDIO]]*CPA_DIA_MARZO[[#This Row],[VENTAS]])-CPA_DIA_MARZO[[#This Row],[GASTO PUBLICIDAD]])*0.75)</f>
        <v>4947.75</v>
      </c>
    </row>
    <row r="24" spans="1:15" x14ac:dyDescent="0.25">
      <c r="A24" s="13" t="s">
        <v>14</v>
      </c>
      <c r="B24" s="23">
        <v>46084</v>
      </c>
      <c r="C24" s="17" t="s">
        <v>36</v>
      </c>
      <c r="D24" s="17" t="s">
        <v>32</v>
      </c>
      <c r="E24" s="12">
        <v>42744</v>
      </c>
      <c r="F24" s="11">
        <v>21</v>
      </c>
      <c r="G24" s="12">
        <v>479400</v>
      </c>
      <c r="H24" s="12">
        <v>33282</v>
      </c>
      <c r="I24" s="11">
        <v>6</v>
      </c>
      <c r="J24" s="12">
        <f>IFERROR(IF(CPA_DIA_MARZO[[#This Row],[TOTAL FACTURADO]]="","",IF(CPA_DIA_MARZO[[#This Row],[TOTAL FACTURADO]]=0,0,CPA_DIA_MARZO[[#This Row],[TOTAL FACTURADO]]/CPA_DIA_MARZO[[#This Row],[VENTAS]])),"")</f>
        <v>79900</v>
      </c>
      <c r="K24" s="12">
        <f>IFERROR(IF(CPA_DIA_MARZO[[#This Row],[VENTAS]]=0,"",CPA_DIA_MARZO[[#This Row],[GASTO PUBLICIDAD]]/CPA_DIA_MARZO[[#This Row],[VENTAS]]),"")</f>
        <v>7124</v>
      </c>
      <c r="L24" s="13">
        <f>IFERROR(CPA_DIA_MARZO[[#This Row],[VENTAS]]/CPA_DIA_MARZO[[#This Row],[CONVERSACIONES]],"")</f>
        <v>0.2857142857142857</v>
      </c>
      <c r="M24" s="13">
        <f>IFERROR(IF(CPA_DIA_MARZO[[#This Row],[CPA]]="","",CPA_DIA_MARZO[[#This Row],[CPA]]*100%/CPA_DIA_MARZO[[#This Row],[TICKET PROMEDIO DE PRODUCTO ]]),"")</f>
        <v>8.9161451814768464E-2</v>
      </c>
      <c r="N24" s="13">
        <f>IFERROR(IF(CPA_DIA_MARZO[[#This Row],[VENTAS]]="","",IF(CPA_DIA_MARZO[[#This Row],[VENTAS]]=0,100%,CPA_DIA_MARZO[[#This Row],[CPA]]/CPA_DIA_MARZO[[#This Row],[GANANCIA PROMEDIO]])),"")</f>
        <v>0.21404963644011779</v>
      </c>
      <c r="O24" s="14">
        <f>IF(CPA_DIA_MARZO[[#This Row],[VENTAS]]=0,-(CPA_DIA_MARZO[[#This Row],[GASTO PUBLICIDAD]]),((CPA_DIA_MARZO[[#This Row],[GANANCIA PROMEDIO]]*CPA_DIA_MARZO[[#This Row],[VENTAS]])-CPA_DIA_MARZO[[#This Row],[GASTO PUBLICIDAD]])*0.75)</f>
        <v>117711</v>
      </c>
    </row>
    <row r="25" spans="1:15" x14ac:dyDescent="0.25">
      <c r="A25" s="13" t="s">
        <v>14</v>
      </c>
      <c r="B25" s="23">
        <v>46084</v>
      </c>
      <c r="C25" s="17" t="s">
        <v>34</v>
      </c>
      <c r="D25" s="17" t="s">
        <v>35</v>
      </c>
      <c r="E25" s="12">
        <v>56622</v>
      </c>
      <c r="F25" s="11">
        <v>36</v>
      </c>
      <c r="G25" s="12">
        <v>654200</v>
      </c>
      <c r="H25" s="12">
        <v>18816</v>
      </c>
      <c r="I25" s="11">
        <v>8</v>
      </c>
      <c r="J25" s="12">
        <f>IFERROR(IF(CPA_DIA_MARZO[[#This Row],[TOTAL FACTURADO]]="","",IF(CPA_DIA_MARZO[[#This Row],[TOTAL FACTURADO]]=0,0,CPA_DIA_MARZO[[#This Row],[TOTAL FACTURADO]]/CPA_DIA_MARZO[[#This Row],[VENTAS]])),"")</f>
        <v>81775</v>
      </c>
      <c r="K25" s="12">
        <f>IFERROR(IF(CPA_DIA_MARZO[[#This Row],[VENTAS]]=0,"",CPA_DIA_MARZO[[#This Row],[GASTO PUBLICIDAD]]/CPA_DIA_MARZO[[#This Row],[VENTAS]]),"")</f>
        <v>7077.75</v>
      </c>
      <c r="L25" s="13">
        <f>IFERROR(CPA_DIA_MARZO[[#This Row],[VENTAS]]/CPA_DIA_MARZO[[#This Row],[CONVERSACIONES]],"")</f>
        <v>0.22222222222222221</v>
      </c>
      <c r="M25" s="13">
        <f>IFERROR(IF(CPA_DIA_MARZO[[#This Row],[CPA]]="","",CPA_DIA_MARZO[[#This Row],[CPA]]*100%/CPA_DIA_MARZO[[#This Row],[TICKET PROMEDIO DE PRODUCTO ]]),"")</f>
        <v>8.655151329868542E-2</v>
      </c>
      <c r="N25" s="13">
        <f>IFERROR(IF(CPA_DIA_MARZO[[#This Row],[VENTAS]]="","",IF(CPA_DIA_MARZO[[#This Row],[VENTAS]]=0,100%,CPA_DIA_MARZO[[#This Row],[CPA]]/CPA_DIA_MARZO[[#This Row],[GANANCIA PROMEDIO]])),"")</f>
        <v>0.37615593112244899</v>
      </c>
      <c r="O25" s="14">
        <f>IF(CPA_DIA_MARZO[[#This Row],[VENTAS]]=0,-(CPA_DIA_MARZO[[#This Row],[GASTO PUBLICIDAD]]),((CPA_DIA_MARZO[[#This Row],[GANANCIA PROMEDIO]]*CPA_DIA_MARZO[[#This Row],[VENTAS]])-CPA_DIA_MARZO[[#This Row],[GASTO PUBLICIDAD]])*0.75)</f>
        <v>70429.5</v>
      </c>
    </row>
    <row r="26" spans="1:15" x14ac:dyDescent="0.25">
      <c r="A26" s="25" t="s">
        <v>14</v>
      </c>
      <c r="B26" s="9">
        <v>46085</v>
      </c>
      <c r="C26" s="27" t="s">
        <v>15</v>
      </c>
      <c r="D26" s="27" t="s">
        <v>16</v>
      </c>
      <c r="E26" s="16">
        <v>106776</v>
      </c>
      <c r="F26" s="17">
        <v>32</v>
      </c>
      <c r="G26" s="16">
        <v>948400</v>
      </c>
      <c r="H26" s="16">
        <v>19575</v>
      </c>
      <c r="I26" s="17">
        <v>16</v>
      </c>
      <c r="J26" s="12">
        <f>IFERROR(IF(CPA_DIA_MARZO[[#This Row],[TOTAL FACTURADO]]="","",IF(CPA_DIA_MARZO[[#This Row],[TOTAL FACTURADO]]=0,0,CPA_DIA_MARZO[[#This Row],[TOTAL FACTURADO]]/CPA_DIA_MARZO[[#This Row],[VENTAS]])),"")</f>
        <v>59275</v>
      </c>
      <c r="K26" s="12">
        <f>IFERROR(IF(CPA_DIA_MARZO[[#This Row],[VENTAS]]=0,"",CPA_DIA_MARZO[[#This Row],[GASTO PUBLICIDAD]]/CPA_DIA_MARZO[[#This Row],[VENTAS]]),"")</f>
        <v>6673.5</v>
      </c>
      <c r="L26" s="13">
        <f>IFERROR(CPA_DIA_MARZO[[#This Row],[VENTAS]]/CPA_DIA_MARZO[[#This Row],[CONVERSACIONES]],"")</f>
        <v>0.5</v>
      </c>
      <c r="M26" s="13">
        <f>IFERROR(IF(CPA_DIA_MARZO[[#This Row],[CPA]]="","",CPA_DIA_MARZO[[#This Row],[CPA]]*100%/CPA_DIA_MARZO[[#This Row],[TICKET PROMEDIO DE PRODUCTO ]]),"")</f>
        <v>0.11258540700126529</v>
      </c>
      <c r="N26" s="13">
        <f>IFERROR(IF(CPA_DIA_MARZO[[#This Row],[VENTAS]]="","",IF(CPA_DIA_MARZO[[#This Row],[VENTAS]]=0,100%,CPA_DIA_MARZO[[#This Row],[CPA]]/CPA_DIA_MARZO[[#This Row],[GANANCIA PROMEDIO]])),"")</f>
        <v>0.34091954022988508</v>
      </c>
      <c r="O26" s="14">
        <f>IF(CPA_DIA_MARZO[[#This Row],[VENTAS]]=0,-(CPA_DIA_MARZO[[#This Row],[GASTO PUBLICIDAD]]),((CPA_DIA_MARZO[[#This Row],[GANANCIA PROMEDIO]]*CPA_DIA_MARZO[[#This Row],[VENTAS]])-CPA_DIA_MARZO[[#This Row],[GASTO PUBLICIDAD]])*0.75)</f>
        <v>154818</v>
      </c>
    </row>
    <row r="27" spans="1:15" x14ac:dyDescent="0.25">
      <c r="A27" s="13" t="s">
        <v>14</v>
      </c>
      <c r="B27" s="10">
        <v>46085</v>
      </c>
      <c r="C27" s="15" t="s">
        <v>17</v>
      </c>
      <c r="D27" s="15" t="s">
        <v>18</v>
      </c>
      <c r="E27" s="16">
        <v>8324</v>
      </c>
      <c r="F27" s="17">
        <v>4</v>
      </c>
      <c r="G27" s="16">
        <v>69900</v>
      </c>
      <c r="H27" s="16">
        <v>30344</v>
      </c>
      <c r="I27" s="17">
        <v>1</v>
      </c>
      <c r="J27" s="12">
        <f>IFERROR(IF(CPA_DIA_MARZO[[#This Row],[TOTAL FACTURADO]]="","",IF(CPA_DIA_MARZO[[#This Row],[TOTAL FACTURADO]]=0,0,CPA_DIA_MARZO[[#This Row],[TOTAL FACTURADO]]/CPA_DIA_MARZO[[#This Row],[VENTAS]])),"")</f>
        <v>69900</v>
      </c>
      <c r="K27" s="12">
        <f>IFERROR(IF(CPA_DIA_MARZO[[#This Row],[VENTAS]]=0,"",CPA_DIA_MARZO[[#This Row],[GASTO PUBLICIDAD]]/CPA_DIA_MARZO[[#This Row],[VENTAS]]),"")</f>
        <v>8324</v>
      </c>
      <c r="L27" s="13">
        <f>IFERROR(CPA_DIA_MARZO[[#This Row],[VENTAS]]/CPA_DIA_MARZO[[#This Row],[CONVERSACIONES]],"")</f>
        <v>0.25</v>
      </c>
      <c r="M27" s="13">
        <f>IFERROR(IF(CPA_DIA_MARZO[[#This Row],[CPA]]="","",CPA_DIA_MARZO[[#This Row],[CPA]]*100%/CPA_DIA_MARZO[[#This Row],[TICKET PROMEDIO DE PRODUCTO ]]),"")</f>
        <v>0.11908440629470672</v>
      </c>
      <c r="N27" s="13">
        <f>IFERROR(IF(CPA_DIA_MARZO[[#This Row],[VENTAS]]="","",IF(CPA_DIA_MARZO[[#This Row],[VENTAS]]=0,100%,CPA_DIA_MARZO[[#This Row],[CPA]]/CPA_DIA_MARZO[[#This Row],[GANANCIA PROMEDIO]])),"")</f>
        <v>0.27432111784866858</v>
      </c>
      <c r="O27" s="14">
        <f>IF(CPA_DIA_MARZO[[#This Row],[VENTAS]]=0,-(CPA_DIA_MARZO[[#This Row],[GASTO PUBLICIDAD]]),((CPA_DIA_MARZO[[#This Row],[GANANCIA PROMEDIO]]*CPA_DIA_MARZO[[#This Row],[VENTAS]])-CPA_DIA_MARZO[[#This Row],[GASTO PUBLICIDAD]])*0.75)</f>
        <v>16515</v>
      </c>
    </row>
    <row r="28" spans="1:15" x14ac:dyDescent="0.25">
      <c r="A28" s="13" t="s">
        <v>14</v>
      </c>
      <c r="B28" s="10">
        <v>46085</v>
      </c>
      <c r="C28" s="15" t="s">
        <v>19</v>
      </c>
      <c r="D28" s="15" t="s">
        <v>20</v>
      </c>
      <c r="E28" s="16">
        <v>201255</v>
      </c>
      <c r="F28" s="17">
        <v>155</v>
      </c>
      <c r="G28" s="16">
        <v>1019799</v>
      </c>
      <c r="H28" s="16">
        <v>26558</v>
      </c>
      <c r="I28" s="17">
        <v>12</v>
      </c>
      <c r="J28" s="12">
        <f>IFERROR(IF(CPA_DIA_MARZO[[#This Row],[TOTAL FACTURADO]]="","",IF(CPA_DIA_MARZO[[#This Row],[TOTAL FACTURADO]]=0,0,CPA_DIA_MARZO[[#This Row],[TOTAL FACTURADO]]/CPA_DIA_MARZO[[#This Row],[VENTAS]])),"")</f>
        <v>84983.25</v>
      </c>
      <c r="K28" s="12">
        <f>IFERROR(IF(CPA_DIA_MARZO[[#This Row],[VENTAS]]=0,"",CPA_DIA_MARZO[[#This Row],[GASTO PUBLICIDAD]]/CPA_DIA_MARZO[[#This Row],[VENTAS]]),"")</f>
        <v>16771.25</v>
      </c>
      <c r="L28" s="13">
        <f>IFERROR(CPA_DIA_MARZO[[#This Row],[VENTAS]]/CPA_DIA_MARZO[[#This Row],[CONVERSACIONES]],"")</f>
        <v>7.7419354838709681E-2</v>
      </c>
      <c r="M28" s="13">
        <f>IFERROR(IF(CPA_DIA_MARZO[[#This Row],[CPA]]="","",CPA_DIA_MARZO[[#This Row],[CPA]]*100%/CPA_DIA_MARZO[[#This Row],[TICKET PROMEDIO DE PRODUCTO ]]),"")</f>
        <v>0.19734771263749032</v>
      </c>
      <c r="N28" s="13">
        <f>IFERROR(IF(CPA_DIA_MARZO[[#This Row],[VENTAS]]="","",IF(CPA_DIA_MARZO[[#This Row],[VENTAS]]=0,100%,CPA_DIA_MARZO[[#This Row],[CPA]]/CPA_DIA_MARZO[[#This Row],[GANANCIA PROMEDIO]])),"")</f>
        <v>0.63149521801340458</v>
      </c>
      <c r="O28" s="14">
        <f>IF(CPA_DIA_MARZO[[#This Row],[VENTAS]]=0,-(CPA_DIA_MARZO[[#This Row],[GASTO PUBLICIDAD]]),((CPA_DIA_MARZO[[#This Row],[GANANCIA PROMEDIO]]*CPA_DIA_MARZO[[#This Row],[VENTAS]])-CPA_DIA_MARZO[[#This Row],[GASTO PUBLICIDAD]])*0.75)</f>
        <v>88080.75</v>
      </c>
    </row>
    <row r="29" spans="1:15" x14ac:dyDescent="0.25">
      <c r="A29" s="13" t="s">
        <v>14</v>
      </c>
      <c r="B29" s="10">
        <v>46085</v>
      </c>
      <c r="C29" s="15" t="s">
        <v>21</v>
      </c>
      <c r="D29" s="15" t="s">
        <v>22</v>
      </c>
      <c r="E29" s="16">
        <v>37931</v>
      </c>
      <c r="F29" s="17">
        <v>20</v>
      </c>
      <c r="G29" s="16">
        <v>501898</v>
      </c>
      <c r="H29" s="16">
        <v>36622</v>
      </c>
      <c r="I29" s="17">
        <v>6</v>
      </c>
      <c r="J29" s="12">
        <f>IFERROR(IF(CPA_DIA_MARZO[[#This Row],[TOTAL FACTURADO]]="","",IF(CPA_DIA_MARZO[[#This Row],[TOTAL FACTURADO]]=0,0,CPA_DIA_MARZO[[#This Row],[TOTAL FACTURADO]]/CPA_DIA_MARZO[[#This Row],[VENTAS]])),"")</f>
        <v>83649.666666666672</v>
      </c>
      <c r="K29" s="12">
        <f>IFERROR(IF(CPA_DIA_MARZO[[#This Row],[VENTAS]]=0,"",CPA_DIA_MARZO[[#This Row],[GASTO PUBLICIDAD]]/CPA_DIA_MARZO[[#This Row],[VENTAS]]),"")</f>
        <v>6321.833333333333</v>
      </c>
      <c r="L29" s="13">
        <f>IFERROR(CPA_DIA_MARZO[[#This Row],[VENTAS]]/CPA_DIA_MARZO[[#This Row],[CONVERSACIONES]],"")</f>
        <v>0.3</v>
      </c>
      <c r="M29" s="13">
        <f>IFERROR(IF(CPA_DIA_MARZO[[#This Row],[CPA]]="","",CPA_DIA_MARZO[[#This Row],[CPA]]*100%/CPA_DIA_MARZO[[#This Row],[TICKET PROMEDIO DE PRODUCTO ]]),"")</f>
        <v>7.5575116856413049E-2</v>
      </c>
      <c r="N29" s="13">
        <f>IFERROR(IF(CPA_DIA_MARZO[[#This Row],[VENTAS]]="","",IF(CPA_DIA_MARZO[[#This Row],[VENTAS]]=0,100%,CPA_DIA_MARZO[[#This Row],[CPA]]/CPA_DIA_MARZO[[#This Row],[GANANCIA PROMEDIO]])),"")</f>
        <v>0.17262392368885732</v>
      </c>
      <c r="O29" s="14">
        <f>IF(CPA_DIA_MARZO[[#This Row],[VENTAS]]=0,-(CPA_DIA_MARZO[[#This Row],[GASTO PUBLICIDAD]]),((CPA_DIA_MARZO[[#This Row],[GANANCIA PROMEDIO]]*CPA_DIA_MARZO[[#This Row],[VENTAS]])-CPA_DIA_MARZO[[#This Row],[GASTO PUBLICIDAD]])*0.75)</f>
        <v>136350.75</v>
      </c>
    </row>
    <row r="30" spans="1:15" x14ac:dyDescent="0.25">
      <c r="A30" s="13" t="s">
        <v>14</v>
      </c>
      <c r="B30" s="10">
        <v>46085</v>
      </c>
      <c r="C30" s="15" t="s">
        <v>23</v>
      </c>
      <c r="D30" s="15" t="s">
        <v>22</v>
      </c>
      <c r="E30" s="16">
        <v>29460</v>
      </c>
      <c r="F30" s="17">
        <v>21</v>
      </c>
      <c r="G30" s="16">
        <v>329500</v>
      </c>
      <c r="H30" s="16">
        <v>27098</v>
      </c>
      <c r="I30" s="17">
        <v>5</v>
      </c>
      <c r="J30" s="12">
        <f>IFERROR(IF(CPA_DIA_MARZO[[#This Row],[TOTAL FACTURADO]]="","",IF(CPA_DIA_MARZO[[#This Row],[TOTAL FACTURADO]]=0,0,CPA_DIA_MARZO[[#This Row],[TOTAL FACTURADO]]/CPA_DIA_MARZO[[#This Row],[VENTAS]])),"")</f>
        <v>65900</v>
      </c>
      <c r="K30" s="12">
        <f>IFERROR(IF(CPA_DIA_MARZO[[#This Row],[VENTAS]]=0,"",CPA_DIA_MARZO[[#This Row],[GASTO PUBLICIDAD]]/CPA_DIA_MARZO[[#This Row],[VENTAS]]),"")</f>
        <v>5892</v>
      </c>
      <c r="L30" s="13">
        <f>IFERROR(CPA_DIA_MARZO[[#This Row],[VENTAS]]/CPA_DIA_MARZO[[#This Row],[CONVERSACIONES]],"")</f>
        <v>0.23809523809523808</v>
      </c>
      <c r="M30" s="13">
        <f>IFERROR(IF(CPA_DIA_MARZO[[#This Row],[CPA]]="","",CPA_DIA_MARZO[[#This Row],[CPA]]*100%/CPA_DIA_MARZO[[#This Row],[TICKET PROMEDIO DE PRODUCTO ]]),"")</f>
        <v>8.9408194233687399E-2</v>
      </c>
      <c r="N30" s="13">
        <f>IFERROR(IF(CPA_DIA_MARZO[[#This Row],[VENTAS]]="","",IF(CPA_DIA_MARZO[[#This Row],[VENTAS]]=0,100%,CPA_DIA_MARZO[[#This Row],[CPA]]/CPA_DIA_MARZO[[#This Row],[GANANCIA PROMEDIO]])),"")</f>
        <v>0.21743302088715033</v>
      </c>
      <c r="O30" s="14">
        <f>IF(CPA_DIA_MARZO[[#This Row],[VENTAS]]=0,-(CPA_DIA_MARZO[[#This Row],[GASTO PUBLICIDAD]]),((CPA_DIA_MARZO[[#This Row],[GANANCIA PROMEDIO]]*CPA_DIA_MARZO[[#This Row],[VENTAS]])-CPA_DIA_MARZO[[#This Row],[GASTO PUBLICIDAD]])*0.75)</f>
        <v>79522.5</v>
      </c>
    </row>
    <row r="31" spans="1:15" x14ac:dyDescent="0.25">
      <c r="A31" s="13" t="s">
        <v>14</v>
      </c>
      <c r="B31" s="10">
        <v>46085</v>
      </c>
      <c r="C31" s="15" t="s">
        <v>26</v>
      </c>
      <c r="D31" s="15" t="s">
        <v>27</v>
      </c>
      <c r="E31" s="16">
        <v>29097</v>
      </c>
      <c r="F31" s="17">
        <v>10</v>
      </c>
      <c r="G31" s="16">
        <v>79900</v>
      </c>
      <c r="H31" s="16">
        <v>28344</v>
      </c>
      <c r="I31" s="17">
        <v>1</v>
      </c>
      <c r="J31" s="12">
        <f>IFERROR(IF(CPA_DIA_MARZO[[#This Row],[TOTAL FACTURADO]]="","",IF(CPA_DIA_MARZO[[#This Row],[TOTAL FACTURADO]]=0,0,CPA_DIA_MARZO[[#This Row],[TOTAL FACTURADO]]/CPA_DIA_MARZO[[#This Row],[VENTAS]])),"")</f>
        <v>79900</v>
      </c>
      <c r="K31" s="12">
        <f>IFERROR(IF(CPA_DIA_MARZO[[#This Row],[VENTAS]]=0,"",CPA_DIA_MARZO[[#This Row],[GASTO PUBLICIDAD]]/CPA_DIA_MARZO[[#This Row],[VENTAS]]),"")</f>
        <v>29097</v>
      </c>
      <c r="L31" s="13">
        <f>IFERROR(CPA_DIA_MARZO[[#This Row],[VENTAS]]/CPA_DIA_MARZO[[#This Row],[CONVERSACIONES]],"")</f>
        <v>0.1</v>
      </c>
      <c r="M31" s="13">
        <f>IFERROR(IF(CPA_DIA_MARZO[[#This Row],[CPA]]="","",CPA_DIA_MARZO[[#This Row],[CPA]]*100%/CPA_DIA_MARZO[[#This Row],[TICKET PROMEDIO DE PRODUCTO ]]),"")</f>
        <v>0.36416770963704631</v>
      </c>
      <c r="N31" s="13">
        <f>IFERROR(IF(CPA_DIA_MARZO[[#This Row],[VENTAS]]="","",IF(CPA_DIA_MARZO[[#This Row],[VENTAS]]=0,100%,CPA_DIA_MARZO[[#This Row],[CPA]]/CPA_DIA_MARZO[[#This Row],[GANANCIA PROMEDIO]])),"")</f>
        <v>1.0265664690939882</v>
      </c>
      <c r="O31" s="14">
        <f>IF(CPA_DIA_MARZO[[#This Row],[VENTAS]]=0,-(CPA_DIA_MARZO[[#This Row],[GASTO PUBLICIDAD]]),((CPA_DIA_MARZO[[#This Row],[GANANCIA PROMEDIO]]*CPA_DIA_MARZO[[#This Row],[VENTAS]])-CPA_DIA_MARZO[[#This Row],[GASTO PUBLICIDAD]])*0.75)</f>
        <v>-564.75</v>
      </c>
    </row>
    <row r="32" spans="1:15" x14ac:dyDescent="0.25">
      <c r="A32" s="13" t="s">
        <v>14</v>
      </c>
      <c r="B32" s="10">
        <v>46085</v>
      </c>
      <c r="C32" s="15" t="s">
        <v>28</v>
      </c>
      <c r="D32" s="15" t="s">
        <v>29</v>
      </c>
      <c r="E32" s="16">
        <v>30986</v>
      </c>
      <c r="F32" s="17">
        <v>30</v>
      </c>
      <c r="G32" s="16">
        <v>339600</v>
      </c>
      <c r="H32" s="16">
        <v>24224</v>
      </c>
      <c r="I32" s="17">
        <v>4</v>
      </c>
      <c r="J32" s="12">
        <f>IFERROR(IF(CPA_DIA_MARZO[[#This Row],[TOTAL FACTURADO]]="","",IF(CPA_DIA_MARZO[[#This Row],[TOTAL FACTURADO]]=0,0,CPA_DIA_MARZO[[#This Row],[TOTAL FACTURADO]]/CPA_DIA_MARZO[[#This Row],[VENTAS]])),"")</f>
        <v>84900</v>
      </c>
      <c r="K32" s="12">
        <f>IFERROR(IF(CPA_DIA_MARZO[[#This Row],[VENTAS]]=0,"",CPA_DIA_MARZO[[#This Row],[GASTO PUBLICIDAD]]/CPA_DIA_MARZO[[#This Row],[VENTAS]]),"")</f>
        <v>7746.5</v>
      </c>
      <c r="L32" s="13">
        <f>IFERROR(CPA_DIA_MARZO[[#This Row],[VENTAS]]/CPA_DIA_MARZO[[#This Row],[CONVERSACIONES]],"")</f>
        <v>0.13333333333333333</v>
      </c>
      <c r="M32" s="13">
        <f>IFERROR(IF(CPA_DIA_MARZO[[#This Row],[CPA]]="","",CPA_DIA_MARZO[[#This Row],[CPA]]*100%/CPA_DIA_MARZO[[#This Row],[TICKET PROMEDIO DE PRODUCTO ]]),"")</f>
        <v>9.124263839811543E-2</v>
      </c>
      <c r="N32" s="13">
        <f>IFERROR(IF(CPA_DIA_MARZO[[#This Row],[VENTAS]]="","",IF(CPA_DIA_MARZO[[#This Row],[VENTAS]]=0,100%,CPA_DIA_MARZO[[#This Row],[CPA]]/CPA_DIA_MARZO[[#This Row],[GANANCIA PROMEDIO]])),"")</f>
        <v>0.31978616248348746</v>
      </c>
      <c r="O32" s="14">
        <f>IF(CPA_DIA_MARZO[[#This Row],[VENTAS]]=0,-(CPA_DIA_MARZO[[#This Row],[GASTO PUBLICIDAD]]),((CPA_DIA_MARZO[[#This Row],[GANANCIA PROMEDIO]]*CPA_DIA_MARZO[[#This Row],[VENTAS]])-CPA_DIA_MARZO[[#This Row],[GASTO PUBLICIDAD]])*0.75)</f>
        <v>49432.5</v>
      </c>
    </row>
    <row r="33" spans="1:15" x14ac:dyDescent="0.25">
      <c r="A33" s="13" t="s">
        <v>14</v>
      </c>
      <c r="B33" s="10">
        <v>46085</v>
      </c>
      <c r="C33" s="15" t="s">
        <v>30</v>
      </c>
      <c r="D33" s="15" t="s">
        <v>29</v>
      </c>
      <c r="E33" s="16">
        <v>30271</v>
      </c>
      <c r="F33" s="17">
        <v>35</v>
      </c>
      <c r="G33" s="16">
        <v>139800</v>
      </c>
      <c r="H33" s="16">
        <v>42199</v>
      </c>
      <c r="I33" s="17">
        <v>2</v>
      </c>
      <c r="J33" s="12">
        <f>IFERROR(IF(CPA_DIA_MARZO[[#This Row],[TOTAL FACTURADO]]="","",IF(CPA_DIA_MARZO[[#This Row],[TOTAL FACTURADO]]=0,0,CPA_DIA_MARZO[[#This Row],[TOTAL FACTURADO]]/CPA_DIA_MARZO[[#This Row],[VENTAS]])),"")</f>
        <v>69900</v>
      </c>
      <c r="K33" s="12">
        <f>IFERROR(IF(CPA_DIA_MARZO[[#This Row],[VENTAS]]=0,"",CPA_DIA_MARZO[[#This Row],[GASTO PUBLICIDAD]]/CPA_DIA_MARZO[[#This Row],[VENTAS]]),"")</f>
        <v>15135.5</v>
      </c>
      <c r="L33" s="13">
        <f>IFERROR(CPA_DIA_MARZO[[#This Row],[VENTAS]]/CPA_DIA_MARZO[[#This Row],[CONVERSACIONES]],"")</f>
        <v>5.7142857142857141E-2</v>
      </c>
      <c r="M33" s="13">
        <f>IFERROR(IF(CPA_DIA_MARZO[[#This Row],[CPA]]="","",CPA_DIA_MARZO[[#This Row],[CPA]]*100%/CPA_DIA_MARZO[[#This Row],[TICKET PROMEDIO DE PRODUCTO ]]),"")</f>
        <v>0.21653075822603721</v>
      </c>
      <c r="N33" s="13">
        <f>IFERROR(IF(CPA_DIA_MARZO[[#This Row],[VENTAS]]="","",IF(CPA_DIA_MARZO[[#This Row],[VENTAS]]=0,100%,CPA_DIA_MARZO[[#This Row],[CPA]]/CPA_DIA_MARZO[[#This Row],[GANANCIA PROMEDIO]])),"")</f>
        <v>0.3586696367212493</v>
      </c>
      <c r="O33" s="14">
        <f>IF(CPA_DIA_MARZO[[#This Row],[VENTAS]]=0,-(CPA_DIA_MARZO[[#This Row],[GASTO PUBLICIDAD]]),((CPA_DIA_MARZO[[#This Row],[GANANCIA PROMEDIO]]*CPA_DIA_MARZO[[#This Row],[VENTAS]])-CPA_DIA_MARZO[[#This Row],[GASTO PUBLICIDAD]])*0.75)</f>
        <v>40595.25</v>
      </c>
    </row>
    <row r="34" spans="1:15" x14ac:dyDescent="0.25">
      <c r="A34" s="13" t="s">
        <v>14</v>
      </c>
      <c r="B34" s="10">
        <v>46085</v>
      </c>
      <c r="C34" s="15" t="s">
        <v>31</v>
      </c>
      <c r="D34" s="15" t="s">
        <v>32</v>
      </c>
      <c r="E34" s="16">
        <v>23212</v>
      </c>
      <c r="F34" s="17">
        <v>11</v>
      </c>
      <c r="G34" s="16">
        <v>254600</v>
      </c>
      <c r="H34" s="16">
        <v>21315</v>
      </c>
      <c r="I34" s="17">
        <v>4</v>
      </c>
      <c r="J34" s="12">
        <f>IFERROR(IF(CPA_DIA_MARZO[[#This Row],[TOTAL FACTURADO]]="","",IF(CPA_DIA_MARZO[[#This Row],[TOTAL FACTURADO]]=0,0,CPA_DIA_MARZO[[#This Row],[TOTAL FACTURADO]]/CPA_DIA_MARZO[[#This Row],[VENTAS]])),"")</f>
        <v>63650</v>
      </c>
      <c r="K34" s="12">
        <f>IFERROR(IF(CPA_DIA_MARZO[[#This Row],[VENTAS]]=0,"",CPA_DIA_MARZO[[#This Row],[GASTO PUBLICIDAD]]/CPA_DIA_MARZO[[#This Row],[VENTAS]]),"")</f>
        <v>5803</v>
      </c>
      <c r="L34" s="13">
        <f>IFERROR(CPA_DIA_MARZO[[#This Row],[VENTAS]]/CPA_DIA_MARZO[[#This Row],[CONVERSACIONES]],"")</f>
        <v>0.36363636363636365</v>
      </c>
      <c r="M34" s="13">
        <f>IFERROR(IF(CPA_DIA_MARZO[[#This Row],[CPA]]="","",CPA_DIA_MARZO[[#This Row],[CPA]]*100%/CPA_DIA_MARZO[[#This Row],[TICKET PROMEDIO DE PRODUCTO ]]),"")</f>
        <v>9.117046347211312E-2</v>
      </c>
      <c r="N34" s="13">
        <f>IFERROR(IF(CPA_DIA_MARZO[[#This Row],[VENTAS]]="","",IF(CPA_DIA_MARZO[[#This Row],[VENTAS]]=0,100%,CPA_DIA_MARZO[[#This Row],[CPA]]/CPA_DIA_MARZO[[#This Row],[GANANCIA PROMEDIO]])),"")</f>
        <v>0.27224958949096878</v>
      </c>
      <c r="O34" s="14">
        <f>IF(CPA_DIA_MARZO[[#This Row],[VENTAS]]=0,-(CPA_DIA_MARZO[[#This Row],[GASTO PUBLICIDAD]]),((CPA_DIA_MARZO[[#This Row],[GANANCIA PROMEDIO]]*CPA_DIA_MARZO[[#This Row],[VENTAS]])-CPA_DIA_MARZO[[#This Row],[GASTO PUBLICIDAD]])*0.75)</f>
        <v>46536</v>
      </c>
    </row>
    <row r="35" spans="1:15" x14ac:dyDescent="0.25">
      <c r="A35" s="13" t="s">
        <v>14</v>
      </c>
      <c r="B35" s="10">
        <v>46085</v>
      </c>
      <c r="C35" s="15" t="s">
        <v>36</v>
      </c>
      <c r="D35" s="15" t="s">
        <v>32</v>
      </c>
      <c r="E35" s="16">
        <v>39871</v>
      </c>
      <c r="F35" s="17">
        <v>13</v>
      </c>
      <c r="G35" s="16">
        <v>239700</v>
      </c>
      <c r="H35" s="16">
        <v>32067</v>
      </c>
      <c r="I35" s="17">
        <v>3</v>
      </c>
      <c r="J35" s="12">
        <f>IFERROR(IF(CPA_DIA_MARZO[[#This Row],[TOTAL FACTURADO]]="","",IF(CPA_DIA_MARZO[[#This Row],[TOTAL FACTURADO]]=0,0,CPA_DIA_MARZO[[#This Row],[TOTAL FACTURADO]]/CPA_DIA_MARZO[[#This Row],[VENTAS]])),"")</f>
        <v>79900</v>
      </c>
      <c r="K35" s="12">
        <f>IFERROR(IF(CPA_DIA_MARZO[[#This Row],[VENTAS]]=0,"",CPA_DIA_MARZO[[#This Row],[GASTO PUBLICIDAD]]/CPA_DIA_MARZO[[#This Row],[VENTAS]]),"")</f>
        <v>13290.333333333334</v>
      </c>
      <c r="L35" s="13">
        <f>IFERROR(CPA_DIA_MARZO[[#This Row],[VENTAS]]/CPA_DIA_MARZO[[#This Row],[CONVERSACIONES]],"")</f>
        <v>0.23076923076923078</v>
      </c>
      <c r="M35" s="13">
        <f>IFERROR(IF(CPA_DIA_MARZO[[#This Row],[CPA]]="","",CPA_DIA_MARZO[[#This Row],[CPA]]*100%/CPA_DIA_MARZO[[#This Row],[TICKET PROMEDIO DE PRODUCTO ]]),"")</f>
        <v>0.16633708802670005</v>
      </c>
      <c r="N35" s="13">
        <f>IFERROR(IF(CPA_DIA_MARZO[[#This Row],[VENTAS]]="","",IF(CPA_DIA_MARZO[[#This Row],[VENTAS]]=0,100%,CPA_DIA_MARZO[[#This Row],[CPA]]/CPA_DIA_MARZO[[#This Row],[GANANCIA PROMEDIO]])),"")</f>
        <v>0.41445515119385457</v>
      </c>
      <c r="O35" s="14">
        <f>IF(CPA_DIA_MARZO[[#This Row],[VENTAS]]=0,-(CPA_DIA_MARZO[[#This Row],[GASTO PUBLICIDAD]]),((CPA_DIA_MARZO[[#This Row],[GANANCIA PROMEDIO]]*CPA_DIA_MARZO[[#This Row],[VENTAS]])-CPA_DIA_MARZO[[#This Row],[GASTO PUBLICIDAD]])*0.75)</f>
        <v>42247.5</v>
      </c>
    </row>
    <row r="36" spans="1:15" x14ac:dyDescent="0.25">
      <c r="A36" s="13" t="s">
        <v>14</v>
      </c>
      <c r="B36" s="10">
        <v>46085</v>
      </c>
      <c r="C36" s="15" t="s">
        <v>34</v>
      </c>
      <c r="D36" s="15" t="s">
        <v>35</v>
      </c>
      <c r="E36" s="16">
        <v>47766</v>
      </c>
      <c r="F36" s="17">
        <v>24</v>
      </c>
      <c r="G36" s="16">
        <v>504300</v>
      </c>
      <c r="H36" s="16">
        <v>18512</v>
      </c>
      <c r="I36" s="17">
        <v>7</v>
      </c>
      <c r="J36" s="12">
        <f>IFERROR(IF(CPA_DIA_MARZO[[#This Row],[TOTAL FACTURADO]]="","",IF(CPA_DIA_MARZO[[#This Row],[TOTAL FACTURADO]]=0,0,CPA_DIA_MARZO[[#This Row],[TOTAL FACTURADO]]/CPA_DIA_MARZO[[#This Row],[VENTAS]])),"")</f>
        <v>72042.857142857145</v>
      </c>
      <c r="K36" s="12">
        <f>IFERROR(IF(CPA_DIA_MARZO[[#This Row],[VENTAS]]=0,"",CPA_DIA_MARZO[[#This Row],[GASTO PUBLICIDAD]]/CPA_DIA_MARZO[[#This Row],[VENTAS]]),"")</f>
        <v>6823.7142857142853</v>
      </c>
      <c r="L36" s="13">
        <f>IFERROR(CPA_DIA_MARZO[[#This Row],[VENTAS]]/CPA_DIA_MARZO[[#This Row],[CONVERSACIONES]],"")</f>
        <v>0.29166666666666669</v>
      </c>
      <c r="M36" s="13">
        <f>IFERROR(IF(CPA_DIA_MARZO[[#This Row],[CPA]]="","",CPA_DIA_MARZO[[#This Row],[CPA]]*100%/CPA_DIA_MARZO[[#This Row],[TICKET PROMEDIO DE PRODUCTO ]]),"")</f>
        <v>9.4717430101130276E-2</v>
      </c>
      <c r="N36" s="13">
        <f>IFERROR(IF(CPA_DIA_MARZO[[#This Row],[VENTAS]]="","",IF(CPA_DIA_MARZO[[#This Row],[VENTAS]]=0,100%,CPA_DIA_MARZO[[#This Row],[CPA]]/CPA_DIA_MARZO[[#This Row],[GANANCIA PROMEDIO]])),"")</f>
        <v>0.36861032226200763</v>
      </c>
      <c r="O36" s="14">
        <f>IF(CPA_DIA_MARZO[[#This Row],[VENTAS]]=0,-(CPA_DIA_MARZO[[#This Row],[GASTO PUBLICIDAD]]),((CPA_DIA_MARZO[[#This Row],[GANANCIA PROMEDIO]]*CPA_DIA_MARZO[[#This Row],[VENTAS]])-CPA_DIA_MARZO[[#This Row],[GASTO PUBLICIDAD]])*0.75)</f>
        <v>61363.5</v>
      </c>
    </row>
    <row r="37" spans="1:15" x14ac:dyDescent="0.25">
      <c r="A37" s="25" t="s">
        <v>14</v>
      </c>
      <c r="B37" s="9">
        <v>46086</v>
      </c>
      <c r="C37" s="27" t="s">
        <v>15</v>
      </c>
      <c r="D37" s="27" t="s">
        <v>16</v>
      </c>
      <c r="E37" s="16">
        <v>111783</v>
      </c>
      <c r="F37" s="17">
        <v>43</v>
      </c>
      <c r="G37" s="16">
        <v>1148101</v>
      </c>
      <c r="H37" s="16">
        <v>19093</v>
      </c>
      <c r="I37" s="17">
        <v>19</v>
      </c>
      <c r="J37" s="16">
        <f>IFERROR(IF(CPA_DIA_MARZO[[#This Row],[TOTAL FACTURADO]]="","",IF(CPA_DIA_MARZO[[#This Row],[TOTAL FACTURADO]]=0,0,CPA_DIA_MARZO[[#This Row],[TOTAL FACTURADO]]/CPA_DIA_MARZO[[#This Row],[VENTAS]])),"")</f>
        <v>60426.368421052633</v>
      </c>
      <c r="K37" s="16">
        <f>IFERROR(IF(CPA_DIA_MARZO[[#This Row],[VENTAS]]=0,"",CPA_DIA_MARZO[[#This Row],[GASTO PUBLICIDAD]]/CPA_DIA_MARZO[[#This Row],[VENTAS]]),"")</f>
        <v>5883.3157894736842</v>
      </c>
      <c r="L37" s="18">
        <f>IFERROR(CPA_DIA_MARZO[[#This Row],[VENTAS]]/CPA_DIA_MARZO[[#This Row],[CONVERSACIONES]],"")</f>
        <v>0.44186046511627908</v>
      </c>
      <c r="M37" s="18">
        <f>IFERROR(IF(CPA_DIA_MARZO[[#This Row],[CPA]]="","",CPA_DIA_MARZO[[#This Row],[CPA]]*100%/CPA_DIA_MARZO[[#This Row],[TICKET PROMEDIO DE PRODUCTO ]]),"")</f>
        <v>9.7363385277079273E-2</v>
      </c>
      <c r="N37" s="18">
        <f>IFERROR(IF(CPA_DIA_MARZO[[#This Row],[VENTAS]]="","",IF(CPA_DIA_MARZO[[#This Row],[VENTAS]]=0,100%,CPA_DIA_MARZO[[#This Row],[CPA]]/CPA_DIA_MARZO[[#This Row],[GANANCIA PROMEDIO]])),"")</f>
        <v>0.30813993555091834</v>
      </c>
      <c r="O37" s="14">
        <f>IF(CPA_DIA_MARZO[[#This Row],[VENTAS]]=0,-(CPA_DIA_MARZO[[#This Row],[GASTO PUBLICIDAD]]),((CPA_DIA_MARZO[[#This Row],[GANANCIA PROMEDIO]]*CPA_DIA_MARZO[[#This Row],[VENTAS]])-CPA_DIA_MARZO[[#This Row],[GASTO PUBLICIDAD]])*0.75)</f>
        <v>188238</v>
      </c>
    </row>
    <row r="38" spans="1:15" x14ac:dyDescent="0.25">
      <c r="A38" s="13" t="s">
        <v>14</v>
      </c>
      <c r="B38" s="10">
        <v>46086</v>
      </c>
      <c r="C38" s="15" t="s">
        <v>17</v>
      </c>
      <c r="D38" s="15" t="s">
        <v>18</v>
      </c>
      <c r="E38" s="12">
        <v>13521</v>
      </c>
      <c r="F38" s="11">
        <v>2</v>
      </c>
      <c r="G38" s="12">
        <v>134800</v>
      </c>
      <c r="H38" s="12">
        <v>31531</v>
      </c>
      <c r="I38" s="11">
        <v>2</v>
      </c>
      <c r="J38" s="12">
        <f>IFERROR(IF(CPA_DIA_MARZO[[#This Row],[TOTAL FACTURADO]]="","",IF(CPA_DIA_MARZO[[#This Row],[TOTAL FACTURADO]]=0,0,CPA_DIA_MARZO[[#This Row],[TOTAL FACTURADO]]/CPA_DIA_MARZO[[#This Row],[VENTAS]])),"")</f>
        <v>67400</v>
      </c>
      <c r="K38" s="12">
        <f>IFERROR(IF(CPA_DIA_MARZO[[#This Row],[VENTAS]]=0,"",CPA_DIA_MARZO[[#This Row],[GASTO PUBLICIDAD]]/CPA_DIA_MARZO[[#This Row],[VENTAS]]),"")</f>
        <v>6760.5</v>
      </c>
      <c r="L38" s="13">
        <f>IFERROR(CPA_DIA_MARZO[[#This Row],[VENTAS]]/CPA_DIA_MARZO[[#This Row],[CONVERSACIONES]],"")</f>
        <v>1</v>
      </c>
      <c r="M38" s="13">
        <f>IFERROR(IF(CPA_DIA_MARZO[[#This Row],[CPA]]="","",CPA_DIA_MARZO[[#This Row],[CPA]]*100%/CPA_DIA_MARZO[[#This Row],[TICKET PROMEDIO DE PRODUCTO ]]),"")</f>
        <v>0.10030415430267062</v>
      </c>
      <c r="N38" s="13">
        <f>IFERROR(IF(CPA_DIA_MARZO[[#This Row],[VENTAS]]="","",IF(CPA_DIA_MARZO[[#This Row],[VENTAS]]=0,100%,CPA_DIA_MARZO[[#This Row],[CPA]]/CPA_DIA_MARZO[[#This Row],[GANANCIA PROMEDIO]])),"")</f>
        <v>0.21440804287843709</v>
      </c>
      <c r="O38" s="14">
        <f>IF(CPA_DIA_MARZO[[#This Row],[VENTAS]]=0,-(CPA_DIA_MARZO[[#This Row],[GASTO PUBLICIDAD]]),((CPA_DIA_MARZO[[#This Row],[GANANCIA PROMEDIO]]*CPA_DIA_MARZO[[#This Row],[VENTAS]])-CPA_DIA_MARZO[[#This Row],[GASTO PUBLICIDAD]])*0.75)</f>
        <v>37155.75</v>
      </c>
    </row>
    <row r="39" spans="1:15" x14ac:dyDescent="0.25">
      <c r="A39" s="13" t="s">
        <v>14</v>
      </c>
      <c r="B39" s="10">
        <v>46086</v>
      </c>
      <c r="C39" s="15" t="s">
        <v>19</v>
      </c>
      <c r="D39" s="15" t="s">
        <v>20</v>
      </c>
      <c r="E39" s="12">
        <v>203453</v>
      </c>
      <c r="F39" s="11">
        <v>106</v>
      </c>
      <c r="G39" s="12">
        <v>1471399</v>
      </c>
      <c r="H39" s="12">
        <v>26505</v>
      </c>
      <c r="I39" s="11">
        <v>17</v>
      </c>
      <c r="J39" s="12">
        <f>IFERROR(IF(CPA_DIA_MARZO[[#This Row],[TOTAL FACTURADO]]="","",IF(CPA_DIA_MARZO[[#This Row],[TOTAL FACTURADO]]=0,0,CPA_DIA_MARZO[[#This Row],[TOTAL FACTURADO]]/CPA_DIA_MARZO[[#This Row],[VENTAS]])),"")</f>
        <v>86552.882352941175</v>
      </c>
      <c r="K39" s="12">
        <f>IFERROR(IF(CPA_DIA_MARZO[[#This Row],[VENTAS]]=0,"",CPA_DIA_MARZO[[#This Row],[GASTO PUBLICIDAD]]/CPA_DIA_MARZO[[#This Row],[VENTAS]]),"")</f>
        <v>11967.823529411764</v>
      </c>
      <c r="L39" s="13">
        <f>IFERROR(CPA_DIA_MARZO[[#This Row],[VENTAS]]/CPA_DIA_MARZO[[#This Row],[CONVERSACIONES]],"")</f>
        <v>0.16037735849056603</v>
      </c>
      <c r="M39" s="13">
        <f>IFERROR(IF(CPA_DIA_MARZO[[#This Row],[CPA]]="","",CPA_DIA_MARZO[[#This Row],[CPA]]*100%/CPA_DIA_MARZO[[#This Row],[TICKET PROMEDIO DE PRODUCTO ]]),"")</f>
        <v>0.13827180798682071</v>
      </c>
      <c r="N39" s="13">
        <f>IFERROR(IF(CPA_DIA_MARZO[[#This Row],[VENTAS]]="","",IF(CPA_DIA_MARZO[[#This Row],[VENTAS]]=0,100%,CPA_DIA_MARZO[[#This Row],[CPA]]/CPA_DIA_MARZO[[#This Row],[GANANCIA PROMEDIO]])),"")</f>
        <v>0.45153078775369793</v>
      </c>
      <c r="O39" s="14">
        <f>IF(CPA_DIA_MARZO[[#This Row],[VENTAS]]=0,-(CPA_DIA_MARZO[[#This Row],[GASTO PUBLICIDAD]]),((CPA_DIA_MARZO[[#This Row],[GANANCIA PROMEDIO]]*CPA_DIA_MARZO[[#This Row],[VENTAS]])-CPA_DIA_MARZO[[#This Row],[GASTO PUBLICIDAD]])*0.75)</f>
        <v>185349</v>
      </c>
    </row>
    <row r="40" spans="1:15" x14ac:dyDescent="0.25">
      <c r="A40" s="13" t="s">
        <v>14</v>
      </c>
      <c r="B40" s="10">
        <v>46086</v>
      </c>
      <c r="C40" s="15" t="s">
        <v>21</v>
      </c>
      <c r="D40" s="15" t="s">
        <v>22</v>
      </c>
      <c r="E40" s="12">
        <v>34640</v>
      </c>
      <c r="F40" s="11">
        <v>20</v>
      </c>
      <c r="G40" s="12">
        <v>509198</v>
      </c>
      <c r="H40" s="12">
        <v>27059</v>
      </c>
      <c r="I40" s="11">
        <v>8</v>
      </c>
      <c r="J40" s="12">
        <f>IFERROR(IF(CPA_DIA_MARZO[[#This Row],[TOTAL FACTURADO]]="","",IF(CPA_DIA_MARZO[[#This Row],[TOTAL FACTURADO]]=0,0,CPA_DIA_MARZO[[#This Row],[TOTAL FACTURADO]]/CPA_DIA_MARZO[[#This Row],[VENTAS]])),"")</f>
        <v>63649.75</v>
      </c>
      <c r="K40" s="12">
        <f>IFERROR(IF(CPA_DIA_MARZO[[#This Row],[VENTAS]]=0,"",CPA_DIA_MARZO[[#This Row],[GASTO PUBLICIDAD]]/CPA_DIA_MARZO[[#This Row],[VENTAS]]),"")</f>
        <v>4330</v>
      </c>
      <c r="L40" s="13">
        <f>IFERROR(CPA_DIA_MARZO[[#This Row],[VENTAS]]/CPA_DIA_MARZO[[#This Row],[CONVERSACIONES]],"")</f>
        <v>0.4</v>
      </c>
      <c r="M40" s="13">
        <f>IFERROR(IF(CPA_DIA_MARZO[[#This Row],[CPA]]="","",CPA_DIA_MARZO[[#This Row],[CPA]]*100%/CPA_DIA_MARZO[[#This Row],[TICKET PROMEDIO DE PRODUCTO ]]),"")</f>
        <v>6.8028546852108615E-2</v>
      </c>
      <c r="N40" s="13">
        <f>IFERROR(IF(CPA_DIA_MARZO[[#This Row],[VENTAS]]="","",IF(CPA_DIA_MARZO[[#This Row],[VENTAS]]=0,100%,CPA_DIA_MARZO[[#This Row],[CPA]]/CPA_DIA_MARZO[[#This Row],[GANANCIA PROMEDIO]])),"")</f>
        <v>0.16002069551720316</v>
      </c>
      <c r="O40" s="14">
        <f>IF(CPA_DIA_MARZO[[#This Row],[VENTAS]]=0,-(CPA_DIA_MARZO[[#This Row],[GASTO PUBLICIDAD]]),((CPA_DIA_MARZO[[#This Row],[GANANCIA PROMEDIO]]*CPA_DIA_MARZO[[#This Row],[VENTAS]])-CPA_DIA_MARZO[[#This Row],[GASTO PUBLICIDAD]])*0.75)</f>
        <v>136374</v>
      </c>
    </row>
    <row r="41" spans="1:15" x14ac:dyDescent="0.25">
      <c r="A41" s="13" t="s">
        <v>14</v>
      </c>
      <c r="B41" s="10">
        <v>46086</v>
      </c>
      <c r="C41" s="15" t="s">
        <v>23</v>
      </c>
      <c r="D41" s="15" t="s">
        <v>22</v>
      </c>
      <c r="E41" s="12">
        <v>25882</v>
      </c>
      <c r="F41" s="11">
        <v>24</v>
      </c>
      <c r="G41" s="12">
        <v>724900</v>
      </c>
      <c r="H41" s="12">
        <v>27822</v>
      </c>
      <c r="I41" s="11">
        <v>11</v>
      </c>
      <c r="J41" s="12">
        <f>IFERROR(IF(CPA_DIA_MARZO[[#This Row],[TOTAL FACTURADO]]="","",IF(CPA_DIA_MARZO[[#This Row],[TOTAL FACTURADO]]=0,0,CPA_DIA_MARZO[[#This Row],[TOTAL FACTURADO]]/CPA_DIA_MARZO[[#This Row],[VENTAS]])),"")</f>
        <v>65900</v>
      </c>
      <c r="K41" s="12">
        <f>IFERROR(IF(CPA_DIA_MARZO[[#This Row],[VENTAS]]=0,"",CPA_DIA_MARZO[[#This Row],[GASTO PUBLICIDAD]]/CPA_DIA_MARZO[[#This Row],[VENTAS]]),"")</f>
        <v>2352.909090909091</v>
      </c>
      <c r="L41" s="13">
        <f>IFERROR(CPA_DIA_MARZO[[#This Row],[VENTAS]]/CPA_DIA_MARZO[[#This Row],[CONVERSACIONES]],"")</f>
        <v>0.45833333333333331</v>
      </c>
      <c r="M41" s="13">
        <f>IFERROR(IF(CPA_DIA_MARZO[[#This Row],[CPA]]="","",CPA_DIA_MARZO[[#This Row],[CPA]]*100%/CPA_DIA_MARZO[[#This Row],[TICKET PROMEDIO DE PRODUCTO ]]),"")</f>
        <v>3.570423506690578E-2</v>
      </c>
      <c r="N41" s="13">
        <f>IFERROR(IF(CPA_DIA_MARZO[[#This Row],[VENTAS]]="","",IF(CPA_DIA_MARZO[[#This Row],[VENTAS]]=0,100%,CPA_DIA_MARZO[[#This Row],[CPA]]/CPA_DIA_MARZO[[#This Row],[GANANCIA PROMEDIO]])),"")</f>
        <v>8.4570091686761953E-2</v>
      </c>
      <c r="O41" s="14">
        <f>IF(CPA_DIA_MARZO[[#This Row],[VENTAS]]=0,-(CPA_DIA_MARZO[[#This Row],[GASTO PUBLICIDAD]]),((CPA_DIA_MARZO[[#This Row],[GANANCIA PROMEDIO]]*CPA_DIA_MARZO[[#This Row],[VENTAS]])-CPA_DIA_MARZO[[#This Row],[GASTO PUBLICIDAD]])*0.75)</f>
        <v>210120</v>
      </c>
    </row>
    <row r="42" spans="1:15" x14ac:dyDescent="0.25">
      <c r="A42" s="13" t="s">
        <v>14</v>
      </c>
      <c r="B42" s="10">
        <v>46086</v>
      </c>
      <c r="C42" s="15" t="s">
        <v>26</v>
      </c>
      <c r="D42" s="15" t="s">
        <v>27</v>
      </c>
      <c r="E42" s="12">
        <v>24718</v>
      </c>
      <c r="F42" s="11">
        <v>11</v>
      </c>
      <c r="G42" s="12">
        <v>79900</v>
      </c>
      <c r="H42" s="12">
        <v>28344</v>
      </c>
      <c r="I42" s="11">
        <v>1</v>
      </c>
      <c r="J42" s="12">
        <f>IFERROR(IF(CPA_DIA_MARZO[[#This Row],[TOTAL FACTURADO]]="","",IF(CPA_DIA_MARZO[[#This Row],[TOTAL FACTURADO]]=0,0,CPA_DIA_MARZO[[#This Row],[TOTAL FACTURADO]]/CPA_DIA_MARZO[[#This Row],[VENTAS]])),"")</f>
        <v>79900</v>
      </c>
      <c r="K42" s="12">
        <f>IFERROR(IF(CPA_DIA_MARZO[[#This Row],[VENTAS]]=0,"",CPA_DIA_MARZO[[#This Row],[GASTO PUBLICIDAD]]/CPA_DIA_MARZO[[#This Row],[VENTAS]]),"")</f>
        <v>24718</v>
      </c>
      <c r="L42" s="13">
        <f>IFERROR(CPA_DIA_MARZO[[#This Row],[VENTAS]]/CPA_DIA_MARZO[[#This Row],[CONVERSACIONES]],"")</f>
        <v>9.0909090909090912E-2</v>
      </c>
      <c r="M42" s="13">
        <f>IFERROR(IF(CPA_DIA_MARZO[[#This Row],[CPA]]="","",CPA_DIA_MARZO[[#This Row],[CPA]]*100%/CPA_DIA_MARZO[[#This Row],[TICKET PROMEDIO DE PRODUCTO ]]),"")</f>
        <v>0.30936170212765957</v>
      </c>
      <c r="N42" s="13">
        <f>IFERROR(IF(CPA_DIA_MARZO[[#This Row],[VENTAS]]="","",IF(CPA_DIA_MARZO[[#This Row],[VENTAS]]=0,100%,CPA_DIA_MARZO[[#This Row],[CPA]]/CPA_DIA_MARZO[[#This Row],[GANANCIA PROMEDIO]])),"")</f>
        <v>0.87207169065763479</v>
      </c>
      <c r="O42" s="14">
        <f>IF(CPA_DIA_MARZO[[#This Row],[VENTAS]]=0,-(CPA_DIA_MARZO[[#This Row],[GASTO PUBLICIDAD]]),((CPA_DIA_MARZO[[#This Row],[GANANCIA PROMEDIO]]*CPA_DIA_MARZO[[#This Row],[VENTAS]])-CPA_DIA_MARZO[[#This Row],[GASTO PUBLICIDAD]])*0.75)</f>
        <v>2719.5</v>
      </c>
    </row>
    <row r="43" spans="1:15" x14ac:dyDescent="0.25">
      <c r="A43" s="13" t="s">
        <v>14</v>
      </c>
      <c r="B43" s="10">
        <v>46086</v>
      </c>
      <c r="C43" s="15" t="s">
        <v>28</v>
      </c>
      <c r="D43" s="15" t="s">
        <v>29</v>
      </c>
      <c r="E43" s="12">
        <v>28028</v>
      </c>
      <c r="F43" s="11">
        <v>11</v>
      </c>
      <c r="G43" s="12">
        <v>409600</v>
      </c>
      <c r="H43" s="12">
        <v>31556</v>
      </c>
      <c r="I43" s="11">
        <v>4</v>
      </c>
      <c r="J43" s="12">
        <f>IFERROR(IF(CPA_DIA_MARZO[[#This Row],[TOTAL FACTURADO]]="","",IF(CPA_DIA_MARZO[[#This Row],[TOTAL FACTURADO]]=0,0,CPA_DIA_MARZO[[#This Row],[TOTAL FACTURADO]]/CPA_DIA_MARZO[[#This Row],[VENTAS]])),"")</f>
        <v>102400</v>
      </c>
      <c r="K43" s="12">
        <f>IFERROR(IF(CPA_DIA_MARZO[[#This Row],[VENTAS]]=0,"",CPA_DIA_MARZO[[#This Row],[GASTO PUBLICIDAD]]/CPA_DIA_MARZO[[#This Row],[VENTAS]]),"")</f>
        <v>7007</v>
      </c>
      <c r="L43" s="13">
        <f>IFERROR(CPA_DIA_MARZO[[#This Row],[VENTAS]]/CPA_DIA_MARZO[[#This Row],[CONVERSACIONES]],"")</f>
        <v>0.36363636363636365</v>
      </c>
      <c r="M43" s="13">
        <f>IFERROR(IF(CPA_DIA_MARZO[[#This Row],[CPA]]="","",CPA_DIA_MARZO[[#This Row],[CPA]]*100%/CPA_DIA_MARZO[[#This Row],[TICKET PROMEDIO DE PRODUCTO ]]),"")</f>
        <v>6.8427734374999993E-2</v>
      </c>
      <c r="N43" s="13">
        <f>IFERROR(IF(CPA_DIA_MARZO[[#This Row],[VENTAS]]="","",IF(CPA_DIA_MARZO[[#This Row],[VENTAS]]=0,100%,CPA_DIA_MARZO[[#This Row],[CPA]]/CPA_DIA_MARZO[[#This Row],[GANANCIA PROMEDIO]])),"")</f>
        <v>0.22204968944099379</v>
      </c>
      <c r="O43" s="14">
        <f>IF(CPA_DIA_MARZO[[#This Row],[VENTAS]]=0,-(CPA_DIA_MARZO[[#This Row],[GASTO PUBLICIDAD]]),((CPA_DIA_MARZO[[#This Row],[GANANCIA PROMEDIO]]*CPA_DIA_MARZO[[#This Row],[VENTAS]])-CPA_DIA_MARZO[[#This Row],[GASTO PUBLICIDAD]])*0.75)</f>
        <v>73647</v>
      </c>
    </row>
    <row r="44" spans="1:15" x14ac:dyDescent="0.25">
      <c r="A44" s="13" t="s">
        <v>14</v>
      </c>
      <c r="B44" s="10">
        <v>46086</v>
      </c>
      <c r="C44" s="15" t="s">
        <v>30</v>
      </c>
      <c r="D44" s="15" t="s">
        <v>29</v>
      </c>
      <c r="E44" s="12">
        <v>28499</v>
      </c>
      <c r="F44" s="11">
        <v>65</v>
      </c>
      <c r="G44" s="12">
        <v>199700</v>
      </c>
      <c r="H44" s="12">
        <v>37930</v>
      </c>
      <c r="I44" s="11">
        <v>3</v>
      </c>
      <c r="J44" s="12">
        <f>IFERROR(IF(CPA_DIA_MARZO[[#This Row],[TOTAL FACTURADO]]="","",IF(CPA_DIA_MARZO[[#This Row],[TOTAL FACTURADO]]=0,0,CPA_DIA_MARZO[[#This Row],[TOTAL FACTURADO]]/CPA_DIA_MARZO[[#This Row],[VENTAS]])),"")</f>
        <v>66566.666666666672</v>
      </c>
      <c r="K44" s="12">
        <f>IFERROR(IF(CPA_DIA_MARZO[[#This Row],[VENTAS]]=0,"",CPA_DIA_MARZO[[#This Row],[GASTO PUBLICIDAD]]/CPA_DIA_MARZO[[#This Row],[VENTAS]]),"")</f>
        <v>9499.6666666666661</v>
      </c>
      <c r="L44" s="13">
        <f>IFERROR(CPA_DIA_MARZO[[#This Row],[VENTAS]]/CPA_DIA_MARZO[[#This Row],[CONVERSACIONES]],"")</f>
        <v>4.6153846153846156E-2</v>
      </c>
      <c r="M44" s="13">
        <f>IFERROR(IF(CPA_DIA_MARZO[[#This Row],[CPA]]="","",CPA_DIA_MARZO[[#This Row],[CPA]]*100%/CPA_DIA_MARZO[[#This Row],[TICKET PROMEDIO DE PRODUCTO ]]),"")</f>
        <v>0.14270906359539307</v>
      </c>
      <c r="N44" s="13">
        <f>IFERROR(IF(CPA_DIA_MARZO[[#This Row],[VENTAS]]="","",IF(CPA_DIA_MARZO[[#This Row],[VENTAS]]=0,100%,CPA_DIA_MARZO[[#This Row],[CPA]]/CPA_DIA_MARZO[[#This Row],[GANANCIA PROMEDIO]])),"")</f>
        <v>0.25045258810088761</v>
      </c>
      <c r="O44" s="14">
        <f>IF(CPA_DIA_MARZO[[#This Row],[VENTAS]]=0,-(CPA_DIA_MARZO[[#This Row],[GASTO PUBLICIDAD]]),((CPA_DIA_MARZO[[#This Row],[GANANCIA PROMEDIO]]*CPA_DIA_MARZO[[#This Row],[VENTAS]])-CPA_DIA_MARZO[[#This Row],[GASTO PUBLICIDAD]])*0.75)</f>
        <v>63968.25</v>
      </c>
    </row>
    <row r="45" spans="1:15" x14ac:dyDescent="0.25">
      <c r="A45" s="13" t="s">
        <v>14</v>
      </c>
      <c r="B45" s="10">
        <v>46086</v>
      </c>
      <c r="C45" s="20" t="s">
        <v>37</v>
      </c>
      <c r="D45" s="20" t="s">
        <v>38</v>
      </c>
      <c r="E45" s="12">
        <v>17832</v>
      </c>
      <c r="F45" s="11">
        <v>4</v>
      </c>
      <c r="G45" s="12">
        <v>109900</v>
      </c>
      <c r="H45" s="12">
        <v>34552</v>
      </c>
      <c r="I45" s="11">
        <v>1</v>
      </c>
      <c r="J45" s="12">
        <f>IFERROR(IF(CPA_DIA_MARZO[[#This Row],[TOTAL FACTURADO]]="","",IF(CPA_DIA_MARZO[[#This Row],[TOTAL FACTURADO]]=0,0,CPA_DIA_MARZO[[#This Row],[TOTAL FACTURADO]]/CPA_DIA_MARZO[[#This Row],[VENTAS]])),"")</f>
        <v>109900</v>
      </c>
      <c r="K45" s="12">
        <f>IFERROR(IF(CPA_DIA_MARZO[[#This Row],[VENTAS]]=0,"",CPA_DIA_MARZO[[#This Row],[GASTO PUBLICIDAD]]/CPA_DIA_MARZO[[#This Row],[VENTAS]]),"")</f>
        <v>17832</v>
      </c>
      <c r="L45" s="13">
        <f>IFERROR(CPA_DIA_MARZO[[#This Row],[VENTAS]]/CPA_DIA_MARZO[[#This Row],[CONVERSACIONES]],"")</f>
        <v>0.25</v>
      </c>
      <c r="M45" s="13">
        <f>IFERROR(IF(CPA_DIA_MARZO[[#This Row],[CPA]]="","",CPA_DIA_MARZO[[#This Row],[CPA]]*100%/CPA_DIA_MARZO[[#This Row],[TICKET PROMEDIO DE PRODUCTO ]]),"")</f>
        <v>0.16225659690627844</v>
      </c>
      <c r="N45" s="13">
        <f>IFERROR(IF(CPA_DIA_MARZO[[#This Row],[VENTAS]]="","",IF(CPA_DIA_MARZO[[#This Row],[VENTAS]]=0,100%,CPA_DIA_MARZO[[#This Row],[CPA]]/CPA_DIA_MARZO[[#This Row],[GANANCIA PROMEDIO]])),"")</f>
        <v>0.51609168789071547</v>
      </c>
      <c r="O45" s="14">
        <f>IF(CPA_DIA_MARZO[[#This Row],[VENTAS]]=0,-(CPA_DIA_MARZO[[#This Row],[GASTO PUBLICIDAD]]),((CPA_DIA_MARZO[[#This Row],[GANANCIA PROMEDIO]]*CPA_DIA_MARZO[[#This Row],[VENTAS]])-CPA_DIA_MARZO[[#This Row],[GASTO PUBLICIDAD]])*0.75)</f>
        <v>12540</v>
      </c>
    </row>
    <row r="46" spans="1:15" x14ac:dyDescent="0.25">
      <c r="A46" s="13" t="s">
        <v>14</v>
      </c>
      <c r="B46" s="10">
        <v>46086</v>
      </c>
      <c r="C46" s="15" t="s">
        <v>31</v>
      </c>
      <c r="D46" s="15" t="s">
        <v>32</v>
      </c>
      <c r="E46" s="12">
        <v>19969</v>
      </c>
      <c r="F46" s="11">
        <v>12</v>
      </c>
      <c r="G46" s="12">
        <v>359500</v>
      </c>
      <c r="H46" s="12">
        <v>24020</v>
      </c>
      <c r="I46" s="11">
        <v>5</v>
      </c>
      <c r="J46" s="12">
        <f>IFERROR(IF(CPA_DIA_MARZO[[#This Row],[TOTAL FACTURADO]]="","",IF(CPA_DIA_MARZO[[#This Row],[TOTAL FACTURADO]]=0,0,CPA_DIA_MARZO[[#This Row],[TOTAL FACTURADO]]/CPA_DIA_MARZO[[#This Row],[VENTAS]])),"")</f>
        <v>71900</v>
      </c>
      <c r="K46" s="12">
        <f>IFERROR(IF(CPA_DIA_MARZO[[#This Row],[VENTAS]]=0,"",CPA_DIA_MARZO[[#This Row],[GASTO PUBLICIDAD]]/CPA_DIA_MARZO[[#This Row],[VENTAS]]),"")</f>
        <v>3993.8</v>
      </c>
      <c r="L46" s="13">
        <f>IFERROR(CPA_DIA_MARZO[[#This Row],[VENTAS]]/CPA_DIA_MARZO[[#This Row],[CONVERSACIONES]],"")</f>
        <v>0.41666666666666669</v>
      </c>
      <c r="M46" s="13">
        <f>IFERROR(IF(CPA_DIA_MARZO[[#This Row],[CPA]]="","",CPA_DIA_MARZO[[#This Row],[CPA]]*100%/CPA_DIA_MARZO[[#This Row],[TICKET PROMEDIO DE PRODUCTO ]]),"")</f>
        <v>5.554659248956885E-2</v>
      </c>
      <c r="N46" s="13">
        <f>IFERROR(IF(CPA_DIA_MARZO[[#This Row],[VENTAS]]="","",IF(CPA_DIA_MARZO[[#This Row],[VENTAS]]=0,100%,CPA_DIA_MARZO[[#This Row],[CPA]]/CPA_DIA_MARZO[[#This Row],[GANANCIA PROMEDIO]])),"")</f>
        <v>0.1662697751873439</v>
      </c>
      <c r="O46" s="14">
        <f>IF(CPA_DIA_MARZO[[#This Row],[VENTAS]]=0,-(CPA_DIA_MARZO[[#This Row],[GASTO PUBLICIDAD]]),((CPA_DIA_MARZO[[#This Row],[GANANCIA PROMEDIO]]*CPA_DIA_MARZO[[#This Row],[VENTAS]])-CPA_DIA_MARZO[[#This Row],[GASTO PUBLICIDAD]])*0.75)</f>
        <v>75098.25</v>
      </c>
    </row>
    <row r="47" spans="1:15" x14ac:dyDescent="0.25">
      <c r="A47" s="13" t="s">
        <v>14</v>
      </c>
      <c r="B47" s="10">
        <v>46086</v>
      </c>
      <c r="C47" s="15" t="s">
        <v>36</v>
      </c>
      <c r="D47" s="15" t="s">
        <v>32</v>
      </c>
      <c r="E47" s="12">
        <v>33850</v>
      </c>
      <c r="F47" s="11">
        <v>15</v>
      </c>
      <c r="G47" s="12">
        <v>159800</v>
      </c>
      <c r="H47" s="12">
        <v>34114</v>
      </c>
      <c r="I47" s="11">
        <v>2</v>
      </c>
      <c r="J47" s="12">
        <f>IFERROR(IF(CPA_DIA_MARZO[[#This Row],[TOTAL FACTURADO]]="","",IF(CPA_DIA_MARZO[[#This Row],[TOTAL FACTURADO]]=0,0,CPA_DIA_MARZO[[#This Row],[TOTAL FACTURADO]]/CPA_DIA_MARZO[[#This Row],[VENTAS]])),"")</f>
        <v>79900</v>
      </c>
      <c r="K47" s="12">
        <f>IFERROR(IF(CPA_DIA_MARZO[[#This Row],[VENTAS]]=0,"",CPA_DIA_MARZO[[#This Row],[GASTO PUBLICIDAD]]/CPA_DIA_MARZO[[#This Row],[VENTAS]]),"")</f>
        <v>16925</v>
      </c>
      <c r="L47" s="13">
        <f>IFERROR(CPA_DIA_MARZO[[#This Row],[VENTAS]]/CPA_DIA_MARZO[[#This Row],[CONVERSACIONES]],"")</f>
        <v>0.13333333333333333</v>
      </c>
      <c r="M47" s="13">
        <f>IFERROR(IF(CPA_DIA_MARZO[[#This Row],[CPA]]="","",CPA_DIA_MARZO[[#This Row],[CPA]]*100%/CPA_DIA_MARZO[[#This Row],[TICKET PROMEDIO DE PRODUCTO ]]),"")</f>
        <v>0.21182728410513141</v>
      </c>
      <c r="N47" s="13">
        <f>IFERROR(IF(CPA_DIA_MARZO[[#This Row],[VENTAS]]="","",IF(CPA_DIA_MARZO[[#This Row],[VENTAS]]=0,100%,CPA_DIA_MARZO[[#This Row],[CPA]]/CPA_DIA_MARZO[[#This Row],[GANANCIA PROMEDIO]])),"")</f>
        <v>0.49613062085947118</v>
      </c>
      <c r="O47" s="14">
        <f>IF(CPA_DIA_MARZO[[#This Row],[VENTAS]]=0,-(CPA_DIA_MARZO[[#This Row],[GASTO PUBLICIDAD]]),((CPA_DIA_MARZO[[#This Row],[GANANCIA PROMEDIO]]*CPA_DIA_MARZO[[#This Row],[VENTAS]])-CPA_DIA_MARZO[[#This Row],[GASTO PUBLICIDAD]])*0.75)</f>
        <v>25783.5</v>
      </c>
    </row>
    <row r="48" spans="1:15" x14ac:dyDescent="0.25">
      <c r="A48" s="13" t="s">
        <v>14</v>
      </c>
      <c r="B48" s="10">
        <v>46086</v>
      </c>
      <c r="C48" s="19" t="s">
        <v>34</v>
      </c>
      <c r="D48" s="19" t="s">
        <v>35</v>
      </c>
      <c r="E48" s="12">
        <v>46775</v>
      </c>
      <c r="F48" s="11">
        <v>24</v>
      </c>
      <c r="G48" s="12">
        <v>779100</v>
      </c>
      <c r="H48" s="12">
        <v>24691</v>
      </c>
      <c r="I48" s="11">
        <v>9</v>
      </c>
      <c r="J48" s="12">
        <f>IFERROR(IF(CPA_DIA_MARZO[[#This Row],[TOTAL FACTURADO]]="","",IF(CPA_DIA_MARZO[[#This Row],[TOTAL FACTURADO]]=0,0,CPA_DIA_MARZO[[#This Row],[TOTAL FACTURADO]]/CPA_DIA_MARZO[[#This Row],[VENTAS]])),"")</f>
        <v>86566.666666666672</v>
      </c>
      <c r="K48" s="12">
        <f>IFERROR(IF(CPA_DIA_MARZO[[#This Row],[VENTAS]]=0,"",CPA_DIA_MARZO[[#This Row],[GASTO PUBLICIDAD]]/CPA_DIA_MARZO[[#This Row],[VENTAS]]),"")</f>
        <v>5197.2222222222226</v>
      </c>
      <c r="L48" s="13">
        <f>IFERROR(CPA_DIA_MARZO[[#This Row],[VENTAS]]/CPA_DIA_MARZO[[#This Row],[CONVERSACIONES]],"")</f>
        <v>0.375</v>
      </c>
      <c r="M48" s="13">
        <f>IFERROR(IF(CPA_DIA_MARZO[[#This Row],[CPA]]="","",CPA_DIA_MARZO[[#This Row],[CPA]]*100%/CPA_DIA_MARZO[[#This Row],[TICKET PROMEDIO DE PRODUCTO ]]),"")</f>
        <v>6.0037222436144268E-2</v>
      </c>
      <c r="N48" s="13">
        <f>IFERROR(IF(CPA_DIA_MARZO[[#This Row],[VENTAS]]="","",IF(CPA_DIA_MARZO[[#This Row],[VENTAS]]=0,100%,CPA_DIA_MARZO[[#This Row],[CPA]]/CPA_DIA_MARZO[[#This Row],[GANANCIA PROMEDIO]])),"")</f>
        <v>0.21049055211300566</v>
      </c>
      <c r="O48" s="14">
        <f>IF(CPA_DIA_MARZO[[#This Row],[VENTAS]]=0,-(CPA_DIA_MARZO[[#This Row],[GASTO PUBLICIDAD]]),((CPA_DIA_MARZO[[#This Row],[GANANCIA PROMEDIO]]*CPA_DIA_MARZO[[#This Row],[VENTAS]])-CPA_DIA_MARZO[[#This Row],[GASTO PUBLICIDAD]])*0.75)</f>
        <v>131583</v>
      </c>
    </row>
    <row r="49" spans="1:15" x14ac:dyDescent="0.25">
      <c r="A49" s="25" t="s">
        <v>14</v>
      </c>
      <c r="B49" s="9">
        <v>46087</v>
      </c>
      <c r="C49" s="27" t="s">
        <v>15</v>
      </c>
      <c r="D49" s="27" t="s">
        <v>16</v>
      </c>
      <c r="E49" s="12">
        <v>114392</v>
      </c>
      <c r="F49" s="11">
        <v>33</v>
      </c>
      <c r="G49" s="12">
        <v>948400</v>
      </c>
      <c r="H49" s="12">
        <v>19901</v>
      </c>
      <c r="I49" s="11">
        <v>16</v>
      </c>
      <c r="J49" s="12">
        <f>IFERROR(IF(CPA_DIA_MARZO[[#This Row],[TOTAL FACTURADO]]="","",IF(CPA_DIA_MARZO[[#This Row],[TOTAL FACTURADO]]=0,0,CPA_DIA_MARZO[[#This Row],[TOTAL FACTURADO]]/CPA_DIA_MARZO[[#This Row],[VENTAS]])),"")</f>
        <v>59275</v>
      </c>
      <c r="K49" s="12">
        <f>IFERROR(IF(CPA_DIA_MARZO[[#This Row],[VENTAS]]=0,"",CPA_DIA_MARZO[[#This Row],[GASTO PUBLICIDAD]]/CPA_DIA_MARZO[[#This Row],[VENTAS]]),"")</f>
        <v>7149.5</v>
      </c>
      <c r="L49" s="13">
        <f>IFERROR(CPA_DIA_MARZO[[#This Row],[VENTAS]]/CPA_DIA_MARZO[[#This Row],[CONVERSACIONES]],"")</f>
        <v>0.48484848484848486</v>
      </c>
      <c r="M49" s="13">
        <f>IFERROR(IF(CPA_DIA_MARZO[[#This Row],[CPA]]="","",CPA_DIA_MARZO[[#This Row],[CPA]]*100%/CPA_DIA_MARZO[[#This Row],[TICKET PROMEDIO DE PRODUCTO ]]),"")</f>
        <v>0.12061577393504851</v>
      </c>
      <c r="N49" s="13">
        <f>IFERROR(IF(CPA_DIA_MARZO[[#This Row],[VENTAS]]="","",IF(CPA_DIA_MARZO[[#This Row],[VENTAS]]=0,100%,CPA_DIA_MARZO[[#This Row],[CPA]]/CPA_DIA_MARZO[[#This Row],[GANANCIA PROMEDIO]])),"")</f>
        <v>0.35925330385407767</v>
      </c>
      <c r="O49" s="14">
        <f>IF(CPA_DIA_MARZO[[#This Row],[VENTAS]]=0,-(CPA_DIA_MARZO[[#This Row],[GASTO PUBLICIDAD]]),((CPA_DIA_MARZO[[#This Row],[GANANCIA PROMEDIO]]*CPA_DIA_MARZO[[#This Row],[VENTAS]])-CPA_DIA_MARZO[[#This Row],[GASTO PUBLICIDAD]])*0.75)</f>
        <v>153018</v>
      </c>
    </row>
    <row r="50" spans="1:15" x14ac:dyDescent="0.25">
      <c r="A50" s="13" t="s">
        <v>14</v>
      </c>
      <c r="B50" s="10">
        <v>46087</v>
      </c>
      <c r="C50" s="15" t="s">
        <v>17</v>
      </c>
      <c r="D50" s="15" t="s">
        <v>18</v>
      </c>
      <c r="E50" s="12">
        <v>8746</v>
      </c>
      <c r="F50" s="11">
        <v>6</v>
      </c>
      <c r="G50" s="12">
        <v>0</v>
      </c>
      <c r="H50" s="12">
        <v>0</v>
      </c>
      <c r="I50" s="11">
        <v>0</v>
      </c>
      <c r="J50" s="12">
        <f>IFERROR(IF(CPA_DIA_MARZO[[#This Row],[TOTAL FACTURADO]]="","",IF(CPA_DIA_MARZO[[#This Row],[TOTAL FACTURADO]]=0,0,CPA_DIA_MARZO[[#This Row],[TOTAL FACTURADO]]/CPA_DIA_MARZO[[#This Row],[VENTAS]])),"")</f>
        <v>0</v>
      </c>
      <c r="K50" s="12" t="str">
        <f>IFERROR(IF(CPA_DIA_MARZO[[#This Row],[VENTAS]]=0,"",CPA_DIA_MARZO[[#This Row],[GASTO PUBLICIDAD]]/CPA_DIA_MARZO[[#This Row],[VENTAS]]),"")</f>
        <v/>
      </c>
      <c r="L50" s="13">
        <f>IFERROR(CPA_DIA_MARZO[[#This Row],[VENTAS]]/CPA_DIA_MARZO[[#This Row],[CONVERSACIONES]],"")</f>
        <v>0</v>
      </c>
      <c r="M50" s="13" t="str">
        <f>IFERROR(IF(CPA_DIA_MARZO[[#This Row],[CPA]]="","",CPA_DIA_MARZO[[#This Row],[CPA]]*100%/CPA_DIA_MARZO[[#This Row],[TICKET PROMEDIO DE PRODUCTO ]]),"")</f>
        <v/>
      </c>
      <c r="N50" s="13">
        <f>IFERROR(IF(CPA_DIA_MARZO[[#This Row],[VENTAS]]="","",IF(CPA_DIA_MARZO[[#This Row],[VENTAS]]=0,100%,CPA_DIA_MARZO[[#This Row],[CPA]]/CPA_DIA_MARZO[[#This Row],[GANANCIA PROMEDIO]])),"")</f>
        <v>1</v>
      </c>
      <c r="O50" s="14">
        <f>IF(CPA_DIA_MARZO[[#This Row],[VENTAS]]=0,-(CPA_DIA_MARZO[[#This Row],[GASTO PUBLICIDAD]]),((CPA_DIA_MARZO[[#This Row],[GANANCIA PROMEDIO]]*CPA_DIA_MARZO[[#This Row],[VENTAS]])-CPA_DIA_MARZO[[#This Row],[GASTO PUBLICIDAD]])*0.75)</f>
        <v>-8746</v>
      </c>
    </row>
    <row r="51" spans="1:15" x14ac:dyDescent="0.25">
      <c r="A51" s="13" t="s">
        <v>14</v>
      </c>
      <c r="B51" s="10">
        <v>46087</v>
      </c>
      <c r="C51" s="15" t="s">
        <v>19</v>
      </c>
      <c r="D51" s="15" t="s">
        <v>20</v>
      </c>
      <c r="E51" s="12">
        <v>205321</v>
      </c>
      <c r="F51" s="11">
        <v>108</v>
      </c>
      <c r="G51" s="12">
        <v>1574298</v>
      </c>
      <c r="H51" s="12">
        <v>27829</v>
      </c>
      <c r="I51" s="11">
        <v>17</v>
      </c>
      <c r="J51" s="12">
        <f>IFERROR(IF(CPA_DIA_MARZO[[#This Row],[TOTAL FACTURADO]]="","",IF(CPA_DIA_MARZO[[#This Row],[TOTAL FACTURADO]]=0,0,CPA_DIA_MARZO[[#This Row],[TOTAL FACTURADO]]/CPA_DIA_MARZO[[#This Row],[VENTAS]])),"")</f>
        <v>92605.76470588235</v>
      </c>
      <c r="K51" s="12">
        <f>IFERROR(IF(CPA_DIA_MARZO[[#This Row],[VENTAS]]=0,"",CPA_DIA_MARZO[[#This Row],[GASTO PUBLICIDAD]]/CPA_DIA_MARZO[[#This Row],[VENTAS]]),"")</f>
        <v>12077.705882352941</v>
      </c>
      <c r="L51" s="13">
        <f>IFERROR(CPA_DIA_MARZO[[#This Row],[VENTAS]]/CPA_DIA_MARZO[[#This Row],[CONVERSACIONES]],"")</f>
        <v>0.15740740740740741</v>
      </c>
      <c r="M51" s="13">
        <f>IFERROR(IF(CPA_DIA_MARZO[[#This Row],[CPA]]="","",CPA_DIA_MARZO[[#This Row],[CPA]]*100%/CPA_DIA_MARZO[[#This Row],[TICKET PROMEDIO DE PRODUCTO ]]),"")</f>
        <v>0.13042067003832819</v>
      </c>
      <c r="N51" s="13">
        <f>IFERROR(IF(CPA_DIA_MARZO[[#This Row],[VENTAS]]="","",IF(CPA_DIA_MARZO[[#This Row],[VENTAS]]=0,100%,CPA_DIA_MARZO[[#This Row],[CPA]]/CPA_DIA_MARZO[[#This Row],[GANANCIA PROMEDIO]])),"")</f>
        <v>0.4339971210734464</v>
      </c>
      <c r="O51" s="14">
        <f>IF(CPA_DIA_MARZO[[#This Row],[VENTAS]]=0,-(CPA_DIA_MARZO[[#This Row],[GASTO PUBLICIDAD]]),((CPA_DIA_MARZO[[#This Row],[GANANCIA PROMEDIO]]*CPA_DIA_MARZO[[#This Row],[VENTAS]])-CPA_DIA_MARZO[[#This Row],[GASTO PUBLICIDAD]])*0.75)</f>
        <v>200829</v>
      </c>
    </row>
    <row r="52" spans="1:15" x14ac:dyDescent="0.25">
      <c r="A52" s="13" t="s">
        <v>14</v>
      </c>
      <c r="B52" s="10">
        <v>46087</v>
      </c>
      <c r="C52" s="15" t="s">
        <v>21</v>
      </c>
      <c r="D52" s="15" t="s">
        <v>22</v>
      </c>
      <c r="E52" s="12">
        <v>34687</v>
      </c>
      <c r="F52" s="11">
        <v>7</v>
      </c>
      <c r="G52" s="12">
        <v>424300</v>
      </c>
      <c r="H52" s="12">
        <v>25486</v>
      </c>
      <c r="I52" s="11">
        <v>7</v>
      </c>
      <c r="J52" s="12">
        <f>IFERROR(IF(CPA_DIA_MARZO[[#This Row],[TOTAL FACTURADO]]="","",IF(CPA_DIA_MARZO[[#This Row],[TOTAL FACTURADO]]=0,0,CPA_DIA_MARZO[[#This Row],[TOTAL FACTURADO]]/CPA_DIA_MARZO[[#This Row],[VENTAS]])),"")</f>
        <v>60614.285714285717</v>
      </c>
      <c r="K52" s="12">
        <f>IFERROR(IF(CPA_DIA_MARZO[[#This Row],[VENTAS]]=0,"",CPA_DIA_MARZO[[#This Row],[GASTO PUBLICIDAD]]/CPA_DIA_MARZO[[#This Row],[VENTAS]]),"")</f>
        <v>4955.2857142857147</v>
      </c>
      <c r="L52" s="13">
        <f>IFERROR(CPA_DIA_MARZO[[#This Row],[VENTAS]]/CPA_DIA_MARZO[[#This Row],[CONVERSACIONES]],"")</f>
        <v>1</v>
      </c>
      <c r="M52" s="13">
        <f>IFERROR(IF(CPA_DIA_MARZO[[#This Row],[CPA]]="","",CPA_DIA_MARZO[[#This Row],[CPA]]*100%/CPA_DIA_MARZO[[#This Row],[TICKET PROMEDIO DE PRODUCTO ]]),"")</f>
        <v>8.1751119490926227E-2</v>
      </c>
      <c r="N52" s="13">
        <f>IFERROR(IF(CPA_DIA_MARZO[[#This Row],[VENTAS]]="","",IF(CPA_DIA_MARZO[[#This Row],[VENTAS]]=0,100%,CPA_DIA_MARZO[[#This Row],[CPA]]/CPA_DIA_MARZO[[#This Row],[GANANCIA PROMEDIO]])),"")</f>
        <v>0.19443167677492407</v>
      </c>
      <c r="O52" s="14">
        <f>IF(CPA_DIA_MARZO[[#This Row],[VENTAS]]=0,-(CPA_DIA_MARZO[[#This Row],[GASTO PUBLICIDAD]]),((CPA_DIA_MARZO[[#This Row],[GANANCIA PROMEDIO]]*CPA_DIA_MARZO[[#This Row],[VENTAS]])-CPA_DIA_MARZO[[#This Row],[GASTO PUBLICIDAD]])*0.75)</f>
        <v>107786.25</v>
      </c>
    </row>
    <row r="53" spans="1:15" x14ac:dyDescent="0.25">
      <c r="A53" s="13" t="s">
        <v>14</v>
      </c>
      <c r="B53" s="10">
        <v>46087</v>
      </c>
      <c r="C53" s="15" t="s">
        <v>23</v>
      </c>
      <c r="D53" s="15" t="s">
        <v>22</v>
      </c>
      <c r="E53" s="12">
        <v>28316</v>
      </c>
      <c r="F53" s="11">
        <v>19</v>
      </c>
      <c r="G53" s="12">
        <v>459300</v>
      </c>
      <c r="H53" s="12">
        <v>27933</v>
      </c>
      <c r="I53" s="11">
        <v>7</v>
      </c>
      <c r="J53" s="12">
        <f>IFERROR(IF(CPA_DIA_MARZO[[#This Row],[TOTAL FACTURADO]]="","",IF(CPA_DIA_MARZO[[#This Row],[TOTAL FACTURADO]]=0,0,CPA_DIA_MARZO[[#This Row],[TOTAL FACTURADO]]/CPA_DIA_MARZO[[#This Row],[VENTAS]])),"")</f>
        <v>65614.28571428571</v>
      </c>
      <c r="K53" s="12">
        <f>IFERROR(IF(CPA_DIA_MARZO[[#This Row],[VENTAS]]=0,"",CPA_DIA_MARZO[[#This Row],[GASTO PUBLICIDAD]]/CPA_DIA_MARZO[[#This Row],[VENTAS]]),"")</f>
        <v>4045.1428571428573</v>
      </c>
      <c r="L53" s="13">
        <f>IFERROR(CPA_DIA_MARZO[[#This Row],[VENTAS]]/CPA_DIA_MARZO[[#This Row],[CONVERSACIONES]],"")</f>
        <v>0.36842105263157893</v>
      </c>
      <c r="M53" s="13">
        <f>IFERROR(IF(CPA_DIA_MARZO[[#This Row],[CPA]]="","",CPA_DIA_MARZO[[#This Row],[CPA]]*100%/CPA_DIA_MARZO[[#This Row],[TICKET PROMEDIO DE PRODUCTO ]]),"")</f>
        <v>6.1650337470063148E-2</v>
      </c>
      <c r="N53" s="13">
        <f>IFERROR(IF(CPA_DIA_MARZO[[#This Row],[VENTAS]]="","",IF(CPA_DIA_MARZO[[#This Row],[VENTAS]]=0,100%,CPA_DIA_MARZO[[#This Row],[CPA]]/CPA_DIA_MARZO[[#This Row],[GANANCIA PROMEDIO]])),"")</f>
        <v>0.14481591154343812</v>
      </c>
      <c r="O53" s="14">
        <f>IF(CPA_DIA_MARZO[[#This Row],[VENTAS]]=0,-(CPA_DIA_MARZO[[#This Row],[GASTO PUBLICIDAD]]),((CPA_DIA_MARZO[[#This Row],[GANANCIA PROMEDIO]]*CPA_DIA_MARZO[[#This Row],[VENTAS]])-CPA_DIA_MARZO[[#This Row],[GASTO PUBLICIDAD]])*0.75)</f>
        <v>125411.25</v>
      </c>
    </row>
    <row r="54" spans="1:15" x14ac:dyDescent="0.25">
      <c r="A54" s="13" t="s">
        <v>14</v>
      </c>
      <c r="B54" s="10">
        <v>46087</v>
      </c>
      <c r="C54" s="15" t="s">
        <v>26</v>
      </c>
      <c r="D54" s="15" t="s">
        <v>27</v>
      </c>
      <c r="E54" s="12">
        <v>25471</v>
      </c>
      <c r="F54" s="11">
        <v>6</v>
      </c>
      <c r="G54" s="12">
        <v>239700</v>
      </c>
      <c r="H54" s="12">
        <v>28344</v>
      </c>
      <c r="I54" s="11">
        <v>3</v>
      </c>
      <c r="J54" s="12">
        <f>IFERROR(IF(CPA_DIA_MARZO[[#This Row],[TOTAL FACTURADO]]="","",IF(CPA_DIA_MARZO[[#This Row],[TOTAL FACTURADO]]=0,0,CPA_DIA_MARZO[[#This Row],[TOTAL FACTURADO]]/CPA_DIA_MARZO[[#This Row],[VENTAS]])),"")</f>
        <v>79900</v>
      </c>
      <c r="K54" s="12">
        <f>IFERROR(IF(CPA_DIA_MARZO[[#This Row],[VENTAS]]=0,"",CPA_DIA_MARZO[[#This Row],[GASTO PUBLICIDAD]]/CPA_DIA_MARZO[[#This Row],[VENTAS]]),"")</f>
        <v>8490.3333333333339</v>
      </c>
      <c r="L54" s="13">
        <f>IFERROR(CPA_DIA_MARZO[[#This Row],[VENTAS]]/CPA_DIA_MARZO[[#This Row],[CONVERSACIONES]],"")</f>
        <v>0.5</v>
      </c>
      <c r="M54" s="13">
        <f>IFERROR(IF(CPA_DIA_MARZO[[#This Row],[CPA]]="","",CPA_DIA_MARZO[[#This Row],[CPA]]*100%/CPA_DIA_MARZO[[#This Row],[TICKET PROMEDIO DE PRODUCTO ]]),"")</f>
        <v>0.10626199415936588</v>
      </c>
      <c r="N54" s="13">
        <f>IFERROR(IF(CPA_DIA_MARZO[[#This Row],[VENTAS]]="","",IF(CPA_DIA_MARZO[[#This Row],[VENTAS]]=0,100%,CPA_DIA_MARZO[[#This Row],[CPA]]/CPA_DIA_MARZO[[#This Row],[GANANCIA PROMEDIO]])),"")</f>
        <v>0.29954605325054101</v>
      </c>
      <c r="O54" s="14">
        <f>IF(CPA_DIA_MARZO[[#This Row],[VENTAS]]=0,-(CPA_DIA_MARZO[[#This Row],[GASTO PUBLICIDAD]]),((CPA_DIA_MARZO[[#This Row],[GANANCIA PROMEDIO]]*CPA_DIA_MARZO[[#This Row],[VENTAS]])-CPA_DIA_MARZO[[#This Row],[GASTO PUBLICIDAD]])*0.75)</f>
        <v>44670.75</v>
      </c>
    </row>
    <row r="55" spans="1:15" x14ac:dyDescent="0.25">
      <c r="A55" s="13" t="s">
        <v>14</v>
      </c>
      <c r="B55" s="10">
        <v>46087</v>
      </c>
      <c r="C55" s="15" t="s">
        <v>28</v>
      </c>
      <c r="D55" s="15" t="s">
        <v>29</v>
      </c>
      <c r="E55" s="12">
        <v>30454</v>
      </c>
      <c r="F55" s="11">
        <v>19</v>
      </c>
      <c r="G55" s="12">
        <v>449400</v>
      </c>
      <c r="H55" s="12">
        <v>23469</v>
      </c>
      <c r="I55" s="11">
        <v>6</v>
      </c>
      <c r="J55" s="12">
        <f>IFERROR(IF(CPA_DIA_MARZO[[#This Row],[TOTAL FACTURADO]]="","",IF(CPA_DIA_MARZO[[#This Row],[TOTAL FACTURADO]]=0,0,CPA_DIA_MARZO[[#This Row],[TOTAL FACTURADO]]/CPA_DIA_MARZO[[#This Row],[VENTAS]])),"")</f>
        <v>74900</v>
      </c>
      <c r="K55" s="12">
        <f>IFERROR(IF(CPA_DIA_MARZO[[#This Row],[VENTAS]]=0,"",CPA_DIA_MARZO[[#This Row],[GASTO PUBLICIDAD]]/CPA_DIA_MARZO[[#This Row],[VENTAS]]),"")</f>
        <v>5075.666666666667</v>
      </c>
      <c r="L55" s="13">
        <f>IFERROR(CPA_DIA_MARZO[[#This Row],[VENTAS]]/CPA_DIA_MARZO[[#This Row],[CONVERSACIONES]],"")</f>
        <v>0.31578947368421051</v>
      </c>
      <c r="M55" s="13">
        <f>IFERROR(IF(CPA_DIA_MARZO[[#This Row],[CPA]]="","",CPA_DIA_MARZO[[#This Row],[CPA]]*100%/CPA_DIA_MARZO[[#This Row],[TICKET PROMEDIO DE PRODUCTO ]]),"")</f>
        <v>6.7765910102358703E-2</v>
      </c>
      <c r="N55" s="13">
        <f>IFERROR(IF(CPA_DIA_MARZO[[#This Row],[VENTAS]]="","",IF(CPA_DIA_MARZO[[#This Row],[VENTAS]]=0,100%,CPA_DIA_MARZO[[#This Row],[CPA]]/CPA_DIA_MARZO[[#This Row],[GANANCIA PROMEDIO]])),"")</f>
        <v>0.21627110940673513</v>
      </c>
      <c r="O55" s="14">
        <f>IF(CPA_DIA_MARZO[[#This Row],[VENTAS]]=0,-(CPA_DIA_MARZO[[#This Row],[GASTO PUBLICIDAD]]),((CPA_DIA_MARZO[[#This Row],[GANANCIA PROMEDIO]]*CPA_DIA_MARZO[[#This Row],[VENTAS]])-CPA_DIA_MARZO[[#This Row],[GASTO PUBLICIDAD]])*0.75)</f>
        <v>82770</v>
      </c>
    </row>
    <row r="56" spans="1:15" x14ac:dyDescent="0.25">
      <c r="A56" s="13" t="s">
        <v>14</v>
      </c>
      <c r="B56" s="10">
        <v>46087</v>
      </c>
      <c r="C56" s="15" t="s">
        <v>30</v>
      </c>
      <c r="D56" s="15" t="s">
        <v>29</v>
      </c>
      <c r="E56" s="12">
        <v>36300</v>
      </c>
      <c r="F56" s="11">
        <v>26</v>
      </c>
      <c r="G56" s="12">
        <v>59900</v>
      </c>
      <c r="H56" s="12">
        <v>38934</v>
      </c>
      <c r="I56" s="11">
        <v>1</v>
      </c>
      <c r="J56" s="12">
        <f>IFERROR(IF(CPA_DIA_MARZO[[#This Row],[TOTAL FACTURADO]]="","",IF(CPA_DIA_MARZO[[#This Row],[TOTAL FACTURADO]]=0,0,CPA_DIA_MARZO[[#This Row],[TOTAL FACTURADO]]/CPA_DIA_MARZO[[#This Row],[VENTAS]])),"")</f>
        <v>59900</v>
      </c>
      <c r="K56" s="12">
        <f>IFERROR(IF(CPA_DIA_MARZO[[#This Row],[VENTAS]]=0,"",CPA_DIA_MARZO[[#This Row],[GASTO PUBLICIDAD]]/CPA_DIA_MARZO[[#This Row],[VENTAS]]),"")</f>
        <v>36300</v>
      </c>
      <c r="L56" s="13">
        <f>IFERROR(CPA_DIA_MARZO[[#This Row],[VENTAS]]/CPA_DIA_MARZO[[#This Row],[CONVERSACIONES]],"")</f>
        <v>3.8461538461538464E-2</v>
      </c>
      <c r="M56" s="13">
        <f>IFERROR(IF(CPA_DIA_MARZO[[#This Row],[CPA]]="","",CPA_DIA_MARZO[[#This Row],[CPA]]*100%/CPA_DIA_MARZO[[#This Row],[TICKET PROMEDIO DE PRODUCTO ]]),"")</f>
        <v>0.60601001669449084</v>
      </c>
      <c r="N56" s="13">
        <f>IFERROR(IF(CPA_DIA_MARZO[[#This Row],[VENTAS]]="","",IF(CPA_DIA_MARZO[[#This Row],[VENTAS]]=0,100%,CPA_DIA_MARZO[[#This Row],[CPA]]/CPA_DIA_MARZO[[#This Row],[GANANCIA PROMEDIO]])),"")</f>
        <v>0.93234704885190323</v>
      </c>
      <c r="O56" s="14">
        <f>IF(CPA_DIA_MARZO[[#This Row],[VENTAS]]=0,-(CPA_DIA_MARZO[[#This Row],[GASTO PUBLICIDAD]]),((CPA_DIA_MARZO[[#This Row],[GANANCIA PROMEDIO]]*CPA_DIA_MARZO[[#This Row],[VENTAS]])-CPA_DIA_MARZO[[#This Row],[GASTO PUBLICIDAD]])*0.75)</f>
        <v>1975.5</v>
      </c>
    </row>
    <row r="57" spans="1:15" x14ac:dyDescent="0.25">
      <c r="A57" s="13" t="s">
        <v>14</v>
      </c>
      <c r="B57" s="10">
        <v>46087</v>
      </c>
      <c r="C57" s="20" t="s">
        <v>37</v>
      </c>
      <c r="D57" s="20" t="s">
        <v>38</v>
      </c>
      <c r="E57" s="12">
        <v>17342</v>
      </c>
      <c r="F57" s="11">
        <v>10</v>
      </c>
      <c r="G57" s="12">
        <v>0</v>
      </c>
      <c r="H57" s="12">
        <v>0</v>
      </c>
      <c r="I57" s="11">
        <v>0</v>
      </c>
      <c r="J57" s="12">
        <f>IFERROR(IF(CPA_DIA_MARZO[[#This Row],[TOTAL FACTURADO]]="","",IF(CPA_DIA_MARZO[[#This Row],[TOTAL FACTURADO]]=0,0,CPA_DIA_MARZO[[#This Row],[TOTAL FACTURADO]]/CPA_DIA_MARZO[[#This Row],[VENTAS]])),"")</f>
        <v>0</v>
      </c>
      <c r="K57" s="12" t="str">
        <f>IFERROR(IF(CPA_DIA_MARZO[[#This Row],[VENTAS]]=0,"",CPA_DIA_MARZO[[#This Row],[GASTO PUBLICIDAD]]/CPA_DIA_MARZO[[#This Row],[VENTAS]]),"")</f>
        <v/>
      </c>
      <c r="L57" s="13">
        <f>IFERROR(CPA_DIA_MARZO[[#This Row],[VENTAS]]/CPA_DIA_MARZO[[#This Row],[CONVERSACIONES]],"")</f>
        <v>0</v>
      </c>
      <c r="M57" s="13" t="str">
        <f>IFERROR(IF(CPA_DIA_MARZO[[#This Row],[CPA]]="","",CPA_DIA_MARZO[[#This Row],[CPA]]*100%/CPA_DIA_MARZO[[#This Row],[TICKET PROMEDIO DE PRODUCTO ]]),"")</f>
        <v/>
      </c>
      <c r="N57" s="13">
        <f>IFERROR(IF(CPA_DIA_MARZO[[#This Row],[VENTAS]]="","",IF(CPA_DIA_MARZO[[#This Row],[VENTAS]]=0,100%,CPA_DIA_MARZO[[#This Row],[CPA]]/CPA_DIA_MARZO[[#This Row],[GANANCIA PROMEDIO]])),"")</f>
        <v>1</v>
      </c>
      <c r="O57" s="14">
        <f>IF(CPA_DIA_MARZO[[#This Row],[VENTAS]]=0,-(CPA_DIA_MARZO[[#This Row],[GASTO PUBLICIDAD]]),((CPA_DIA_MARZO[[#This Row],[GANANCIA PROMEDIO]]*CPA_DIA_MARZO[[#This Row],[VENTAS]])-CPA_DIA_MARZO[[#This Row],[GASTO PUBLICIDAD]])*0.75)</f>
        <v>-17342</v>
      </c>
    </row>
    <row r="58" spans="1:15" x14ac:dyDescent="0.25">
      <c r="A58" s="13" t="s">
        <v>14</v>
      </c>
      <c r="B58" s="10">
        <v>46087</v>
      </c>
      <c r="C58" s="15" t="s">
        <v>31</v>
      </c>
      <c r="D58" s="15" t="s">
        <v>32</v>
      </c>
      <c r="E58" s="12">
        <v>18194</v>
      </c>
      <c r="F58" s="11">
        <v>12</v>
      </c>
      <c r="G58" s="12">
        <v>69900</v>
      </c>
      <c r="H58" s="12">
        <v>24784</v>
      </c>
      <c r="I58" s="11">
        <v>1</v>
      </c>
      <c r="J58" s="12">
        <f>IFERROR(IF(CPA_DIA_MARZO[[#This Row],[TOTAL FACTURADO]]="","",IF(CPA_DIA_MARZO[[#This Row],[TOTAL FACTURADO]]=0,0,CPA_DIA_MARZO[[#This Row],[TOTAL FACTURADO]]/CPA_DIA_MARZO[[#This Row],[VENTAS]])),"")</f>
        <v>69900</v>
      </c>
      <c r="K58" s="12">
        <f>IFERROR(IF(CPA_DIA_MARZO[[#This Row],[VENTAS]]=0,"",CPA_DIA_MARZO[[#This Row],[GASTO PUBLICIDAD]]/CPA_DIA_MARZO[[#This Row],[VENTAS]]),"")</f>
        <v>18194</v>
      </c>
      <c r="L58" s="13">
        <f>IFERROR(CPA_DIA_MARZO[[#This Row],[VENTAS]]/CPA_DIA_MARZO[[#This Row],[CONVERSACIONES]],"")</f>
        <v>8.3333333333333329E-2</v>
      </c>
      <c r="M58" s="13">
        <f>IFERROR(IF(CPA_DIA_MARZO[[#This Row],[CPA]]="","",CPA_DIA_MARZO[[#This Row],[CPA]]*100%/CPA_DIA_MARZO[[#This Row],[TICKET PROMEDIO DE PRODUCTO ]]),"")</f>
        <v>0.26028612303290416</v>
      </c>
      <c r="N58" s="13">
        <f>IFERROR(IF(CPA_DIA_MARZO[[#This Row],[VENTAS]]="","",IF(CPA_DIA_MARZO[[#This Row],[VENTAS]]=0,100%,CPA_DIA_MARZO[[#This Row],[CPA]]/CPA_DIA_MARZO[[#This Row],[GANANCIA PROMEDIO]])),"")</f>
        <v>0.73410264686894766</v>
      </c>
      <c r="O58" s="14">
        <f>IF(CPA_DIA_MARZO[[#This Row],[VENTAS]]=0,-(CPA_DIA_MARZO[[#This Row],[GASTO PUBLICIDAD]]),((CPA_DIA_MARZO[[#This Row],[GANANCIA PROMEDIO]]*CPA_DIA_MARZO[[#This Row],[VENTAS]])-CPA_DIA_MARZO[[#This Row],[GASTO PUBLICIDAD]])*0.75)</f>
        <v>4942.5</v>
      </c>
    </row>
    <row r="59" spans="1:15" x14ac:dyDescent="0.25">
      <c r="A59" s="13" t="s">
        <v>14</v>
      </c>
      <c r="B59" s="10">
        <v>46087</v>
      </c>
      <c r="C59" s="15" t="s">
        <v>36</v>
      </c>
      <c r="D59" s="15" t="s">
        <v>32</v>
      </c>
      <c r="E59" s="12">
        <v>37017</v>
      </c>
      <c r="F59" s="11">
        <v>15</v>
      </c>
      <c r="G59" s="12">
        <v>239700</v>
      </c>
      <c r="H59" s="12">
        <v>33677</v>
      </c>
      <c r="I59" s="11">
        <v>3</v>
      </c>
      <c r="J59" s="12">
        <f>IFERROR(IF(CPA_DIA_MARZO[[#This Row],[TOTAL FACTURADO]]="","",IF(CPA_DIA_MARZO[[#This Row],[TOTAL FACTURADO]]=0,0,CPA_DIA_MARZO[[#This Row],[TOTAL FACTURADO]]/CPA_DIA_MARZO[[#This Row],[VENTAS]])),"")</f>
        <v>79900</v>
      </c>
      <c r="K59" s="12">
        <f>IFERROR(IF(CPA_DIA_MARZO[[#This Row],[VENTAS]]=0,"",CPA_DIA_MARZO[[#This Row],[GASTO PUBLICIDAD]]/CPA_DIA_MARZO[[#This Row],[VENTAS]]),"")</f>
        <v>12339</v>
      </c>
      <c r="L59" s="13">
        <f>IFERROR(CPA_DIA_MARZO[[#This Row],[VENTAS]]/CPA_DIA_MARZO[[#This Row],[CONVERSACIONES]],"")</f>
        <v>0.2</v>
      </c>
      <c r="M59" s="13">
        <f>IFERROR(IF(CPA_DIA_MARZO[[#This Row],[CPA]]="","",CPA_DIA_MARZO[[#This Row],[CPA]]*100%/CPA_DIA_MARZO[[#This Row],[TICKET PROMEDIO DE PRODUCTO ]]),"")</f>
        <v>0.1544305381727159</v>
      </c>
      <c r="N59" s="13">
        <f>IFERROR(IF(CPA_DIA_MARZO[[#This Row],[VENTAS]]="","",IF(CPA_DIA_MARZO[[#This Row],[VENTAS]]=0,100%,CPA_DIA_MARZO[[#This Row],[CPA]]/CPA_DIA_MARZO[[#This Row],[GANANCIA PROMEDIO]])),"")</f>
        <v>0.36639249339311697</v>
      </c>
      <c r="O59" s="14">
        <f>IF(CPA_DIA_MARZO[[#This Row],[VENTAS]]=0,-(CPA_DIA_MARZO[[#This Row],[GASTO PUBLICIDAD]]),((CPA_DIA_MARZO[[#This Row],[GANANCIA PROMEDIO]]*CPA_DIA_MARZO[[#This Row],[VENTAS]])-CPA_DIA_MARZO[[#This Row],[GASTO PUBLICIDAD]])*0.75)</f>
        <v>48010.5</v>
      </c>
    </row>
    <row r="60" spans="1:15" x14ac:dyDescent="0.25">
      <c r="A60" s="13" t="s">
        <v>14</v>
      </c>
      <c r="B60" s="10">
        <v>46087</v>
      </c>
      <c r="C60" s="19" t="s">
        <v>34</v>
      </c>
      <c r="D60" s="19" t="s">
        <v>35</v>
      </c>
      <c r="E60" s="12">
        <v>45306</v>
      </c>
      <c r="F60" s="11">
        <v>22</v>
      </c>
      <c r="G60" s="12">
        <v>114800</v>
      </c>
      <c r="H60" s="12">
        <v>16317</v>
      </c>
      <c r="I60" s="11">
        <v>2</v>
      </c>
      <c r="J60" s="12">
        <f>IFERROR(IF(CPA_DIA_MARZO[[#This Row],[TOTAL FACTURADO]]="","",IF(CPA_DIA_MARZO[[#This Row],[TOTAL FACTURADO]]=0,0,CPA_DIA_MARZO[[#This Row],[TOTAL FACTURADO]]/CPA_DIA_MARZO[[#This Row],[VENTAS]])),"")</f>
        <v>57400</v>
      </c>
      <c r="K60" s="12">
        <f>IFERROR(IF(CPA_DIA_MARZO[[#This Row],[VENTAS]]=0,"",CPA_DIA_MARZO[[#This Row],[GASTO PUBLICIDAD]]/CPA_DIA_MARZO[[#This Row],[VENTAS]]),"")</f>
        <v>22653</v>
      </c>
      <c r="L60" s="13">
        <f>IFERROR(CPA_DIA_MARZO[[#This Row],[VENTAS]]/CPA_DIA_MARZO[[#This Row],[CONVERSACIONES]],"")</f>
        <v>9.0909090909090912E-2</v>
      </c>
      <c r="M60" s="13">
        <f>IFERROR(IF(CPA_DIA_MARZO[[#This Row],[CPA]]="","",CPA_DIA_MARZO[[#This Row],[CPA]]*100%/CPA_DIA_MARZO[[#This Row],[TICKET PROMEDIO DE PRODUCTO ]]),"")</f>
        <v>0.39465156794425088</v>
      </c>
      <c r="N60" s="13">
        <f>IFERROR(IF(CPA_DIA_MARZO[[#This Row],[VENTAS]]="","",IF(CPA_DIA_MARZO[[#This Row],[VENTAS]]=0,100%,CPA_DIA_MARZO[[#This Row],[CPA]]/CPA_DIA_MARZO[[#This Row],[GANANCIA PROMEDIO]])),"")</f>
        <v>1.3883066740209598</v>
      </c>
      <c r="O60" s="14">
        <f>IF(CPA_DIA_MARZO[[#This Row],[VENTAS]]=0,-(CPA_DIA_MARZO[[#This Row],[GASTO PUBLICIDAD]]),((CPA_DIA_MARZO[[#This Row],[GANANCIA PROMEDIO]]*CPA_DIA_MARZO[[#This Row],[VENTAS]])-CPA_DIA_MARZO[[#This Row],[GASTO PUBLICIDAD]])*0.75)</f>
        <v>-9504</v>
      </c>
    </row>
    <row r="61" spans="1:15" x14ac:dyDescent="0.25">
      <c r="A61" s="25" t="s">
        <v>14</v>
      </c>
      <c r="B61" s="9">
        <v>46088</v>
      </c>
      <c r="C61" s="27" t="s">
        <v>15</v>
      </c>
      <c r="D61" s="27" t="s">
        <v>16</v>
      </c>
      <c r="E61" s="12">
        <v>103382</v>
      </c>
      <c r="F61" s="11">
        <v>38</v>
      </c>
      <c r="G61" s="12">
        <v>873599</v>
      </c>
      <c r="H61" s="12">
        <v>17525</v>
      </c>
      <c r="I61" s="11">
        <v>14</v>
      </c>
      <c r="J61" s="12">
        <f>IFERROR(IF(CPA_DIA_MARZO[[#This Row],[TOTAL FACTURADO]]="","",IF(CPA_DIA_MARZO[[#This Row],[TOTAL FACTURADO]]=0,0,CPA_DIA_MARZO[[#This Row],[TOTAL FACTURADO]]/CPA_DIA_MARZO[[#This Row],[VENTAS]])),"")</f>
        <v>62399.928571428572</v>
      </c>
      <c r="K61" s="12">
        <f>IFERROR(IF(CPA_DIA_MARZO[[#This Row],[VENTAS]]=0,"",CPA_DIA_MARZO[[#This Row],[GASTO PUBLICIDAD]]/CPA_DIA_MARZO[[#This Row],[VENTAS]]),"")</f>
        <v>7384.4285714285716</v>
      </c>
      <c r="L61" s="13">
        <f>IFERROR(CPA_DIA_MARZO[[#This Row],[VENTAS]]/CPA_DIA_MARZO[[#This Row],[CONVERSACIONES]],"")</f>
        <v>0.36842105263157893</v>
      </c>
      <c r="M61" s="13">
        <f>IFERROR(IF(CPA_DIA_MARZO[[#This Row],[CPA]]="","",CPA_DIA_MARZO[[#This Row],[CPA]]*100%/CPA_DIA_MARZO[[#This Row],[TICKET PROMEDIO DE PRODUCTO ]]),"")</f>
        <v>0.11834033692804136</v>
      </c>
      <c r="N61" s="13">
        <f>IFERROR(IF(CPA_DIA_MARZO[[#This Row],[VENTAS]]="","",IF(CPA_DIA_MARZO[[#This Row],[VENTAS]]=0,100%,CPA_DIA_MARZO[[#This Row],[CPA]]/CPA_DIA_MARZO[[#This Row],[GANANCIA PROMEDIO]])),"")</f>
        <v>0.42136539637252907</v>
      </c>
      <c r="O61" s="14">
        <f>IF(CPA_DIA_MARZO[[#This Row],[VENTAS]]=0,-(CPA_DIA_MARZO[[#This Row],[GASTO PUBLICIDAD]]),((CPA_DIA_MARZO[[#This Row],[GANANCIA PROMEDIO]]*CPA_DIA_MARZO[[#This Row],[VENTAS]])-CPA_DIA_MARZO[[#This Row],[GASTO PUBLICIDAD]])*0.75)</f>
        <v>106476</v>
      </c>
    </row>
    <row r="62" spans="1:15" x14ac:dyDescent="0.25">
      <c r="A62" s="13" t="s">
        <v>14</v>
      </c>
      <c r="B62" s="10">
        <v>46088</v>
      </c>
      <c r="C62" s="15" t="s">
        <v>17</v>
      </c>
      <c r="D62" s="15" t="s">
        <v>18</v>
      </c>
      <c r="E62" s="12">
        <v>8427</v>
      </c>
      <c r="F62" s="11">
        <v>3</v>
      </c>
      <c r="G62" s="12">
        <v>0</v>
      </c>
      <c r="H62" s="12">
        <v>0</v>
      </c>
      <c r="I62" s="11">
        <v>0</v>
      </c>
      <c r="J62" s="12">
        <f>IFERROR(IF(CPA_DIA_MARZO[[#This Row],[TOTAL FACTURADO]]="","",IF(CPA_DIA_MARZO[[#This Row],[TOTAL FACTURADO]]=0,0,CPA_DIA_MARZO[[#This Row],[TOTAL FACTURADO]]/CPA_DIA_MARZO[[#This Row],[VENTAS]])),"")</f>
        <v>0</v>
      </c>
      <c r="K62" s="12" t="str">
        <f>IFERROR(IF(CPA_DIA_MARZO[[#This Row],[VENTAS]]=0,"",CPA_DIA_MARZO[[#This Row],[GASTO PUBLICIDAD]]/CPA_DIA_MARZO[[#This Row],[VENTAS]]),"")</f>
        <v/>
      </c>
      <c r="L62" s="13">
        <f>IFERROR(CPA_DIA_MARZO[[#This Row],[VENTAS]]/CPA_DIA_MARZO[[#This Row],[CONVERSACIONES]],"")</f>
        <v>0</v>
      </c>
      <c r="M62" s="13" t="str">
        <f>IFERROR(IF(CPA_DIA_MARZO[[#This Row],[CPA]]="","",CPA_DIA_MARZO[[#This Row],[CPA]]*100%/CPA_DIA_MARZO[[#This Row],[TICKET PROMEDIO DE PRODUCTO ]]),"")</f>
        <v/>
      </c>
      <c r="N62" s="13">
        <f>IFERROR(IF(CPA_DIA_MARZO[[#This Row],[VENTAS]]="","",IF(CPA_DIA_MARZO[[#This Row],[VENTAS]]=0,100%,CPA_DIA_MARZO[[#This Row],[CPA]]/CPA_DIA_MARZO[[#This Row],[GANANCIA PROMEDIO]])),"")</f>
        <v>1</v>
      </c>
      <c r="O62" s="14">
        <f>IF(CPA_DIA_MARZO[[#This Row],[VENTAS]]=0,-(CPA_DIA_MARZO[[#This Row],[GASTO PUBLICIDAD]]),((CPA_DIA_MARZO[[#This Row],[GANANCIA PROMEDIO]]*CPA_DIA_MARZO[[#This Row],[VENTAS]])-CPA_DIA_MARZO[[#This Row],[GASTO PUBLICIDAD]])*0.75)</f>
        <v>-8427</v>
      </c>
    </row>
    <row r="63" spans="1:15" x14ac:dyDescent="0.25">
      <c r="A63" s="13" t="s">
        <v>14</v>
      </c>
      <c r="B63" s="10">
        <v>46088</v>
      </c>
      <c r="C63" s="15" t="s">
        <v>19</v>
      </c>
      <c r="D63" s="15" t="s">
        <v>20</v>
      </c>
      <c r="E63" s="12">
        <v>204360</v>
      </c>
      <c r="F63" s="11">
        <v>147</v>
      </c>
      <c r="G63" s="12">
        <v>908999</v>
      </c>
      <c r="H63" s="12">
        <v>31263</v>
      </c>
      <c r="I63" s="11">
        <v>10</v>
      </c>
      <c r="J63" s="12">
        <f>IFERROR(IF(CPA_DIA_MARZO[[#This Row],[TOTAL FACTURADO]]="","",IF(CPA_DIA_MARZO[[#This Row],[TOTAL FACTURADO]]=0,0,CPA_DIA_MARZO[[#This Row],[TOTAL FACTURADO]]/CPA_DIA_MARZO[[#This Row],[VENTAS]])),"")</f>
        <v>90899.9</v>
      </c>
      <c r="K63" s="12">
        <f>IFERROR(IF(CPA_DIA_MARZO[[#This Row],[VENTAS]]=0,"",CPA_DIA_MARZO[[#This Row],[GASTO PUBLICIDAD]]/CPA_DIA_MARZO[[#This Row],[VENTAS]]),"")</f>
        <v>20436</v>
      </c>
      <c r="L63" s="13">
        <f>IFERROR(CPA_DIA_MARZO[[#This Row],[VENTAS]]/CPA_DIA_MARZO[[#This Row],[CONVERSACIONES]],"")</f>
        <v>6.8027210884353748E-2</v>
      </c>
      <c r="M63" s="13">
        <f>IFERROR(IF(CPA_DIA_MARZO[[#This Row],[CPA]]="","",CPA_DIA_MARZO[[#This Row],[CPA]]*100%/CPA_DIA_MARZO[[#This Row],[TICKET PROMEDIO DE PRODUCTO ]]),"")</f>
        <v>0.22481872917351944</v>
      </c>
      <c r="N63" s="13">
        <f>IFERROR(IF(CPA_DIA_MARZO[[#This Row],[VENTAS]]="","",IF(CPA_DIA_MARZO[[#This Row],[VENTAS]]=0,100%,CPA_DIA_MARZO[[#This Row],[CPA]]/CPA_DIA_MARZO[[#This Row],[GANANCIA PROMEDIO]])),"")</f>
        <v>0.65368006909125809</v>
      </c>
      <c r="O63" s="14">
        <f>IF(CPA_DIA_MARZO[[#This Row],[VENTAS]]=0,-(CPA_DIA_MARZO[[#This Row],[GASTO PUBLICIDAD]]),((CPA_DIA_MARZO[[#This Row],[GANANCIA PROMEDIO]]*CPA_DIA_MARZO[[#This Row],[VENTAS]])-CPA_DIA_MARZO[[#This Row],[GASTO PUBLICIDAD]])*0.75)</f>
        <v>81202.5</v>
      </c>
    </row>
    <row r="64" spans="1:15" x14ac:dyDescent="0.25">
      <c r="A64" s="13" t="s">
        <v>14</v>
      </c>
      <c r="B64" s="10">
        <v>46088</v>
      </c>
      <c r="C64" s="15" t="s">
        <v>21</v>
      </c>
      <c r="D64" s="15" t="s">
        <v>22</v>
      </c>
      <c r="E64" s="12">
        <v>32314</v>
      </c>
      <c r="F64" s="11">
        <v>18</v>
      </c>
      <c r="G64" s="12">
        <v>239600</v>
      </c>
      <c r="H64" s="12">
        <v>26136</v>
      </c>
      <c r="I64" s="11">
        <v>4</v>
      </c>
      <c r="J64" s="12">
        <f>IFERROR(IF(CPA_DIA_MARZO[[#This Row],[TOTAL FACTURADO]]="","",IF(CPA_DIA_MARZO[[#This Row],[TOTAL FACTURADO]]=0,0,CPA_DIA_MARZO[[#This Row],[TOTAL FACTURADO]]/CPA_DIA_MARZO[[#This Row],[VENTAS]])),"")</f>
        <v>59900</v>
      </c>
      <c r="K64" s="12">
        <f>IFERROR(IF(CPA_DIA_MARZO[[#This Row],[VENTAS]]=0,"",CPA_DIA_MARZO[[#This Row],[GASTO PUBLICIDAD]]/CPA_DIA_MARZO[[#This Row],[VENTAS]]),"")</f>
        <v>8078.5</v>
      </c>
      <c r="L64" s="13">
        <f>IFERROR(CPA_DIA_MARZO[[#This Row],[VENTAS]]/CPA_DIA_MARZO[[#This Row],[CONVERSACIONES]],"")</f>
        <v>0.22222222222222221</v>
      </c>
      <c r="M64" s="13">
        <f>IFERROR(IF(CPA_DIA_MARZO[[#This Row],[CPA]]="","",CPA_DIA_MARZO[[#This Row],[CPA]]*100%/CPA_DIA_MARZO[[#This Row],[TICKET PROMEDIO DE PRODUCTO ]]),"")</f>
        <v>0.13486644407345577</v>
      </c>
      <c r="N64" s="13">
        <f>IFERROR(IF(CPA_DIA_MARZO[[#This Row],[VENTAS]]="","",IF(CPA_DIA_MARZO[[#This Row],[VENTAS]]=0,100%,CPA_DIA_MARZO[[#This Row],[CPA]]/CPA_DIA_MARZO[[#This Row],[GANANCIA PROMEDIO]])),"")</f>
        <v>0.30909473523109887</v>
      </c>
      <c r="O64" s="14">
        <f>IF(CPA_DIA_MARZO[[#This Row],[VENTAS]]=0,-(CPA_DIA_MARZO[[#This Row],[GASTO PUBLICIDAD]]),((CPA_DIA_MARZO[[#This Row],[GANANCIA PROMEDIO]]*CPA_DIA_MARZO[[#This Row],[VENTAS]])-CPA_DIA_MARZO[[#This Row],[GASTO PUBLICIDAD]])*0.75)</f>
        <v>54172.5</v>
      </c>
    </row>
    <row r="65" spans="1:15" x14ac:dyDescent="0.25">
      <c r="A65" s="13" t="s">
        <v>14</v>
      </c>
      <c r="B65" s="10">
        <v>46088</v>
      </c>
      <c r="C65" s="15" t="s">
        <v>23</v>
      </c>
      <c r="D65" s="15" t="s">
        <v>22</v>
      </c>
      <c r="E65" s="12">
        <v>27679</v>
      </c>
      <c r="F65" s="11">
        <v>41</v>
      </c>
      <c r="G65" s="12">
        <v>514200</v>
      </c>
      <c r="H65" s="12">
        <v>26132</v>
      </c>
      <c r="I65" s="11">
        <v>8</v>
      </c>
      <c r="J65" s="12">
        <f>IFERROR(IF(CPA_DIA_MARZO[[#This Row],[TOTAL FACTURADO]]="","",IF(CPA_DIA_MARZO[[#This Row],[TOTAL FACTURADO]]=0,0,CPA_DIA_MARZO[[#This Row],[TOTAL FACTURADO]]/CPA_DIA_MARZO[[#This Row],[VENTAS]])),"")</f>
        <v>64275</v>
      </c>
      <c r="K65" s="12">
        <f>IFERROR(IF(CPA_DIA_MARZO[[#This Row],[VENTAS]]=0,"",CPA_DIA_MARZO[[#This Row],[GASTO PUBLICIDAD]]/CPA_DIA_MARZO[[#This Row],[VENTAS]]),"")</f>
        <v>3459.875</v>
      </c>
      <c r="L65" s="13">
        <f>IFERROR(CPA_DIA_MARZO[[#This Row],[VENTAS]]/CPA_DIA_MARZO[[#This Row],[CONVERSACIONES]],"")</f>
        <v>0.1951219512195122</v>
      </c>
      <c r="M65" s="13">
        <f>IFERROR(IF(CPA_DIA_MARZO[[#This Row],[CPA]]="","",CPA_DIA_MARZO[[#This Row],[CPA]]*100%/CPA_DIA_MARZO[[#This Row],[TICKET PROMEDIO DE PRODUCTO ]]),"")</f>
        <v>5.3829249319331002E-2</v>
      </c>
      <c r="N65" s="13">
        <f>IFERROR(IF(CPA_DIA_MARZO[[#This Row],[VENTAS]]="","",IF(CPA_DIA_MARZO[[#This Row],[VENTAS]]=0,100%,CPA_DIA_MARZO[[#This Row],[CPA]]/CPA_DIA_MARZO[[#This Row],[GANANCIA PROMEDIO]])),"")</f>
        <v>0.13239993111893464</v>
      </c>
      <c r="O65" s="14">
        <f>IF(CPA_DIA_MARZO[[#This Row],[VENTAS]]=0,-(CPA_DIA_MARZO[[#This Row],[GASTO PUBLICIDAD]]),((CPA_DIA_MARZO[[#This Row],[GANANCIA PROMEDIO]]*CPA_DIA_MARZO[[#This Row],[VENTAS]])-CPA_DIA_MARZO[[#This Row],[GASTO PUBLICIDAD]])*0.75)</f>
        <v>136032.75</v>
      </c>
    </row>
    <row r="66" spans="1:15" x14ac:dyDescent="0.25">
      <c r="A66" s="13" t="s">
        <v>14</v>
      </c>
      <c r="B66" s="10">
        <v>46088</v>
      </c>
      <c r="C66" s="15" t="s">
        <v>26</v>
      </c>
      <c r="D66" s="15" t="s">
        <v>27</v>
      </c>
      <c r="E66" s="12">
        <v>28600</v>
      </c>
      <c r="F66" s="11">
        <v>12</v>
      </c>
      <c r="G66" s="12">
        <v>369500</v>
      </c>
      <c r="H66" s="12">
        <v>23594</v>
      </c>
      <c r="I66" s="11">
        <v>5</v>
      </c>
      <c r="J66" s="12">
        <f>IFERROR(IF(CPA_DIA_MARZO[[#This Row],[TOTAL FACTURADO]]="","",IF(CPA_DIA_MARZO[[#This Row],[TOTAL FACTURADO]]=0,0,CPA_DIA_MARZO[[#This Row],[TOTAL FACTURADO]]/CPA_DIA_MARZO[[#This Row],[VENTAS]])),"")</f>
        <v>73900</v>
      </c>
      <c r="K66" s="12">
        <f>IFERROR(IF(CPA_DIA_MARZO[[#This Row],[VENTAS]]=0,"",CPA_DIA_MARZO[[#This Row],[GASTO PUBLICIDAD]]/CPA_DIA_MARZO[[#This Row],[VENTAS]]),"")</f>
        <v>5720</v>
      </c>
      <c r="L66" s="13">
        <f>IFERROR(CPA_DIA_MARZO[[#This Row],[VENTAS]]/CPA_DIA_MARZO[[#This Row],[CONVERSACIONES]],"")</f>
        <v>0.41666666666666669</v>
      </c>
      <c r="M66" s="13">
        <f>IFERROR(IF(CPA_DIA_MARZO[[#This Row],[CPA]]="","",CPA_DIA_MARZO[[#This Row],[CPA]]*100%/CPA_DIA_MARZO[[#This Row],[TICKET PROMEDIO DE PRODUCTO ]]),"")</f>
        <v>7.7401894451962105E-2</v>
      </c>
      <c r="N66" s="13">
        <f>IFERROR(IF(CPA_DIA_MARZO[[#This Row],[VENTAS]]="","",IF(CPA_DIA_MARZO[[#This Row],[VENTAS]]=0,100%,CPA_DIA_MARZO[[#This Row],[CPA]]/CPA_DIA_MARZO[[#This Row],[GANANCIA PROMEDIO]])),"")</f>
        <v>0.24243451725014833</v>
      </c>
      <c r="O66" s="14">
        <f>IF(CPA_DIA_MARZO[[#This Row],[VENTAS]]=0,-(CPA_DIA_MARZO[[#This Row],[GASTO PUBLICIDAD]]),((CPA_DIA_MARZO[[#This Row],[GANANCIA PROMEDIO]]*CPA_DIA_MARZO[[#This Row],[VENTAS]])-CPA_DIA_MARZO[[#This Row],[GASTO PUBLICIDAD]])*0.75)</f>
        <v>67027.5</v>
      </c>
    </row>
    <row r="67" spans="1:15" x14ac:dyDescent="0.25">
      <c r="A67" s="13" t="s">
        <v>14</v>
      </c>
      <c r="B67" s="10">
        <v>46088</v>
      </c>
      <c r="C67" s="15" t="s">
        <v>28</v>
      </c>
      <c r="D67" s="15" t="s">
        <v>29</v>
      </c>
      <c r="E67" s="12">
        <v>28059</v>
      </c>
      <c r="F67" s="11">
        <v>13</v>
      </c>
      <c r="G67" s="12">
        <v>209700</v>
      </c>
      <c r="H67" s="12">
        <v>25840</v>
      </c>
      <c r="I67" s="11">
        <v>3</v>
      </c>
      <c r="J67" s="12">
        <f>IFERROR(IF(CPA_DIA_MARZO[[#This Row],[TOTAL FACTURADO]]="","",IF(CPA_DIA_MARZO[[#This Row],[TOTAL FACTURADO]]=0,0,CPA_DIA_MARZO[[#This Row],[TOTAL FACTURADO]]/CPA_DIA_MARZO[[#This Row],[VENTAS]])),"")</f>
        <v>69900</v>
      </c>
      <c r="K67" s="12">
        <f>IFERROR(IF(CPA_DIA_MARZO[[#This Row],[VENTAS]]=0,"",CPA_DIA_MARZO[[#This Row],[GASTO PUBLICIDAD]]/CPA_DIA_MARZO[[#This Row],[VENTAS]]),"")</f>
        <v>9353</v>
      </c>
      <c r="L67" s="13">
        <f>IFERROR(CPA_DIA_MARZO[[#This Row],[VENTAS]]/CPA_DIA_MARZO[[#This Row],[CONVERSACIONES]],"")</f>
        <v>0.23076923076923078</v>
      </c>
      <c r="M67" s="13">
        <f>IFERROR(IF(CPA_DIA_MARZO[[#This Row],[CPA]]="","",CPA_DIA_MARZO[[#This Row],[CPA]]*100%/CPA_DIA_MARZO[[#This Row],[TICKET PROMEDIO DE PRODUCTO ]]),"")</f>
        <v>0.13380543633762518</v>
      </c>
      <c r="N67" s="13">
        <f>IFERROR(IF(CPA_DIA_MARZO[[#This Row],[VENTAS]]="","",IF(CPA_DIA_MARZO[[#This Row],[VENTAS]]=0,100%,CPA_DIA_MARZO[[#This Row],[CPA]]/CPA_DIA_MARZO[[#This Row],[GANANCIA PROMEDIO]])),"")</f>
        <v>0.36195820433436532</v>
      </c>
      <c r="O67" s="14">
        <f>IF(CPA_DIA_MARZO[[#This Row],[VENTAS]]=0,-(CPA_DIA_MARZO[[#This Row],[GASTO PUBLICIDAD]]),((CPA_DIA_MARZO[[#This Row],[GANANCIA PROMEDIO]]*CPA_DIA_MARZO[[#This Row],[VENTAS]])-CPA_DIA_MARZO[[#This Row],[GASTO PUBLICIDAD]])*0.75)</f>
        <v>37095.75</v>
      </c>
    </row>
    <row r="68" spans="1:15" x14ac:dyDescent="0.25">
      <c r="A68" s="13" t="s">
        <v>14</v>
      </c>
      <c r="B68" s="10">
        <v>46088</v>
      </c>
      <c r="C68" s="15" t="s">
        <v>30</v>
      </c>
      <c r="D68" s="15" t="s">
        <v>29</v>
      </c>
      <c r="E68" s="12">
        <v>31739</v>
      </c>
      <c r="F68" s="11">
        <v>24</v>
      </c>
      <c r="G68" s="12">
        <v>0</v>
      </c>
      <c r="H68" s="12">
        <v>0</v>
      </c>
      <c r="I68" s="11">
        <v>0</v>
      </c>
      <c r="J68" s="12">
        <f>IFERROR(IF(CPA_DIA_MARZO[[#This Row],[TOTAL FACTURADO]]="","",IF(CPA_DIA_MARZO[[#This Row],[TOTAL FACTURADO]]=0,0,CPA_DIA_MARZO[[#This Row],[TOTAL FACTURADO]]/CPA_DIA_MARZO[[#This Row],[VENTAS]])),"")</f>
        <v>0</v>
      </c>
      <c r="K68" s="12" t="str">
        <f>IFERROR(IF(CPA_DIA_MARZO[[#This Row],[VENTAS]]=0,"",CPA_DIA_MARZO[[#This Row],[GASTO PUBLICIDAD]]/CPA_DIA_MARZO[[#This Row],[VENTAS]]),"")</f>
        <v/>
      </c>
      <c r="L68" s="13">
        <f>IFERROR(CPA_DIA_MARZO[[#This Row],[VENTAS]]/CPA_DIA_MARZO[[#This Row],[CONVERSACIONES]],"")</f>
        <v>0</v>
      </c>
      <c r="M68" s="13" t="str">
        <f>IFERROR(IF(CPA_DIA_MARZO[[#This Row],[CPA]]="","",CPA_DIA_MARZO[[#This Row],[CPA]]*100%/CPA_DIA_MARZO[[#This Row],[TICKET PROMEDIO DE PRODUCTO ]]),"")</f>
        <v/>
      </c>
      <c r="N68" s="13">
        <f>IFERROR(IF(CPA_DIA_MARZO[[#This Row],[VENTAS]]="","",IF(CPA_DIA_MARZO[[#This Row],[VENTAS]]=0,100%,CPA_DIA_MARZO[[#This Row],[CPA]]/CPA_DIA_MARZO[[#This Row],[GANANCIA PROMEDIO]])),"")</f>
        <v>1</v>
      </c>
      <c r="O68" s="14">
        <f>IF(CPA_DIA_MARZO[[#This Row],[VENTAS]]=0,-(CPA_DIA_MARZO[[#This Row],[GASTO PUBLICIDAD]]),((CPA_DIA_MARZO[[#This Row],[GANANCIA PROMEDIO]]*CPA_DIA_MARZO[[#This Row],[VENTAS]])-CPA_DIA_MARZO[[#This Row],[GASTO PUBLICIDAD]])*0.75)</f>
        <v>-31739</v>
      </c>
    </row>
    <row r="69" spans="1:15" x14ac:dyDescent="0.25">
      <c r="A69" s="13" t="s">
        <v>14</v>
      </c>
      <c r="B69" s="10">
        <v>46088</v>
      </c>
      <c r="C69" s="20" t="s">
        <v>37</v>
      </c>
      <c r="D69" s="20" t="s">
        <v>38</v>
      </c>
      <c r="E69" s="12">
        <v>16410</v>
      </c>
      <c r="F69" s="11">
        <v>12</v>
      </c>
      <c r="G69" s="12">
        <v>79900</v>
      </c>
      <c r="H69" s="12">
        <v>24334</v>
      </c>
      <c r="I69" s="11">
        <v>1</v>
      </c>
      <c r="J69" s="12">
        <f>IFERROR(IF(CPA_DIA_MARZO[[#This Row],[TOTAL FACTURADO]]="","",IF(CPA_DIA_MARZO[[#This Row],[TOTAL FACTURADO]]=0,0,CPA_DIA_MARZO[[#This Row],[TOTAL FACTURADO]]/CPA_DIA_MARZO[[#This Row],[VENTAS]])),"")</f>
        <v>79900</v>
      </c>
      <c r="K69" s="12">
        <f>IFERROR(IF(CPA_DIA_MARZO[[#This Row],[VENTAS]]=0,"",CPA_DIA_MARZO[[#This Row],[GASTO PUBLICIDAD]]/CPA_DIA_MARZO[[#This Row],[VENTAS]]),"")</f>
        <v>16410</v>
      </c>
      <c r="L69" s="13">
        <f>IFERROR(CPA_DIA_MARZO[[#This Row],[VENTAS]]/CPA_DIA_MARZO[[#This Row],[CONVERSACIONES]],"")</f>
        <v>8.3333333333333329E-2</v>
      </c>
      <c r="M69" s="13">
        <f>IFERROR(IF(CPA_DIA_MARZO[[#This Row],[CPA]]="","",CPA_DIA_MARZO[[#This Row],[CPA]]*100%/CPA_DIA_MARZO[[#This Row],[TICKET PROMEDIO DE PRODUCTO ]]),"")</f>
        <v>0.20538172715894867</v>
      </c>
      <c r="N69" s="13">
        <f>IFERROR(IF(CPA_DIA_MARZO[[#This Row],[VENTAS]]="","",IF(CPA_DIA_MARZO[[#This Row],[VENTAS]]=0,100%,CPA_DIA_MARZO[[#This Row],[CPA]]/CPA_DIA_MARZO[[#This Row],[GANANCIA PROMEDIO]])),"")</f>
        <v>0.67436508588805788</v>
      </c>
      <c r="O69" s="14">
        <f>IF(CPA_DIA_MARZO[[#This Row],[VENTAS]]=0,-(CPA_DIA_MARZO[[#This Row],[GASTO PUBLICIDAD]]),((CPA_DIA_MARZO[[#This Row],[GANANCIA PROMEDIO]]*CPA_DIA_MARZO[[#This Row],[VENTAS]])-CPA_DIA_MARZO[[#This Row],[GASTO PUBLICIDAD]])*0.75)</f>
        <v>5943</v>
      </c>
    </row>
    <row r="70" spans="1:15" x14ac:dyDescent="0.25">
      <c r="A70" s="13" t="s">
        <v>14</v>
      </c>
      <c r="B70" s="10">
        <v>46088</v>
      </c>
      <c r="C70" s="15" t="s">
        <v>31</v>
      </c>
      <c r="D70" s="15" t="s">
        <v>32</v>
      </c>
      <c r="E70" s="12">
        <v>13165</v>
      </c>
      <c r="F70" s="11">
        <v>12</v>
      </c>
      <c r="G70" s="12">
        <v>139800</v>
      </c>
      <c r="H70" s="12">
        <v>21127</v>
      </c>
      <c r="I70" s="11">
        <v>2</v>
      </c>
      <c r="J70" s="12">
        <f>IFERROR(IF(CPA_DIA_MARZO[[#This Row],[TOTAL FACTURADO]]="","",IF(CPA_DIA_MARZO[[#This Row],[TOTAL FACTURADO]]=0,0,CPA_DIA_MARZO[[#This Row],[TOTAL FACTURADO]]/CPA_DIA_MARZO[[#This Row],[VENTAS]])),"")</f>
        <v>69900</v>
      </c>
      <c r="K70" s="12">
        <f>IFERROR(IF(CPA_DIA_MARZO[[#This Row],[VENTAS]]=0,"",CPA_DIA_MARZO[[#This Row],[GASTO PUBLICIDAD]]/CPA_DIA_MARZO[[#This Row],[VENTAS]]),"")</f>
        <v>6582.5</v>
      </c>
      <c r="L70" s="13">
        <f>IFERROR(CPA_DIA_MARZO[[#This Row],[VENTAS]]/CPA_DIA_MARZO[[#This Row],[CONVERSACIONES]],"")</f>
        <v>0.16666666666666666</v>
      </c>
      <c r="M70" s="13">
        <f>IFERROR(IF(CPA_DIA_MARZO[[#This Row],[CPA]]="","",CPA_DIA_MARZO[[#This Row],[CPA]]*100%/CPA_DIA_MARZO[[#This Row],[TICKET PROMEDIO DE PRODUCTO ]]),"")</f>
        <v>9.4170243204577966E-2</v>
      </c>
      <c r="N70" s="13">
        <f>IFERROR(IF(CPA_DIA_MARZO[[#This Row],[VENTAS]]="","",IF(CPA_DIA_MARZO[[#This Row],[VENTAS]]=0,100%,CPA_DIA_MARZO[[#This Row],[CPA]]/CPA_DIA_MARZO[[#This Row],[GANANCIA PROMEDIO]])),"")</f>
        <v>0.31156813556113033</v>
      </c>
      <c r="O70" s="14">
        <f>IF(CPA_DIA_MARZO[[#This Row],[VENTAS]]=0,-(CPA_DIA_MARZO[[#This Row],[GASTO PUBLICIDAD]]),((CPA_DIA_MARZO[[#This Row],[GANANCIA PROMEDIO]]*CPA_DIA_MARZO[[#This Row],[VENTAS]])-CPA_DIA_MARZO[[#This Row],[GASTO PUBLICIDAD]])*0.75)</f>
        <v>21816.75</v>
      </c>
    </row>
    <row r="71" spans="1:15" x14ac:dyDescent="0.25">
      <c r="A71" s="13" t="s">
        <v>14</v>
      </c>
      <c r="B71" s="10">
        <v>46088</v>
      </c>
      <c r="C71" s="15" t="s">
        <v>36</v>
      </c>
      <c r="D71" s="15" t="s">
        <v>32</v>
      </c>
      <c r="E71" s="12">
        <v>36094</v>
      </c>
      <c r="F71" s="11">
        <v>15</v>
      </c>
      <c r="G71" s="12">
        <v>239700</v>
      </c>
      <c r="H71" s="12">
        <v>33701</v>
      </c>
      <c r="I71" s="11">
        <v>3</v>
      </c>
      <c r="J71" s="12">
        <f>IFERROR(IF(CPA_DIA_MARZO[[#This Row],[TOTAL FACTURADO]]="","",IF(CPA_DIA_MARZO[[#This Row],[TOTAL FACTURADO]]=0,0,CPA_DIA_MARZO[[#This Row],[TOTAL FACTURADO]]/CPA_DIA_MARZO[[#This Row],[VENTAS]])),"")</f>
        <v>79900</v>
      </c>
      <c r="K71" s="12">
        <f>IFERROR(IF(CPA_DIA_MARZO[[#This Row],[VENTAS]]=0,"",CPA_DIA_MARZO[[#This Row],[GASTO PUBLICIDAD]]/CPA_DIA_MARZO[[#This Row],[VENTAS]]),"")</f>
        <v>12031.333333333334</v>
      </c>
      <c r="L71" s="13">
        <f>IFERROR(CPA_DIA_MARZO[[#This Row],[VENTAS]]/CPA_DIA_MARZO[[#This Row],[CONVERSACIONES]],"")</f>
        <v>0.2</v>
      </c>
      <c r="M71" s="13">
        <f>IFERROR(IF(CPA_DIA_MARZO[[#This Row],[CPA]]="","",CPA_DIA_MARZO[[#This Row],[CPA]]*100%/CPA_DIA_MARZO[[#This Row],[TICKET PROMEDIO DE PRODUCTO ]]),"")</f>
        <v>0.15057989153108053</v>
      </c>
      <c r="N71" s="13">
        <f>IFERROR(IF(CPA_DIA_MARZO[[#This Row],[VENTAS]]="","",IF(CPA_DIA_MARZO[[#This Row],[VENTAS]]=0,100%,CPA_DIA_MARZO[[#This Row],[CPA]]/CPA_DIA_MARZO[[#This Row],[GANANCIA PROMEDIO]])),"")</f>
        <v>0.357002265016864</v>
      </c>
      <c r="O71" s="14">
        <f>IF(CPA_DIA_MARZO[[#This Row],[VENTAS]]=0,-(CPA_DIA_MARZO[[#This Row],[GASTO PUBLICIDAD]]),((CPA_DIA_MARZO[[#This Row],[GANANCIA PROMEDIO]]*CPA_DIA_MARZO[[#This Row],[VENTAS]])-CPA_DIA_MARZO[[#This Row],[GASTO PUBLICIDAD]])*0.75)</f>
        <v>48756.75</v>
      </c>
    </row>
    <row r="72" spans="1:15" x14ac:dyDescent="0.25">
      <c r="A72" s="13" t="s">
        <v>14</v>
      </c>
      <c r="B72" s="10">
        <v>46088</v>
      </c>
      <c r="C72" s="19" t="s">
        <v>34</v>
      </c>
      <c r="D72" s="19" t="s">
        <v>35</v>
      </c>
      <c r="E72" s="12">
        <v>48345</v>
      </c>
      <c r="F72" s="11">
        <v>31</v>
      </c>
      <c r="G72" s="12">
        <v>509300</v>
      </c>
      <c r="H72" s="12">
        <v>20494</v>
      </c>
      <c r="I72" s="11">
        <v>7</v>
      </c>
      <c r="J72" s="12">
        <f>IFERROR(IF(CPA_DIA_MARZO[[#This Row],[TOTAL FACTURADO]]="","",IF(CPA_DIA_MARZO[[#This Row],[TOTAL FACTURADO]]=0,0,CPA_DIA_MARZO[[#This Row],[TOTAL FACTURADO]]/CPA_DIA_MARZO[[#This Row],[VENTAS]])),"")</f>
        <v>72757.142857142855</v>
      </c>
      <c r="K72" s="12">
        <f>IFERROR(IF(CPA_DIA_MARZO[[#This Row],[VENTAS]]=0,"",CPA_DIA_MARZO[[#This Row],[GASTO PUBLICIDAD]]/CPA_DIA_MARZO[[#This Row],[VENTAS]]),"")</f>
        <v>6906.4285714285716</v>
      </c>
      <c r="L72" s="13">
        <f>IFERROR(CPA_DIA_MARZO[[#This Row],[VENTAS]]/CPA_DIA_MARZO[[#This Row],[CONVERSACIONES]],"")</f>
        <v>0.22580645161290322</v>
      </c>
      <c r="M72" s="13">
        <f>IFERROR(IF(CPA_DIA_MARZO[[#This Row],[CPA]]="","",CPA_DIA_MARZO[[#This Row],[CPA]]*100%/CPA_DIA_MARZO[[#This Row],[TICKET PROMEDIO DE PRODUCTO ]]),"")</f>
        <v>9.4924406047516202E-2</v>
      </c>
      <c r="N72" s="13">
        <f>IFERROR(IF(CPA_DIA_MARZO[[#This Row],[VENTAS]]="","",IF(CPA_DIA_MARZO[[#This Row],[VENTAS]]=0,100%,CPA_DIA_MARZO[[#This Row],[CPA]]/CPA_DIA_MARZO[[#This Row],[GANANCIA PROMEDIO]])),"")</f>
        <v>0.33699758814426523</v>
      </c>
      <c r="O72" s="14">
        <f>IF(CPA_DIA_MARZO[[#This Row],[VENTAS]]=0,-(CPA_DIA_MARZO[[#This Row],[GASTO PUBLICIDAD]]),((CPA_DIA_MARZO[[#This Row],[GANANCIA PROMEDIO]]*CPA_DIA_MARZO[[#This Row],[VENTAS]])-CPA_DIA_MARZO[[#This Row],[GASTO PUBLICIDAD]])*0.75)</f>
        <v>71334.75</v>
      </c>
    </row>
    <row r="73" spans="1:15" x14ac:dyDescent="0.25">
      <c r="A73" s="25" t="s">
        <v>14</v>
      </c>
      <c r="B73" s="9">
        <v>46089</v>
      </c>
      <c r="C73" s="27" t="s">
        <v>15</v>
      </c>
      <c r="D73" s="27" t="s">
        <v>16</v>
      </c>
      <c r="E73" s="12">
        <v>127910</v>
      </c>
      <c r="F73" s="11">
        <v>44</v>
      </c>
      <c r="G73" s="12">
        <v>603998</v>
      </c>
      <c r="H73" s="12">
        <v>20143</v>
      </c>
      <c r="I73" s="11">
        <v>10</v>
      </c>
      <c r="J73" s="12">
        <f>IFERROR(IF(CPA_DIA_MARZO[[#This Row],[TOTAL FACTURADO]]="","",IF(CPA_DIA_MARZO[[#This Row],[TOTAL FACTURADO]]=0,0,CPA_DIA_MARZO[[#This Row],[TOTAL FACTURADO]]/CPA_DIA_MARZO[[#This Row],[VENTAS]])),"")</f>
        <v>60399.8</v>
      </c>
      <c r="K73" s="12">
        <f>IFERROR(IF(CPA_DIA_MARZO[[#This Row],[VENTAS]]=0,"",CPA_DIA_MARZO[[#This Row],[GASTO PUBLICIDAD]]/CPA_DIA_MARZO[[#This Row],[VENTAS]]),"")</f>
        <v>12791</v>
      </c>
      <c r="L73" s="13">
        <f>IFERROR(CPA_DIA_MARZO[[#This Row],[VENTAS]]/CPA_DIA_MARZO[[#This Row],[CONVERSACIONES]],"")</f>
        <v>0.22727272727272727</v>
      </c>
      <c r="M73" s="13">
        <f>IFERROR(IF(CPA_DIA_MARZO[[#This Row],[CPA]]="","",CPA_DIA_MARZO[[#This Row],[CPA]]*100%/CPA_DIA_MARZO[[#This Row],[TICKET PROMEDIO DE PRODUCTO ]]),"")</f>
        <v>0.21177222441133911</v>
      </c>
      <c r="N73" s="13">
        <f>IFERROR(IF(CPA_DIA_MARZO[[#This Row],[VENTAS]]="","",IF(CPA_DIA_MARZO[[#This Row],[VENTAS]]=0,100%,CPA_DIA_MARZO[[#This Row],[CPA]]/CPA_DIA_MARZO[[#This Row],[GANANCIA PROMEDIO]])),"")</f>
        <v>0.63500968078240583</v>
      </c>
      <c r="O73" s="14">
        <f>IF(CPA_DIA_MARZO[[#This Row],[VENTAS]]=0,-(CPA_DIA_MARZO[[#This Row],[GASTO PUBLICIDAD]]),((CPA_DIA_MARZO[[#This Row],[GANANCIA PROMEDIO]]*CPA_DIA_MARZO[[#This Row],[VENTAS]])-CPA_DIA_MARZO[[#This Row],[GASTO PUBLICIDAD]])*0.75)</f>
        <v>55140</v>
      </c>
    </row>
    <row r="74" spans="1:15" x14ac:dyDescent="0.25">
      <c r="A74" s="13" t="s">
        <v>14</v>
      </c>
      <c r="B74" s="10">
        <v>46089</v>
      </c>
      <c r="C74" s="15" t="s">
        <v>17</v>
      </c>
      <c r="D74" s="15" t="s">
        <v>18</v>
      </c>
      <c r="E74" s="12">
        <v>11795</v>
      </c>
      <c r="F74" s="11">
        <v>5</v>
      </c>
      <c r="G74" s="12">
        <v>0</v>
      </c>
      <c r="H74" s="12">
        <v>0</v>
      </c>
      <c r="I74" s="11">
        <v>0</v>
      </c>
      <c r="J74" s="12">
        <f>IFERROR(IF(CPA_DIA_MARZO[[#This Row],[TOTAL FACTURADO]]="","",IF(CPA_DIA_MARZO[[#This Row],[TOTAL FACTURADO]]=0,0,CPA_DIA_MARZO[[#This Row],[TOTAL FACTURADO]]/CPA_DIA_MARZO[[#This Row],[VENTAS]])),"")</f>
        <v>0</v>
      </c>
      <c r="K74" s="12" t="str">
        <f>IFERROR(IF(CPA_DIA_MARZO[[#This Row],[VENTAS]]=0,"",CPA_DIA_MARZO[[#This Row],[GASTO PUBLICIDAD]]/CPA_DIA_MARZO[[#This Row],[VENTAS]]),"")</f>
        <v/>
      </c>
      <c r="L74" s="13">
        <f>IFERROR(CPA_DIA_MARZO[[#This Row],[VENTAS]]/CPA_DIA_MARZO[[#This Row],[CONVERSACIONES]],"")</f>
        <v>0</v>
      </c>
      <c r="M74" s="13" t="str">
        <f>IFERROR(IF(CPA_DIA_MARZO[[#This Row],[CPA]]="","",CPA_DIA_MARZO[[#This Row],[CPA]]*100%/CPA_DIA_MARZO[[#This Row],[TICKET PROMEDIO DE PRODUCTO ]]),"")</f>
        <v/>
      </c>
      <c r="N74" s="13">
        <f>IFERROR(IF(CPA_DIA_MARZO[[#This Row],[VENTAS]]="","",IF(CPA_DIA_MARZO[[#This Row],[VENTAS]]=0,100%,CPA_DIA_MARZO[[#This Row],[CPA]]/CPA_DIA_MARZO[[#This Row],[GANANCIA PROMEDIO]])),"")</f>
        <v>1</v>
      </c>
      <c r="O74" s="14">
        <f>IF(CPA_DIA_MARZO[[#This Row],[VENTAS]]=0,-(CPA_DIA_MARZO[[#This Row],[GASTO PUBLICIDAD]]),((CPA_DIA_MARZO[[#This Row],[GANANCIA PROMEDIO]]*CPA_DIA_MARZO[[#This Row],[VENTAS]])-CPA_DIA_MARZO[[#This Row],[GASTO PUBLICIDAD]])*0.75)</f>
        <v>-11795</v>
      </c>
    </row>
    <row r="75" spans="1:15" x14ac:dyDescent="0.25">
      <c r="A75" s="13" t="s">
        <v>14</v>
      </c>
      <c r="B75" s="10">
        <v>46089</v>
      </c>
      <c r="C75" s="15" t="s">
        <v>19</v>
      </c>
      <c r="D75" s="15" t="s">
        <v>20</v>
      </c>
      <c r="E75" s="12">
        <v>205597</v>
      </c>
      <c r="F75" s="11">
        <v>147</v>
      </c>
      <c r="G75" s="12">
        <v>1408398</v>
      </c>
      <c r="H75" s="12">
        <v>32082</v>
      </c>
      <c r="I75" s="11">
        <v>16</v>
      </c>
      <c r="J75" s="12">
        <f>IFERROR(IF(CPA_DIA_MARZO[[#This Row],[TOTAL FACTURADO]]="","",IF(CPA_DIA_MARZO[[#This Row],[TOTAL FACTURADO]]=0,0,CPA_DIA_MARZO[[#This Row],[TOTAL FACTURADO]]/CPA_DIA_MARZO[[#This Row],[VENTAS]])),"")</f>
        <v>88024.875</v>
      </c>
      <c r="K75" s="12">
        <f>IFERROR(IF(CPA_DIA_MARZO[[#This Row],[VENTAS]]=0,"",CPA_DIA_MARZO[[#This Row],[GASTO PUBLICIDAD]]/CPA_DIA_MARZO[[#This Row],[VENTAS]]),"")</f>
        <v>12849.8125</v>
      </c>
      <c r="L75" s="13">
        <f>IFERROR(CPA_DIA_MARZO[[#This Row],[VENTAS]]/CPA_DIA_MARZO[[#This Row],[CONVERSACIONES]],"")</f>
        <v>0.10884353741496598</v>
      </c>
      <c r="M75" s="13">
        <f>IFERROR(IF(CPA_DIA_MARZO[[#This Row],[CPA]]="","",CPA_DIA_MARZO[[#This Row],[CPA]]*100%/CPA_DIA_MARZO[[#This Row],[TICKET PROMEDIO DE PRODUCTO ]]),"")</f>
        <v>0.1459793325466239</v>
      </c>
      <c r="N75" s="13">
        <f>IFERROR(IF(CPA_DIA_MARZO[[#This Row],[VENTAS]]="","",IF(CPA_DIA_MARZO[[#This Row],[VENTAS]]=0,100%,CPA_DIA_MARZO[[#This Row],[CPA]]/CPA_DIA_MARZO[[#This Row],[GANANCIA PROMEDIO]])),"")</f>
        <v>0.40053028177794403</v>
      </c>
      <c r="O75" s="14">
        <f>IF(CPA_DIA_MARZO[[#This Row],[VENTAS]]=0,-(CPA_DIA_MARZO[[#This Row],[GASTO PUBLICIDAD]]),((CPA_DIA_MARZO[[#This Row],[GANANCIA PROMEDIO]]*CPA_DIA_MARZO[[#This Row],[VENTAS]])-CPA_DIA_MARZO[[#This Row],[GASTO PUBLICIDAD]])*0.75)</f>
        <v>230786.25</v>
      </c>
    </row>
    <row r="76" spans="1:15" x14ac:dyDescent="0.25">
      <c r="A76" s="13" t="s">
        <v>14</v>
      </c>
      <c r="B76" s="10">
        <v>46089</v>
      </c>
      <c r="C76" s="15" t="s">
        <v>21</v>
      </c>
      <c r="D76" s="15" t="s">
        <v>22</v>
      </c>
      <c r="E76" s="12">
        <v>48970</v>
      </c>
      <c r="F76" s="11">
        <v>30</v>
      </c>
      <c r="G76" s="12">
        <v>404399</v>
      </c>
      <c r="H76" s="12">
        <v>26550</v>
      </c>
      <c r="I76" s="11">
        <v>6</v>
      </c>
      <c r="J76" s="12">
        <f>IFERROR(IF(CPA_DIA_MARZO[[#This Row],[TOTAL FACTURADO]]="","",IF(CPA_DIA_MARZO[[#This Row],[TOTAL FACTURADO]]=0,0,CPA_DIA_MARZO[[#This Row],[TOTAL FACTURADO]]/CPA_DIA_MARZO[[#This Row],[VENTAS]])),"")</f>
        <v>67399.833333333328</v>
      </c>
      <c r="K76" s="12">
        <f>IFERROR(IF(CPA_DIA_MARZO[[#This Row],[VENTAS]]=0,"",CPA_DIA_MARZO[[#This Row],[GASTO PUBLICIDAD]]/CPA_DIA_MARZO[[#This Row],[VENTAS]]),"")</f>
        <v>8161.666666666667</v>
      </c>
      <c r="L76" s="13">
        <f>IFERROR(CPA_DIA_MARZO[[#This Row],[VENTAS]]/CPA_DIA_MARZO[[#This Row],[CONVERSACIONES]],"")</f>
        <v>0.2</v>
      </c>
      <c r="M76" s="13">
        <f>IFERROR(IF(CPA_DIA_MARZO[[#This Row],[CPA]]="","",CPA_DIA_MARZO[[#This Row],[CPA]]*100%/CPA_DIA_MARZO[[#This Row],[TICKET PROMEDIO DE PRODUCTO ]]),"")</f>
        <v>0.12109327668960607</v>
      </c>
      <c r="N76" s="13">
        <f>IFERROR(IF(CPA_DIA_MARZO[[#This Row],[VENTAS]]="","",IF(CPA_DIA_MARZO[[#This Row],[VENTAS]]=0,100%,CPA_DIA_MARZO[[#This Row],[CPA]]/CPA_DIA_MARZO[[#This Row],[GANANCIA PROMEDIO]])),"")</f>
        <v>0.30740740740740741</v>
      </c>
      <c r="O76" s="14">
        <f>IF(CPA_DIA_MARZO[[#This Row],[VENTAS]]=0,-(CPA_DIA_MARZO[[#This Row],[GASTO PUBLICIDAD]]),((CPA_DIA_MARZO[[#This Row],[GANANCIA PROMEDIO]]*CPA_DIA_MARZO[[#This Row],[VENTAS]])-CPA_DIA_MARZO[[#This Row],[GASTO PUBLICIDAD]])*0.75)</f>
        <v>82747.5</v>
      </c>
    </row>
    <row r="77" spans="1:15" x14ac:dyDescent="0.25">
      <c r="A77" s="13" t="s">
        <v>14</v>
      </c>
      <c r="B77" s="10">
        <v>46089</v>
      </c>
      <c r="C77" s="15" t="s">
        <v>23</v>
      </c>
      <c r="D77" s="15" t="s">
        <v>22</v>
      </c>
      <c r="E77" s="12">
        <v>32566</v>
      </c>
      <c r="F77" s="11">
        <v>25</v>
      </c>
      <c r="G77" s="12">
        <v>798800</v>
      </c>
      <c r="H77" s="12">
        <v>26562</v>
      </c>
      <c r="I77" s="11">
        <v>12</v>
      </c>
      <c r="J77" s="12">
        <f>IFERROR(IF(CPA_DIA_MARZO[[#This Row],[TOTAL FACTURADO]]="","",IF(CPA_DIA_MARZO[[#This Row],[TOTAL FACTURADO]]=0,0,CPA_DIA_MARZO[[#This Row],[TOTAL FACTURADO]]/CPA_DIA_MARZO[[#This Row],[VENTAS]])),"")</f>
        <v>66566.666666666672</v>
      </c>
      <c r="K77" s="12">
        <f>IFERROR(IF(CPA_DIA_MARZO[[#This Row],[VENTAS]]=0,"",CPA_DIA_MARZO[[#This Row],[GASTO PUBLICIDAD]]/CPA_DIA_MARZO[[#This Row],[VENTAS]]),"")</f>
        <v>2713.8333333333335</v>
      </c>
      <c r="L77" s="13">
        <f>IFERROR(CPA_DIA_MARZO[[#This Row],[VENTAS]]/CPA_DIA_MARZO[[#This Row],[CONVERSACIONES]],"")</f>
        <v>0.48</v>
      </c>
      <c r="M77" s="13">
        <f>IFERROR(IF(CPA_DIA_MARZO[[#This Row],[CPA]]="","",CPA_DIA_MARZO[[#This Row],[CPA]]*100%/CPA_DIA_MARZO[[#This Row],[TICKET PROMEDIO DE PRODUCTO ]]),"")</f>
        <v>4.0768652979469203E-2</v>
      </c>
      <c r="N77" s="13">
        <f>IFERROR(IF(CPA_DIA_MARZO[[#This Row],[VENTAS]]="","",IF(CPA_DIA_MARZO[[#This Row],[VENTAS]]=0,100%,CPA_DIA_MARZO[[#This Row],[CPA]]/CPA_DIA_MARZO[[#This Row],[GANANCIA PROMEDIO]])),"")</f>
        <v>0.10216976633285647</v>
      </c>
      <c r="O77" s="14">
        <f>IF(CPA_DIA_MARZO[[#This Row],[VENTAS]]=0,-(CPA_DIA_MARZO[[#This Row],[GASTO PUBLICIDAD]]),((CPA_DIA_MARZO[[#This Row],[GANANCIA PROMEDIO]]*CPA_DIA_MARZO[[#This Row],[VENTAS]])-CPA_DIA_MARZO[[#This Row],[GASTO PUBLICIDAD]])*0.75)</f>
        <v>214633.5</v>
      </c>
    </row>
    <row r="78" spans="1:15" x14ac:dyDescent="0.25">
      <c r="A78" s="13" t="s">
        <v>14</v>
      </c>
      <c r="B78" s="10">
        <v>46089</v>
      </c>
      <c r="C78" s="15" t="s">
        <v>26</v>
      </c>
      <c r="D78" s="15" t="s">
        <v>27</v>
      </c>
      <c r="E78" s="12">
        <v>28607</v>
      </c>
      <c r="F78" s="11">
        <v>12</v>
      </c>
      <c r="G78" s="12">
        <v>304600</v>
      </c>
      <c r="H78" s="12">
        <v>44957</v>
      </c>
      <c r="I78" s="11">
        <v>3</v>
      </c>
      <c r="J78" s="12">
        <f>IFERROR(IF(CPA_DIA_MARZO[[#This Row],[TOTAL FACTURADO]]="","",IF(CPA_DIA_MARZO[[#This Row],[TOTAL FACTURADO]]=0,0,CPA_DIA_MARZO[[#This Row],[TOTAL FACTURADO]]/CPA_DIA_MARZO[[#This Row],[VENTAS]])),"")</f>
        <v>101533.33333333333</v>
      </c>
      <c r="K78" s="12">
        <f>IFERROR(IF(CPA_DIA_MARZO[[#This Row],[VENTAS]]=0,"",CPA_DIA_MARZO[[#This Row],[GASTO PUBLICIDAD]]/CPA_DIA_MARZO[[#This Row],[VENTAS]]),"")</f>
        <v>9535.6666666666661</v>
      </c>
      <c r="L78" s="13">
        <f>IFERROR(CPA_DIA_MARZO[[#This Row],[VENTAS]]/CPA_DIA_MARZO[[#This Row],[CONVERSACIONES]],"")</f>
        <v>0.25</v>
      </c>
      <c r="M78" s="13">
        <f>IFERROR(IF(CPA_DIA_MARZO[[#This Row],[CPA]]="","",CPA_DIA_MARZO[[#This Row],[CPA]]*100%/CPA_DIA_MARZO[[#This Row],[TICKET PROMEDIO DE PRODUCTO ]]),"")</f>
        <v>9.3916611950098483E-2</v>
      </c>
      <c r="N78" s="13">
        <f>IFERROR(IF(CPA_DIA_MARZO[[#This Row],[VENTAS]]="","",IF(CPA_DIA_MARZO[[#This Row],[VENTAS]]=0,100%,CPA_DIA_MARZO[[#This Row],[CPA]]/CPA_DIA_MARZO[[#This Row],[GANANCIA PROMEDIO]])),"")</f>
        <v>0.21210638313647856</v>
      </c>
      <c r="O78" s="14">
        <f>IF(CPA_DIA_MARZO[[#This Row],[VENTAS]]=0,-(CPA_DIA_MARZO[[#This Row],[GASTO PUBLICIDAD]]),((CPA_DIA_MARZO[[#This Row],[GANANCIA PROMEDIO]]*CPA_DIA_MARZO[[#This Row],[VENTAS]])-CPA_DIA_MARZO[[#This Row],[GASTO PUBLICIDAD]])*0.75)</f>
        <v>79698</v>
      </c>
    </row>
    <row r="79" spans="1:15" x14ac:dyDescent="0.25">
      <c r="A79" s="13" t="s">
        <v>14</v>
      </c>
      <c r="B79" s="10">
        <v>46089</v>
      </c>
      <c r="C79" s="15" t="s">
        <v>28</v>
      </c>
      <c r="D79" s="15" t="s">
        <v>29</v>
      </c>
      <c r="E79" s="12">
        <v>31334</v>
      </c>
      <c r="F79" s="11">
        <v>20</v>
      </c>
      <c r="G79" s="12">
        <v>149800</v>
      </c>
      <c r="H79" s="12">
        <v>25829</v>
      </c>
      <c r="I79" s="11">
        <v>2</v>
      </c>
      <c r="J79" s="12">
        <f>IFERROR(IF(CPA_DIA_MARZO[[#This Row],[TOTAL FACTURADO]]="","",IF(CPA_DIA_MARZO[[#This Row],[TOTAL FACTURADO]]=0,0,CPA_DIA_MARZO[[#This Row],[TOTAL FACTURADO]]/CPA_DIA_MARZO[[#This Row],[VENTAS]])),"")</f>
        <v>74900</v>
      </c>
      <c r="K79" s="12">
        <f>IFERROR(IF(CPA_DIA_MARZO[[#This Row],[VENTAS]]=0,"",CPA_DIA_MARZO[[#This Row],[GASTO PUBLICIDAD]]/CPA_DIA_MARZO[[#This Row],[VENTAS]]),"")</f>
        <v>15667</v>
      </c>
      <c r="L79" s="13">
        <f>IFERROR(CPA_DIA_MARZO[[#This Row],[VENTAS]]/CPA_DIA_MARZO[[#This Row],[CONVERSACIONES]],"")</f>
        <v>0.1</v>
      </c>
      <c r="M79" s="13">
        <f>IFERROR(IF(CPA_DIA_MARZO[[#This Row],[CPA]]="","",CPA_DIA_MARZO[[#This Row],[CPA]]*100%/CPA_DIA_MARZO[[#This Row],[TICKET PROMEDIO DE PRODUCTO ]]),"")</f>
        <v>0.20917222963951937</v>
      </c>
      <c r="N79" s="13">
        <f>IFERROR(IF(CPA_DIA_MARZO[[#This Row],[VENTAS]]="","",IF(CPA_DIA_MARZO[[#This Row],[VENTAS]]=0,100%,CPA_DIA_MARZO[[#This Row],[CPA]]/CPA_DIA_MARZO[[#This Row],[GANANCIA PROMEDIO]])),"")</f>
        <v>0.60656626272794145</v>
      </c>
      <c r="O79" s="14">
        <f>IF(CPA_DIA_MARZO[[#This Row],[VENTAS]]=0,-(CPA_DIA_MARZO[[#This Row],[GASTO PUBLICIDAD]]),((CPA_DIA_MARZO[[#This Row],[GANANCIA PROMEDIO]]*CPA_DIA_MARZO[[#This Row],[VENTAS]])-CPA_DIA_MARZO[[#This Row],[GASTO PUBLICIDAD]])*0.75)</f>
        <v>15243</v>
      </c>
    </row>
    <row r="80" spans="1:15" x14ac:dyDescent="0.25">
      <c r="A80" s="13" t="s">
        <v>14</v>
      </c>
      <c r="B80" s="10">
        <v>46089</v>
      </c>
      <c r="C80" s="15" t="s">
        <v>30</v>
      </c>
      <c r="D80" s="15" t="s">
        <v>29</v>
      </c>
      <c r="E80" s="12">
        <v>31246</v>
      </c>
      <c r="F80" s="11">
        <v>22</v>
      </c>
      <c r="G80" s="12">
        <v>0</v>
      </c>
      <c r="H80" s="12">
        <v>0</v>
      </c>
      <c r="I80" s="11">
        <v>0</v>
      </c>
      <c r="J80" s="12">
        <f>IFERROR(IF(CPA_DIA_MARZO[[#This Row],[TOTAL FACTURADO]]="","",IF(CPA_DIA_MARZO[[#This Row],[TOTAL FACTURADO]]=0,0,CPA_DIA_MARZO[[#This Row],[TOTAL FACTURADO]]/CPA_DIA_MARZO[[#This Row],[VENTAS]])),"")</f>
        <v>0</v>
      </c>
      <c r="K80" s="12" t="str">
        <f>IFERROR(IF(CPA_DIA_MARZO[[#This Row],[VENTAS]]=0,"",CPA_DIA_MARZO[[#This Row],[GASTO PUBLICIDAD]]/CPA_DIA_MARZO[[#This Row],[VENTAS]]),"")</f>
        <v/>
      </c>
      <c r="L80" s="13">
        <f>IFERROR(CPA_DIA_MARZO[[#This Row],[VENTAS]]/CPA_DIA_MARZO[[#This Row],[CONVERSACIONES]],"")</f>
        <v>0</v>
      </c>
      <c r="M80" s="13" t="str">
        <f>IFERROR(IF(CPA_DIA_MARZO[[#This Row],[CPA]]="","",CPA_DIA_MARZO[[#This Row],[CPA]]*100%/CPA_DIA_MARZO[[#This Row],[TICKET PROMEDIO DE PRODUCTO ]]),"")</f>
        <v/>
      </c>
      <c r="N80" s="13">
        <f>IFERROR(IF(CPA_DIA_MARZO[[#This Row],[VENTAS]]="","",IF(CPA_DIA_MARZO[[#This Row],[VENTAS]]=0,100%,CPA_DIA_MARZO[[#This Row],[CPA]]/CPA_DIA_MARZO[[#This Row],[GANANCIA PROMEDIO]])),"")</f>
        <v>1</v>
      </c>
      <c r="O80" s="14">
        <f>IF(CPA_DIA_MARZO[[#This Row],[VENTAS]]=0,-(CPA_DIA_MARZO[[#This Row],[GASTO PUBLICIDAD]]),((CPA_DIA_MARZO[[#This Row],[GANANCIA PROMEDIO]]*CPA_DIA_MARZO[[#This Row],[VENTAS]])-CPA_DIA_MARZO[[#This Row],[GASTO PUBLICIDAD]])*0.75)</f>
        <v>-31246</v>
      </c>
    </row>
    <row r="81" spans="1:15" x14ac:dyDescent="0.25">
      <c r="A81" s="13" t="s">
        <v>14</v>
      </c>
      <c r="B81" s="10">
        <v>46089</v>
      </c>
      <c r="C81" s="20" t="s">
        <v>37</v>
      </c>
      <c r="D81" s="20" t="s">
        <v>38</v>
      </c>
      <c r="E81" s="12">
        <v>17933</v>
      </c>
      <c r="F81" s="11">
        <v>15</v>
      </c>
      <c r="G81" s="12">
        <v>79900</v>
      </c>
      <c r="H81" s="12">
        <v>24334</v>
      </c>
      <c r="I81" s="11">
        <v>1</v>
      </c>
      <c r="J81" s="12">
        <f>IFERROR(IF(CPA_DIA_MARZO[[#This Row],[TOTAL FACTURADO]]="","",IF(CPA_DIA_MARZO[[#This Row],[TOTAL FACTURADO]]=0,0,CPA_DIA_MARZO[[#This Row],[TOTAL FACTURADO]]/CPA_DIA_MARZO[[#This Row],[VENTAS]])),"")</f>
        <v>79900</v>
      </c>
      <c r="K81" s="12">
        <f>IFERROR(IF(CPA_DIA_MARZO[[#This Row],[VENTAS]]=0,"",CPA_DIA_MARZO[[#This Row],[GASTO PUBLICIDAD]]/CPA_DIA_MARZO[[#This Row],[VENTAS]]),"")</f>
        <v>17933</v>
      </c>
      <c r="L81" s="13">
        <f>IFERROR(CPA_DIA_MARZO[[#This Row],[VENTAS]]/CPA_DIA_MARZO[[#This Row],[CONVERSACIONES]],"")</f>
        <v>6.6666666666666666E-2</v>
      </c>
      <c r="M81" s="13">
        <f>IFERROR(IF(CPA_DIA_MARZO[[#This Row],[CPA]]="","",CPA_DIA_MARZO[[#This Row],[CPA]]*100%/CPA_DIA_MARZO[[#This Row],[TICKET PROMEDIO DE PRODUCTO ]]),"")</f>
        <v>0.22444305381727159</v>
      </c>
      <c r="N81" s="13">
        <f>IFERROR(IF(CPA_DIA_MARZO[[#This Row],[VENTAS]]="","",IF(CPA_DIA_MARZO[[#This Row],[VENTAS]]=0,100%,CPA_DIA_MARZO[[#This Row],[CPA]]/CPA_DIA_MARZO[[#This Row],[GANANCIA PROMEDIO]])),"")</f>
        <v>0.73695241226267771</v>
      </c>
      <c r="O81" s="14">
        <f>IF(CPA_DIA_MARZO[[#This Row],[VENTAS]]=0,-(CPA_DIA_MARZO[[#This Row],[GASTO PUBLICIDAD]]),((CPA_DIA_MARZO[[#This Row],[GANANCIA PROMEDIO]]*CPA_DIA_MARZO[[#This Row],[VENTAS]])-CPA_DIA_MARZO[[#This Row],[GASTO PUBLICIDAD]])*0.75)</f>
        <v>4800.75</v>
      </c>
    </row>
    <row r="82" spans="1:15" x14ac:dyDescent="0.25">
      <c r="A82" s="13" t="s">
        <v>14</v>
      </c>
      <c r="B82" s="10">
        <v>46089</v>
      </c>
      <c r="C82" s="15" t="s">
        <v>31</v>
      </c>
      <c r="D82" s="15" t="s">
        <v>32</v>
      </c>
      <c r="E82" s="12">
        <v>20648</v>
      </c>
      <c r="F82" s="11">
        <v>20</v>
      </c>
      <c r="G82" s="12">
        <v>139800</v>
      </c>
      <c r="H82" s="12">
        <v>24734</v>
      </c>
      <c r="I82" s="11">
        <v>2</v>
      </c>
      <c r="J82" s="12">
        <f>IFERROR(IF(CPA_DIA_MARZO[[#This Row],[TOTAL FACTURADO]]="","",IF(CPA_DIA_MARZO[[#This Row],[TOTAL FACTURADO]]=0,0,CPA_DIA_MARZO[[#This Row],[TOTAL FACTURADO]]/CPA_DIA_MARZO[[#This Row],[VENTAS]])),"")</f>
        <v>69900</v>
      </c>
      <c r="K82" s="12">
        <f>IFERROR(IF(CPA_DIA_MARZO[[#This Row],[VENTAS]]=0,"",CPA_DIA_MARZO[[#This Row],[GASTO PUBLICIDAD]]/CPA_DIA_MARZO[[#This Row],[VENTAS]]),"")</f>
        <v>10324</v>
      </c>
      <c r="L82" s="13">
        <f>IFERROR(CPA_DIA_MARZO[[#This Row],[VENTAS]]/CPA_DIA_MARZO[[#This Row],[CONVERSACIONES]],"")</f>
        <v>0.1</v>
      </c>
      <c r="M82" s="13">
        <f>IFERROR(IF(CPA_DIA_MARZO[[#This Row],[CPA]]="","",CPA_DIA_MARZO[[#This Row],[CPA]]*100%/CPA_DIA_MARZO[[#This Row],[TICKET PROMEDIO DE PRODUCTO ]]),"")</f>
        <v>0.1476967095851216</v>
      </c>
      <c r="N82" s="13">
        <f>IFERROR(IF(CPA_DIA_MARZO[[#This Row],[VENTAS]]="","",IF(CPA_DIA_MARZO[[#This Row],[VENTAS]]=0,100%,CPA_DIA_MARZO[[#This Row],[CPA]]/CPA_DIA_MARZO[[#This Row],[GANANCIA PROMEDIO]])),"")</f>
        <v>0.41740114821702917</v>
      </c>
      <c r="O82" s="14">
        <f>IF(CPA_DIA_MARZO[[#This Row],[VENTAS]]=0,-(CPA_DIA_MARZO[[#This Row],[GASTO PUBLICIDAD]]),((CPA_DIA_MARZO[[#This Row],[GANANCIA PROMEDIO]]*CPA_DIA_MARZO[[#This Row],[VENTAS]])-CPA_DIA_MARZO[[#This Row],[GASTO PUBLICIDAD]])*0.75)</f>
        <v>21615</v>
      </c>
    </row>
    <row r="83" spans="1:15" x14ac:dyDescent="0.25">
      <c r="A83" s="13" t="s">
        <v>14</v>
      </c>
      <c r="B83" s="10">
        <v>46089</v>
      </c>
      <c r="C83" s="15" t="s">
        <v>36</v>
      </c>
      <c r="D83" s="15" t="s">
        <v>32</v>
      </c>
      <c r="E83" s="12">
        <v>40555</v>
      </c>
      <c r="F83" s="11">
        <v>15</v>
      </c>
      <c r="G83" s="12">
        <v>0</v>
      </c>
      <c r="H83" s="12">
        <v>0</v>
      </c>
      <c r="I83" s="11">
        <v>0</v>
      </c>
      <c r="J83" s="12">
        <f>IFERROR(IF(CPA_DIA_MARZO[[#This Row],[TOTAL FACTURADO]]="","",IF(CPA_DIA_MARZO[[#This Row],[TOTAL FACTURADO]]=0,0,CPA_DIA_MARZO[[#This Row],[TOTAL FACTURADO]]/CPA_DIA_MARZO[[#This Row],[VENTAS]])),"")</f>
        <v>0</v>
      </c>
      <c r="K83" s="12" t="str">
        <f>IFERROR(IF(CPA_DIA_MARZO[[#This Row],[VENTAS]]=0,"",CPA_DIA_MARZO[[#This Row],[GASTO PUBLICIDAD]]/CPA_DIA_MARZO[[#This Row],[VENTAS]]),"")</f>
        <v/>
      </c>
      <c r="L83" s="13">
        <f>IFERROR(CPA_DIA_MARZO[[#This Row],[VENTAS]]/CPA_DIA_MARZO[[#This Row],[CONVERSACIONES]],"")</f>
        <v>0</v>
      </c>
      <c r="M83" s="13" t="str">
        <f>IFERROR(IF(CPA_DIA_MARZO[[#This Row],[CPA]]="","",CPA_DIA_MARZO[[#This Row],[CPA]]*100%/CPA_DIA_MARZO[[#This Row],[TICKET PROMEDIO DE PRODUCTO ]]),"")</f>
        <v/>
      </c>
      <c r="N83" s="13">
        <f>IFERROR(IF(CPA_DIA_MARZO[[#This Row],[VENTAS]]="","",IF(CPA_DIA_MARZO[[#This Row],[VENTAS]]=0,100%,CPA_DIA_MARZO[[#This Row],[CPA]]/CPA_DIA_MARZO[[#This Row],[GANANCIA PROMEDIO]])),"")</f>
        <v>1</v>
      </c>
      <c r="O83" s="14">
        <f>IF(CPA_DIA_MARZO[[#This Row],[VENTAS]]=0,-(CPA_DIA_MARZO[[#This Row],[GASTO PUBLICIDAD]]),((CPA_DIA_MARZO[[#This Row],[GANANCIA PROMEDIO]]*CPA_DIA_MARZO[[#This Row],[VENTAS]])-CPA_DIA_MARZO[[#This Row],[GASTO PUBLICIDAD]])*0.75)</f>
        <v>-40555</v>
      </c>
    </row>
    <row r="84" spans="1:15" x14ac:dyDescent="0.25">
      <c r="A84" s="13" t="s">
        <v>14</v>
      </c>
      <c r="B84" s="10">
        <v>46089</v>
      </c>
      <c r="C84" s="19" t="s">
        <v>34</v>
      </c>
      <c r="D84" s="19" t="s">
        <v>35</v>
      </c>
      <c r="E84" s="12">
        <v>48369</v>
      </c>
      <c r="F84" s="11">
        <v>31</v>
      </c>
      <c r="G84" s="12">
        <v>414500</v>
      </c>
      <c r="H84" s="12">
        <v>22705</v>
      </c>
      <c r="I84" s="11">
        <v>5</v>
      </c>
      <c r="J84" s="12">
        <f>IFERROR(IF(CPA_DIA_MARZO[[#This Row],[TOTAL FACTURADO]]="","",IF(CPA_DIA_MARZO[[#This Row],[TOTAL FACTURADO]]=0,0,CPA_DIA_MARZO[[#This Row],[TOTAL FACTURADO]]/CPA_DIA_MARZO[[#This Row],[VENTAS]])),"")</f>
        <v>82900</v>
      </c>
      <c r="K84" s="12">
        <f>IFERROR(IF(CPA_DIA_MARZO[[#This Row],[VENTAS]]=0,"",CPA_DIA_MARZO[[#This Row],[GASTO PUBLICIDAD]]/CPA_DIA_MARZO[[#This Row],[VENTAS]]),"")</f>
        <v>9673.7999999999993</v>
      </c>
      <c r="L84" s="13">
        <f>IFERROR(CPA_DIA_MARZO[[#This Row],[VENTAS]]/CPA_DIA_MARZO[[#This Row],[CONVERSACIONES]],"")</f>
        <v>0.16129032258064516</v>
      </c>
      <c r="M84" s="13">
        <f>IFERROR(IF(CPA_DIA_MARZO[[#This Row],[CPA]]="","",CPA_DIA_MARZO[[#This Row],[CPA]]*100%/CPA_DIA_MARZO[[#This Row],[TICKET PROMEDIO DE PRODUCTO ]]),"")</f>
        <v>0.11669240048250903</v>
      </c>
      <c r="N84" s="13">
        <f>IFERROR(IF(CPA_DIA_MARZO[[#This Row],[VENTAS]]="","",IF(CPA_DIA_MARZO[[#This Row],[VENTAS]]=0,100%,CPA_DIA_MARZO[[#This Row],[CPA]]/CPA_DIA_MARZO[[#This Row],[GANANCIA PROMEDIO]])),"")</f>
        <v>0.42606474344857959</v>
      </c>
      <c r="O84" s="14">
        <f>IF(CPA_DIA_MARZO[[#This Row],[VENTAS]]=0,-(CPA_DIA_MARZO[[#This Row],[GASTO PUBLICIDAD]]),((CPA_DIA_MARZO[[#This Row],[GANANCIA PROMEDIO]]*CPA_DIA_MARZO[[#This Row],[VENTAS]])-CPA_DIA_MARZO[[#This Row],[GASTO PUBLICIDAD]])*0.75)</f>
        <v>48867</v>
      </c>
    </row>
    <row r="85" spans="1:15" x14ac:dyDescent="0.25">
      <c r="A85" s="25" t="s">
        <v>39</v>
      </c>
      <c r="B85" s="9">
        <v>46090</v>
      </c>
      <c r="C85" s="27" t="s">
        <v>15</v>
      </c>
      <c r="D85" s="27" t="s">
        <v>16</v>
      </c>
      <c r="E85" s="12">
        <v>130164</v>
      </c>
      <c r="F85" s="11">
        <v>47</v>
      </c>
      <c r="G85" s="12">
        <v>1108098</v>
      </c>
      <c r="H85" s="12">
        <v>19708</v>
      </c>
      <c r="I85" s="11">
        <v>19</v>
      </c>
      <c r="J85" s="12">
        <f>IFERROR(IF(CPA_DIA_MARZO[[#This Row],[TOTAL FACTURADO]]="","",IF(CPA_DIA_MARZO[[#This Row],[TOTAL FACTURADO]]=0,0,CPA_DIA_MARZO[[#This Row],[TOTAL FACTURADO]]/CPA_DIA_MARZO[[#This Row],[VENTAS]])),"")</f>
        <v>58320.947368421053</v>
      </c>
      <c r="K85" s="12">
        <f>IFERROR(IF(CPA_DIA_MARZO[[#This Row],[VENTAS]]=0,"",CPA_DIA_MARZO[[#This Row],[GASTO PUBLICIDAD]]/CPA_DIA_MARZO[[#This Row],[VENTAS]]),"")</f>
        <v>6850.7368421052633</v>
      </c>
      <c r="L85" s="13">
        <f>IFERROR(CPA_DIA_MARZO[[#This Row],[VENTAS]]/CPA_DIA_MARZO[[#This Row],[CONVERSACIONES]],"")</f>
        <v>0.40425531914893614</v>
      </c>
      <c r="M85" s="13">
        <f>IFERROR(IF(CPA_DIA_MARZO[[#This Row],[CPA]]="","",CPA_DIA_MARZO[[#This Row],[CPA]]*100%/CPA_DIA_MARZO[[#This Row],[TICKET PROMEDIO DE PRODUCTO ]]),"")</f>
        <v>0.11746614469117353</v>
      </c>
      <c r="N85" s="13">
        <f>IFERROR(IF(CPA_DIA_MARZO[[#This Row],[VENTAS]]="","",IF(CPA_DIA_MARZO[[#This Row],[VENTAS]]=0,100%,CPA_DIA_MARZO[[#This Row],[CPA]]/CPA_DIA_MARZO[[#This Row],[GANANCIA PROMEDIO]])),"")</f>
        <v>0.34761197696901075</v>
      </c>
      <c r="O85" s="14">
        <f>IF(CPA_DIA_MARZO[[#This Row],[VENTAS]]=0,-(CPA_DIA_MARZO[[#This Row],[GASTO PUBLICIDAD]]),((CPA_DIA_MARZO[[#This Row],[GANANCIA PROMEDIO]]*CPA_DIA_MARZO[[#This Row],[VENTAS]])-CPA_DIA_MARZO[[#This Row],[GASTO PUBLICIDAD]])*0.75)</f>
        <v>183216</v>
      </c>
    </row>
    <row r="86" spans="1:15" x14ac:dyDescent="0.25">
      <c r="A86" s="13" t="s">
        <v>39</v>
      </c>
      <c r="B86" s="10">
        <v>46090</v>
      </c>
      <c r="C86" s="15" t="s">
        <v>17</v>
      </c>
      <c r="D86" s="15" t="s">
        <v>18</v>
      </c>
      <c r="E86" s="12">
        <v>9282</v>
      </c>
      <c r="F86" s="11">
        <v>2</v>
      </c>
      <c r="G86" s="12">
        <v>0</v>
      </c>
      <c r="H86" s="12">
        <v>0</v>
      </c>
      <c r="I86" s="11">
        <v>0</v>
      </c>
      <c r="J86" s="12">
        <f>IFERROR(IF(CPA_DIA_MARZO[[#This Row],[TOTAL FACTURADO]]="","",IF(CPA_DIA_MARZO[[#This Row],[TOTAL FACTURADO]]=0,0,CPA_DIA_MARZO[[#This Row],[TOTAL FACTURADO]]/CPA_DIA_MARZO[[#This Row],[VENTAS]])),"")</f>
        <v>0</v>
      </c>
      <c r="K86" s="12" t="str">
        <f>IFERROR(IF(CPA_DIA_MARZO[[#This Row],[VENTAS]]=0,"",CPA_DIA_MARZO[[#This Row],[GASTO PUBLICIDAD]]/CPA_DIA_MARZO[[#This Row],[VENTAS]]),"")</f>
        <v/>
      </c>
      <c r="L86" s="13">
        <f>IFERROR(CPA_DIA_MARZO[[#This Row],[VENTAS]]/CPA_DIA_MARZO[[#This Row],[CONVERSACIONES]],"")</f>
        <v>0</v>
      </c>
      <c r="M86" s="13" t="str">
        <f>IFERROR(IF(CPA_DIA_MARZO[[#This Row],[CPA]]="","",CPA_DIA_MARZO[[#This Row],[CPA]]*100%/CPA_DIA_MARZO[[#This Row],[TICKET PROMEDIO DE PRODUCTO ]]),"")</f>
        <v/>
      </c>
      <c r="N86" s="13">
        <f>IFERROR(IF(CPA_DIA_MARZO[[#This Row],[VENTAS]]="","",IF(CPA_DIA_MARZO[[#This Row],[VENTAS]]=0,100%,CPA_DIA_MARZO[[#This Row],[CPA]]/CPA_DIA_MARZO[[#This Row],[GANANCIA PROMEDIO]])),"")</f>
        <v>1</v>
      </c>
      <c r="O86" s="14">
        <f>IF(CPA_DIA_MARZO[[#This Row],[VENTAS]]=0,-(CPA_DIA_MARZO[[#This Row],[GASTO PUBLICIDAD]]),((CPA_DIA_MARZO[[#This Row],[GANANCIA PROMEDIO]]*CPA_DIA_MARZO[[#This Row],[VENTAS]])-CPA_DIA_MARZO[[#This Row],[GASTO PUBLICIDAD]])*0.75)</f>
        <v>-9282</v>
      </c>
    </row>
    <row r="87" spans="1:15" x14ac:dyDescent="0.25">
      <c r="A87" s="13" t="s">
        <v>39</v>
      </c>
      <c r="B87" s="10">
        <v>46090</v>
      </c>
      <c r="C87" s="15" t="s">
        <v>19</v>
      </c>
      <c r="D87" s="15" t="s">
        <v>20</v>
      </c>
      <c r="E87" s="12">
        <v>204551</v>
      </c>
      <c r="F87" s="11">
        <v>156</v>
      </c>
      <c r="G87" s="12">
        <v>721100</v>
      </c>
      <c r="H87" s="12">
        <v>28739</v>
      </c>
      <c r="I87" s="11">
        <v>9</v>
      </c>
      <c r="J87" s="12">
        <f>IFERROR(IF(CPA_DIA_MARZO[[#This Row],[TOTAL FACTURADO]]="","",IF(CPA_DIA_MARZO[[#This Row],[TOTAL FACTURADO]]=0,0,CPA_DIA_MARZO[[#This Row],[TOTAL FACTURADO]]/CPA_DIA_MARZO[[#This Row],[VENTAS]])),"")</f>
        <v>80122.222222222219</v>
      </c>
      <c r="K87" s="12">
        <f>IFERROR(IF(CPA_DIA_MARZO[[#This Row],[VENTAS]]=0,"",CPA_DIA_MARZO[[#This Row],[GASTO PUBLICIDAD]]/CPA_DIA_MARZO[[#This Row],[VENTAS]]),"")</f>
        <v>22727.888888888891</v>
      </c>
      <c r="L87" s="13">
        <f>IFERROR(CPA_DIA_MARZO[[#This Row],[VENTAS]]/CPA_DIA_MARZO[[#This Row],[CONVERSACIONES]],"")</f>
        <v>5.7692307692307696E-2</v>
      </c>
      <c r="M87" s="13">
        <f>IFERROR(IF(CPA_DIA_MARZO[[#This Row],[CPA]]="","",CPA_DIA_MARZO[[#This Row],[CPA]]*100%/CPA_DIA_MARZO[[#This Row],[TICKET PROMEDIO DE PRODUCTO ]]),"")</f>
        <v>0.28366523367078078</v>
      </c>
      <c r="N87" s="13">
        <f>IFERROR(IF(CPA_DIA_MARZO[[#This Row],[VENTAS]]="","",IF(CPA_DIA_MARZO[[#This Row],[VENTAS]]=0,100%,CPA_DIA_MARZO[[#This Row],[CPA]]/CPA_DIA_MARZO[[#This Row],[GANANCIA PROMEDIO]])),"")</f>
        <v>0.79083784713764882</v>
      </c>
      <c r="O87" s="14">
        <f>IF(CPA_DIA_MARZO[[#This Row],[VENTAS]]=0,-(CPA_DIA_MARZO[[#This Row],[GASTO PUBLICIDAD]]),((CPA_DIA_MARZO[[#This Row],[GANANCIA PROMEDIO]]*CPA_DIA_MARZO[[#This Row],[VENTAS]])-CPA_DIA_MARZO[[#This Row],[GASTO PUBLICIDAD]])*0.75)</f>
        <v>40575</v>
      </c>
    </row>
    <row r="88" spans="1:15" x14ac:dyDescent="0.25">
      <c r="A88" s="13" t="s">
        <v>39</v>
      </c>
      <c r="B88" s="10">
        <v>46090</v>
      </c>
      <c r="C88" s="15" t="s">
        <v>21</v>
      </c>
      <c r="D88" s="15" t="s">
        <v>22</v>
      </c>
      <c r="E88" s="12">
        <v>52329</v>
      </c>
      <c r="F88" s="11">
        <v>25</v>
      </c>
      <c r="G88" s="12">
        <v>524200</v>
      </c>
      <c r="H88" s="12">
        <v>29117</v>
      </c>
      <c r="I88" s="11">
        <v>8</v>
      </c>
      <c r="J88" s="12">
        <f>IFERROR(IF(CPA_DIA_MARZO[[#This Row],[TOTAL FACTURADO]]="","",IF(CPA_DIA_MARZO[[#This Row],[TOTAL FACTURADO]]=0,0,CPA_DIA_MARZO[[#This Row],[TOTAL FACTURADO]]/CPA_DIA_MARZO[[#This Row],[VENTAS]])),"")</f>
        <v>65525</v>
      </c>
      <c r="K88" s="12">
        <f>IFERROR(IF(CPA_DIA_MARZO[[#This Row],[VENTAS]]=0,"",CPA_DIA_MARZO[[#This Row],[GASTO PUBLICIDAD]]/CPA_DIA_MARZO[[#This Row],[VENTAS]]),"")</f>
        <v>6541.125</v>
      </c>
      <c r="L88" s="13">
        <f>IFERROR(CPA_DIA_MARZO[[#This Row],[VENTAS]]/CPA_DIA_MARZO[[#This Row],[CONVERSACIONES]],"")</f>
        <v>0.32</v>
      </c>
      <c r="M88" s="13">
        <f>IFERROR(IF(CPA_DIA_MARZO[[#This Row],[CPA]]="","",CPA_DIA_MARZO[[#This Row],[CPA]]*100%/CPA_DIA_MARZO[[#This Row],[TICKET PROMEDIO DE PRODUCTO ]]),"")</f>
        <v>9.9826402136589082E-2</v>
      </c>
      <c r="N88" s="13">
        <f>IFERROR(IF(CPA_DIA_MARZO[[#This Row],[VENTAS]]="","",IF(CPA_DIA_MARZO[[#This Row],[VENTAS]]=0,100%,CPA_DIA_MARZO[[#This Row],[CPA]]/CPA_DIA_MARZO[[#This Row],[GANANCIA PROMEDIO]])),"")</f>
        <v>0.22464968918501219</v>
      </c>
      <c r="O88" s="14">
        <f>IF(CPA_DIA_MARZO[[#This Row],[VENTAS]]=0,-(CPA_DIA_MARZO[[#This Row],[GASTO PUBLICIDAD]]),((CPA_DIA_MARZO[[#This Row],[GANANCIA PROMEDIO]]*CPA_DIA_MARZO[[#This Row],[VENTAS]])-CPA_DIA_MARZO[[#This Row],[GASTO PUBLICIDAD]])*0.75)</f>
        <v>135455.25</v>
      </c>
    </row>
    <row r="89" spans="1:15" x14ac:dyDescent="0.25">
      <c r="A89" s="13" t="s">
        <v>39</v>
      </c>
      <c r="B89" s="10">
        <v>46090</v>
      </c>
      <c r="C89" s="15" t="s">
        <v>23</v>
      </c>
      <c r="D89" s="15" t="s">
        <v>22</v>
      </c>
      <c r="E89" s="12">
        <v>37792</v>
      </c>
      <c r="F89" s="11">
        <v>27</v>
      </c>
      <c r="G89" s="12">
        <v>179700</v>
      </c>
      <c r="H89" s="12">
        <v>23127</v>
      </c>
      <c r="I89" s="11">
        <v>3</v>
      </c>
      <c r="J89" s="12">
        <f>IFERROR(IF(CPA_DIA_MARZO[[#This Row],[TOTAL FACTURADO]]="","",IF(CPA_DIA_MARZO[[#This Row],[TOTAL FACTURADO]]=0,0,CPA_DIA_MARZO[[#This Row],[TOTAL FACTURADO]]/CPA_DIA_MARZO[[#This Row],[VENTAS]])),"")</f>
        <v>59900</v>
      </c>
      <c r="K89" s="12">
        <f>IFERROR(IF(CPA_DIA_MARZO[[#This Row],[VENTAS]]=0,"",CPA_DIA_MARZO[[#This Row],[GASTO PUBLICIDAD]]/CPA_DIA_MARZO[[#This Row],[VENTAS]]),"")</f>
        <v>12597.333333333334</v>
      </c>
      <c r="L89" s="13">
        <f>IFERROR(CPA_DIA_MARZO[[#This Row],[VENTAS]]/CPA_DIA_MARZO[[#This Row],[CONVERSACIONES]],"")</f>
        <v>0.1111111111111111</v>
      </c>
      <c r="M89" s="13">
        <f>IFERROR(IF(CPA_DIA_MARZO[[#This Row],[CPA]]="","",CPA_DIA_MARZO[[#This Row],[CPA]]*100%/CPA_DIA_MARZO[[#This Row],[TICKET PROMEDIO DE PRODUCTO ]]),"")</f>
        <v>0.21030606566499724</v>
      </c>
      <c r="N89" s="13">
        <f>IFERROR(IF(CPA_DIA_MARZO[[#This Row],[VENTAS]]="","",IF(CPA_DIA_MARZO[[#This Row],[VENTAS]]=0,100%,CPA_DIA_MARZO[[#This Row],[CPA]]/CPA_DIA_MARZO[[#This Row],[GANANCIA PROMEDIO]])),"")</f>
        <v>0.54470244014932045</v>
      </c>
      <c r="O89" s="14">
        <f>IF(CPA_DIA_MARZO[[#This Row],[VENTAS]]=0,-(CPA_DIA_MARZO[[#This Row],[GASTO PUBLICIDAD]]),((CPA_DIA_MARZO[[#This Row],[GANANCIA PROMEDIO]]*CPA_DIA_MARZO[[#This Row],[VENTAS]])-CPA_DIA_MARZO[[#This Row],[GASTO PUBLICIDAD]])*0.75)</f>
        <v>23691.75</v>
      </c>
    </row>
    <row r="90" spans="1:15" x14ac:dyDescent="0.25">
      <c r="A90" s="13" t="s">
        <v>39</v>
      </c>
      <c r="B90" s="10">
        <v>46090</v>
      </c>
      <c r="C90" s="15" t="s">
        <v>26</v>
      </c>
      <c r="D90" s="15" t="s">
        <v>27</v>
      </c>
      <c r="E90" s="12">
        <v>35362</v>
      </c>
      <c r="F90" s="11">
        <v>17</v>
      </c>
      <c r="G90" s="12">
        <v>164800</v>
      </c>
      <c r="H90" s="12">
        <v>36121</v>
      </c>
      <c r="I90" s="11">
        <v>2</v>
      </c>
      <c r="J90" s="12">
        <f>IFERROR(IF(CPA_DIA_MARZO[[#This Row],[TOTAL FACTURADO]]="","",IF(CPA_DIA_MARZO[[#This Row],[TOTAL FACTURADO]]=0,0,CPA_DIA_MARZO[[#This Row],[TOTAL FACTURADO]]/CPA_DIA_MARZO[[#This Row],[VENTAS]])),"")</f>
        <v>82400</v>
      </c>
      <c r="K90" s="12">
        <f>IFERROR(IF(CPA_DIA_MARZO[[#This Row],[VENTAS]]=0,"",CPA_DIA_MARZO[[#This Row],[GASTO PUBLICIDAD]]/CPA_DIA_MARZO[[#This Row],[VENTAS]]),"")</f>
        <v>17681</v>
      </c>
      <c r="L90" s="13">
        <f>IFERROR(CPA_DIA_MARZO[[#This Row],[VENTAS]]/CPA_DIA_MARZO[[#This Row],[CONVERSACIONES]],"")</f>
        <v>0.11764705882352941</v>
      </c>
      <c r="M90" s="13">
        <f>IFERROR(IF(CPA_DIA_MARZO[[#This Row],[CPA]]="","",CPA_DIA_MARZO[[#This Row],[CPA]]*100%/CPA_DIA_MARZO[[#This Row],[TICKET PROMEDIO DE PRODUCTO ]]),"")</f>
        <v>0.21457524271844661</v>
      </c>
      <c r="N90" s="13">
        <f>IFERROR(IF(CPA_DIA_MARZO[[#This Row],[VENTAS]]="","",IF(CPA_DIA_MARZO[[#This Row],[VENTAS]]=0,100%,CPA_DIA_MARZO[[#This Row],[CPA]]/CPA_DIA_MARZO[[#This Row],[GANANCIA PROMEDIO]])),"")</f>
        <v>0.48949364635530579</v>
      </c>
      <c r="O90" s="14">
        <f>IF(CPA_DIA_MARZO[[#This Row],[VENTAS]]=0,-(CPA_DIA_MARZO[[#This Row],[GASTO PUBLICIDAD]]),((CPA_DIA_MARZO[[#This Row],[GANANCIA PROMEDIO]]*CPA_DIA_MARZO[[#This Row],[VENTAS]])-CPA_DIA_MARZO[[#This Row],[GASTO PUBLICIDAD]])*0.75)</f>
        <v>27660</v>
      </c>
    </row>
    <row r="91" spans="1:15" x14ac:dyDescent="0.25">
      <c r="A91" s="13" t="s">
        <v>39</v>
      </c>
      <c r="B91" s="10">
        <v>46090</v>
      </c>
      <c r="C91" s="15" t="s">
        <v>28</v>
      </c>
      <c r="D91" s="15" t="s">
        <v>29</v>
      </c>
      <c r="E91" s="12">
        <v>36275</v>
      </c>
      <c r="F91" s="11">
        <v>13</v>
      </c>
      <c r="G91" s="12">
        <v>69900</v>
      </c>
      <c r="H91" s="12">
        <v>22784</v>
      </c>
      <c r="I91" s="11">
        <v>1</v>
      </c>
      <c r="J91" s="12">
        <f>IFERROR(IF(CPA_DIA_MARZO[[#This Row],[TOTAL FACTURADO]]="","",IF(CPA_DIA_MARZO[[#This Row],[TOTAL FACTURADO]]=0,0,CPA_DIA_MARZO[[#This Row],[TOTAL FACTURADO]]/CPA_DIA_MARZO[[#This Row],[VENTAS]])),"")</f>
        <v>69900</v>
      </c>
      <c r="K91" s="12">
        <f>IFERROR(IF(CPA_DIA_MARZO[[#This Row],[VENTAS]]=0,"",CPA_DIA_MARZO[[#This Row],[GASTO PUBLICIDAD]]/CPA_DIA_MARZO[[#This Row],[VENTAS]]),"")</f>
        <v>36275</v>
      </c>
      <c r="L91" s="13">
        <f>IFERROR(CPA_DIA_MARZO[[#This Row],[VENTAS]]/CPA_DIA_MARZO[[#This Row],[CONVERSACIONES]],"")</f>
        <v>7.6923076923076927E-2</v>
      </c>
      <c r="M91" s="13">
        <f>IFERROR(IF(CPA_DIA_MARZO[[#This Row],[CPA]]="","",CPA_DIA_MARZO[[#This Row],[CPA]]*100%/CPA_DIA_MARZO[[#This Row],[TICKET PROMEDIO DE PRODUCTO ]]),"")</f>
        <v>0.51895565092989981</v>
      </c>
      <c r="N91" s="13">
        <f>IFERROR(IF(CPA_DIA_MARZO[[#This Row],[VENTAS]]="","",IF(CPA_DIA_MARZO[[#This Row],[VENTAS]]=0,100%,CPA_DIA_MARZO[[#This Row],[CPA]]/CPA_DIA_MARZO[[#This Row],[GANANCIA PROMEDIO]])),"")</f>
        <v>1.5921260533707866</v>
      </c>
      <c r="O91" s="14">
        <f>IF(CPA_DIA_MARZO[[#This Row],[VENTAS]]=0,-(CPA_DIA_MARZO[[#This Row],[GASTO PUBLICIDAD]]),((CPA_DIA_MARZO[[#This Row],[GANANCIA PROMEDIO]]*CPA_DIA_MARZO[[#This Row],[VENTAS]])-CPA_DIA_MARZO[[#This Row],[GASTO PUBLICIDAD]])*0.75)</f>
        <v>-10118.25</v>
      </c>
    </row>
    <row r="92" spans="1:15" x14ac:dyDescent="0.25">
      <c r="A92" s="13" t="s">
        <v>39</v>
      </c>
      <c r="B92" s="10">
        <v>46090</v>
      </c>
      <c r="C92" s="15" t="s">
        <v>30</v>
      </c>
      <c r="D92" s="15" t="s">
        <v>29</v>
      </c>
      <c r="E92" s="12">
        <v>35040</v>
      </c>
      <c r="F92" s="11">
        <v>25</v>
      </c>
      <c r="G92" s="12">
        <v>59900</v>
      </c>
      <c r="H92" s="12">
        <v>38934</v>
      </c>
      <c r="I92" s="11">
        <v>1</v>
      </c>
      <c r="J92" s="12">
        <f>IFERROR(IF(CPA_DIA_MARZO[[#This Row],[TOTAL FACTURADO]]="","",IF(CPA_DIA_MARZO[[#This Row],[TOTAL FACTURADO]]=0,0,CPA_DIA_MARZO[[#This Row],[TOTAL FACTURADO]]/CPA_DIA_MARZO[[#This Row],[VENTAS]])),"")</f>
        <v>59900</v>
      </c>
      <c r="K92" s="12">
        <f>IFERROR(IF(CPA_DIA_MARZO[[#This Row],[VENTAS]]=0,"",CPA_DIA_MARZO[[#This Row],[GASTO PUBLICIDAD]]/CPA_DIA_MARZO[[#This Row],[VENTAS]]),"")</f>
        <v>35040</v>
      </c>
      <c r="L92" s="13">
        <f>IFERROR(CPA_DIA_MARZO[[#This Row],[VENTAS]]/CPA_DIA_MARZO[[#This Row],[CONVERSACIONES]],"")</f>
        <v>0.04</v>
      </c>
      <c r="M92" s="13">
        <f>IFERROR(IF(CPA_DIA_MARZO[[#This Row],[CPA]]="","",CPA_DIA_MARZO[[#This Row],[CPA]]*100%/CPA_DIA_MARZO[[#This Row],[TICKET PROMEDIO DE PRODUCTO ]]),"")</f>
        <v>0.58497495826377299</v>
      </c>
      <c r="N92" s="13">
        <f>IFERROR(IF(CPA_DIA_MARZO[[#This Row],[VENTAS]]="","",IF(CPA_DIA_MARZO[[#This Row],[VENTAS]]=0,100%,CPA_DIA_MARZO[[#This Row],[CPA]]/CPA_DIA_MARZO[[#This Row],[GANANCIA PROMEDIO]])),"")</f>
        <v>0.8999845893049776</v>
      </c>
      <c r="O92" s="14">
        <f>IF(CPA_DIA_MARZO[[#This Row],[VENTAS]]=0,-(CPA_DIA_MARZO[[#This Row],[GASTO PUBLICIDAD]]),((CPA_DIA_MARZO[[#This Row],[GANANCIA PROMEDIO]]*CPA_DIA_MARZO[[#This Row],[VENTAS]])-CPA_DIA_MARZO[[#This Row],[GASTO PUBLICIDAD]])*0.75)</f>
        <v>2920.5</v>
      </c>
    </row>
    <row r="93" spans="1:15" x14ac:dyDescent="0.25">
      <c r="A93" s="13" t="s">
        <v>39</v>
      </c>
      <c r="B93" s="10">
        <v>46090</v>
      </c>
      <c r="C93" s="20" t="s">
        <v>37</v>
      </c>
      <c r="D93" s="20" t="s">
        <v>38</v>
      </c>
      <c r="E93" s="12">
        <v>18803</v>
      </c>
      <c r="F93" s="11">
        <v>15</v>
      </c>
      <c r="G93" s="12">
        <v>309599</v>
      </c>
      <c r="H93" s="12">
        <v>27551</v>
      </c>
      <c r="I93" s="11">
        <v>4</v>
      </c>
      <c r="J93" s="12">
        <f>IFERROR(IF(CPA_DIA_MARZO[[#This Row],[TOTAL FACTURADO]]="","",IF(CPA_DIA_MARZO[[#This Row],[TOTAL FACTURADO]]=0,0,CPA_DIA_MARZO[[#This Row],[TOTAL FACTURADO]]/CPA_DIA_MARZO[[#This Row],[VENTAS]])),"")</f>
        <v>77399.75</v>
      </c>
      <c r="K93" s="12">
        <f>IFERROR(IF(CPA_DIA_MARZO[[#This Row],[VENTAS]]=0,"",CPA_DIA_MARZO[[#This Row],[GASTO PUBLICIDAD]]/CPA_DIA_MARZO[[#This Row],[VENTAS]]),"")</f>
        <v>4700.75</v>
      </c>
      <c r="L93" s="13">
        <f>IFERROR(CPA_DIA_MARZO[[#This Row],[VENTAS]]/CPA_DIA_MARZO[[#This Row],[CONVERSACIONES]],"")</f>
        <v>0.26666666666666666</v>
      </c>
      <c r="M93" s="13">
        <f>IFERROR(IF(CPA_DIA_MARZO[[#This Row],[CPA]]="","",CPA_DIA_MARZO[[#This Row],[CPA]]*100%/CPA_DIA_MARZO[[#This Row],[TICKET PROMEDIO DE PRODUCTO ]]),"")</f>
        <v>6.0733400301680562E-2</v>
      </c>
      <c r="N93" s="13">
        <f>IFERROR(IF(CPA_DIA_MARZO[[#This Row],[VENTAS]]="","",IF(CPA_DIA_MARZO[[#This Row],[VENTAS]]=0,100%,CPA_DIA_MARZO[[#This Row],[CPA]]/CPA_DIA_MARZO[[#This Row],[GANANCIA PROMEDIO]])),"")</f>
        <v>0.17061994119995644</v>
      </c>
      <c r="O93" s="12">
        <f>IF(CPA_DIA_MARZO[[#This Row],[VENTAS]]=0,-(CPA_DIA_MARZO[[#This Row],[GASTO PUBLICIDAD]]),((CPA_DIA_MARZO[[#This Row],[GANANCIA PROMEDIO]]*CPA_DIA_MARZO[[#This Row],[VENTAS]])-CPA_DIA_MARZO[[#This Row],[GASTO PUBLICIDAD]])*0.75)</f>
        <v>68550.75</v>
      </c>
    </row>
    <row r="94" spans="1:15" x14ac:dyDescent="0.25">
      <c r="A94" s="13" t="s">
        <v>39</v>
      </c>
      <c r="B94" s="10">
        <v>46090</v>
      </c>
      <c r="C94" s="15" t="s">
        <v>31</v>
      </c>
      <c r="D94" s="15" t="s">
        <v>32</v>
      </c>
      <c r="E94" s="12">
        <v>20770</v>
      </c>
      <c r="F94" s="11">
        <v>10</v>
      </c>
      <c r="G94" s="12">
        <v>69900</v>
      </c>
      <c r="H94" s="12">
        <v>27244</v>
      </c>
      <c r="I94" s="11">
        <v>1</v>
      </c>
      <c r="J94" s="12">
        <f>IFERROR(IF(CPA_DIA_MARZO[[#This Row],[TOTAL FACTURADO]]="","",IF(CPA_DIA_MARZO[[#This Row],[TOTAL FACTURADO]]=0,0,CPA_DIA_MARZO[[#This Row],[TOTAL FACTURADO]]/CPA_DIA_MARZO[[#This Row],[VENTAS]])),"")</f>
        <v>69900</v>
      </c>
      <c r="K94" s="12">
        <f>IFERROR(IF(CPA_DIA_MARZO[[#This Row],[VENTAS]]=0,"",CPA_DIA_MARZO[[#This Row],[GASTO PUBLICIDAD]]/CPA_DIA_MARZO[[#This Row],[VENTAS]]),"")</f>
        <v>20770</v>
      </c>
      <c r="L94" s="13">
        <f>IFERROR(CPA_DIA_MARZO[[#This Row],[VENTAS]]/CPA_DIA_MARZO[[#This Row],[CONVERSACIONES]],"")</f>
        <v>0.1</v>
      </c>
      <c r="M94" s="13">
        <f>IFERROR(IF(CPA_DIA_MARZO[[#This Row],[CPA]]="","",CPA_DIA_MARZO[[#This Row],[CPA]]*100%/CPA_DIA_MARZO[[#This Row],[TICKET PROMEDIO DE PRODUCTO ]]),"")</f>
        <v>0.29713876967095854</v>
      </c>
      <c r="N94" s="13">
        <f>IFERROR(IF(CPA_DIA_MARZO[[#This Row],[VENTAS]]="","",IF(CPA_DIA_MARZO[[#This Row],[VENTAS]]=0,100%,CPA_DIA_MARZO[[#This Row],[CPA]]/CPA_DIA_MARZO[[#This Row],[GANANCIA PROMEDIO]])),"")</f>
        <v>0.76236969607987082</v>
      </c>
      <c r="O94" s="12">
        <f>IF(CPA_DIA_MARZO[[#This Row],[VENTAS]]=0,-(CPA_DIA_MARZO[[#This Row],[GASTO PUBLICIDAD]]),((CPA_DIA_MARZO[[#This Row],[GANANCIA PROMEDIO]]*CPA_DIA_MARZO[[#This Row],[VENTAS]])-CPA_DIA_MARZO[[#This Row],[GASTO PUBLICIDAD]])*0.75)</f>
        <v>4855.5</v>
      </c>
    </row>
    <row r="95" spans="1:15" x14ac:dyDescent="0.25">
      <c r="A95" s="13" t="s">
        <v>39</v>
      </c>
      <c r="B95" s="10">
        <v>46090</v>
      </c>
      <c r="C95" s="15" t="s">
        <v>36</v>
      </c>
      <c r="D95" s="15" t="s">
        <v>32</v>
      </c>
      <c r="E95" s="12">
        <v>41462</v>
      </c>
      <c r="F95" s="11">
        <v>15</v>
      </c>
      <c r="G95" s="12">
        <v>79900</v>
      </c>
      <c r="H95" s="12">
        <v>32894</v>
      </c>
      <c r="I95" s="11">
        <v>1</v>
      </c>
      <c r="J95" s="12">
        <f>IFERROR(IF(CPA_DIA_MARZO[[#This Row],[TOTAL FACTURADO]]="","",IF(CPA_DIA_MARZO[[#This Row],[TOTAL FACTURADO]]=0,0,CPA_DIA_MARZO[[#This Row],[TOTAL FACTURADO]]/CPA_DIA_MARZO[[#This Row],[VENTAS]])),"")</f>
        <v>79900</v>
      </c>
      <c r="K95" s="12">
        <f>IFERROR(IF(CPA_DIA_MARZO[[#This Row],[VENTAS]]=0,"",CPA_DIA_MARZO[[#This Row],[GASTO PUBLICIDAD]]/CPA_DIA_MARZO[[#This Row],[VENTAS]]),"")</f>
        <v>41462</v>
      </c>
      <c r="L95" s="13">
        <f>IFERROR(CPA_DIA_MARZO[[#This Row],[VENTAS]]/CPA_DIA_MARZO[[#This Row],[CONVERSACIONES]],"")</f>
        <v>6.6666666666666666E-2</v>
      </c>
      <c r="M95" s="13">
        <f>IFERROR(IF(CPA_DIA_MARZO[[#This Row],[CPA]]="","",CPA_DIA_MARZO[[#This Row],[CPA]]*100%/CPA_DIA_MARZO[[#This Row],[TICKET PROMEDIO DE PRODUCTO ]]),"")</f>
        <v>0.51892365456821021</v>
      </c>
      <c r="N95" s="13">
        <f>IFERROR(IF(CPA_DIA_MARZO[[#This Row],[VENTAS]]="","",IF(CPA_DIA_MARZO[[#This Row],[VENTAS]]=0,100%,CPA_DIA_MARZO[[#This Row],[CPA]]/CPA_DIA_MARZO[[#This Row],[GANANCIA PROMEDIO]])),"")</f>
        <v>1.2604730345959749</v>
      </c>
      <c r="O95" s="12">
        <f>IF(CPA_DIA_MARZO[[#This Row],[VENTAS]]=0,-(CPA_DIA_MARZO[[#This Row],[GASTO PUBLICIDAD]]),((CPA_DIA_MARZO[[#This Row],[GANANCIA PROMEDIO]]*CPA_DIA_MARZO[[#This Row],[VENTAS]])-CPA_DIA_MARZO[[#This Row],[GASTO PUBLICIDAD]])*0.75)</f>
        <v>-6426</v>
      </c>
    </row>
    <row r="96" spans="1:15" x14ac:dyDescent="0.25">
      <c r="A96" s="13" t="s">
        <v>39</v>
      </c>
      <c r="B96" s="10">
        <v>46090</v>
      </c>
      <c r="C96" s="19" t="s">
        <v>34</v>
      </c>
      <c r="D96" s="19" t="s">
        <v>35</v>
      </c>
      <c r="E96" s="12">
        <v>64815</v>
      </c>
      <c r="F96" s="11">
        <v>38</v>
      </c>
      <c r="G96" s="12">
        <v>1183500</v>
      </c>
      <c r="H96" s="12">
        <v>17519</v>
      </c>
      <c r="I96" s="11">
        <v>15</v>
      </c>
      <c r="J96" s="12">
        <f>IFERROR(IF(CPA_DIA_MARZO[[#This Row],[TOTAL FACTURADO]]="","",IF(CPA_DIA_MARZO[[#This Row],[TOTAL FACTURADO]]=0,0,CPA_DIA_MARZO[[#This Row],[TOTAL FACTURADO]]/CPA_DIA_MARZO[[#This Row],[VENTAS]])),"")</f>
        <v>78900</v>
      </c>
      <c r="K96" s="12">
        <f>IFERROR(IF(CPA_DIA_MARZO[[#This Row],[VENTAS]]=0,"",CPA_DIA_MARZO[[#This Row],[GASTO PUBLICIDAD]]/CPA_DIA_MARZO[[#This Row],[VENTAS]]),"")</f>
        <v>4321</v>
      </c>
      <c r="L96" s="13">
        <f>IFERROR(CPA_DIA_MARZO[[#This Row],[VENTAS]]/CPA_DIA_MARZO[[#This Row],[CONVERSACIONES]],"")</f>
        <v>0.39473684210526316</v>
      </c>
      <c r="M96" s="13">
        <f>IFERROR(IF(CPA_DIA_MARZO[[#This Row],[CPA]]="","",CPA_DIA_MARZO[[#This Row],[CPA]]*100%/CPA_DIA_MARZO[[#This Row],[TICKET PROMEDIO DE PRODUCTO ]]),"")</f>
        <v>5.4765525982256022E-2</v>
      </c>
      <c r="N96" s="13">
        <f>IFERROR(IF(CPA_DIA_MARZO[[#This Row],[VENTAS]]="","",IF(CPA_DIA_MARZO[[#This Row],[VENTAS]]=0,100%,CPA_DIA_MARZO[[#This Row],[CPA]]/CPA_DIA_MARZO[[#This Row],[GANANCIA PROMEDIO]])),"")</f>
        <v>0.24664649808779041</v>
      </c>
      <c r="O96" s="12">
        <f>IF(CPA_DIA_MARZO[[#This Row],[VENTAS]]=0,-(CPA_DIA_MARZO[[#This Row],[GASTO PUBLICIDAD]]),((CPA_DIA_MARZO[[#This Row],[GANANCIA PROMEDIO]]*CPA_DIA_MARZO[[#This Row],[VENTAS]])-CPA_DIA_MARZO[[#This Row],[GASTO PUBLICIDAD]])*0.75)</f>
        <v>148477.5</v>
      </c>
    </row>
    <row r="97" spans="1:15" x14ac:dyDescent="0.25">
      <c r="A97" s="25" t="s">
        <v>39</v>
      </c>
      <c r="B97" s="9">
        <v>46091</v>
      </c>
      <c r="C97" s="27" t="s">
        <v>15</v>
      </c>
      <c r="D97" s="27" t="s">
        <v>16</v>
      </c>
      <c r="E97" s="12">
        <v>123849</v>
      </c>
      <c r="F97" s="11">
        <v>50</v>
      </c>
      <c r="G97" s="12">
        <v>968398</v>
      </c>
      <c r="H97" s="12">
        <v>19436</v>
      </c>
      <c r="I97" s="11">
        <v>16</v>
      </c>
      <c r="J97" s="12">
        <f>IFERROR(IF(CPA_DIA_MARZO[[#This Row],[TOTAL FACTURADO]]="","",IF(CPA_DIA_MARZO[[#This Row],[TOTAL FACTURADO]]=0,0,CPA_DIA_MARZO[[#This Row],[TOTAL FACTURADO]]/CPA_DIA_MARZO[[#This Row],[VENTAS]])),"")</f>
        <v>60524.875</v>
      </c>
      <c r="K97" s="12">
        <f>IFERROR(IF(CPA_DIA_MARZO[[#This Row],[VENTAS]]=0,"",CPA_DIA_MARZO[[#This Row],[GASTO PUBLICIDAD]]/CPA_DIA_MARZO[[#This Row],[VENTAS]]),"")</f>
        <v>7740.5625</v>
      </c>
      <c r="L97" s="13">
        <f>IFERROR(CPA_DIA_MARZO[[#This Row],[VENTAS]]/CPA_DIA_MARZO[[#This Row],[CONVERSACIONES]],"")</f>
        <v>0.32</v>
      </c>
      <c r="M97" s="13">
        <f>IFERROR(IF(CPA_DIA_MARZO[[#This Row],[CPA]]="","",CPA_DIA_MARZO[[#This Row],[CPA]]*100%/CPA_DIA_MARZO[[#This Row],[TICKET PROMEDIO DE PRODUCTO ]]),"")</f>
        <v>0.12789059870012123</v>
      </c>
      <c r="N97" s="13">
        <f>IFERROR(IF(CPA_DIA_MARZO[[#This Row],[VENTAS]]="","",IF(CPA_DIA_MARZO[[#This Row],[VENTAS]]=0,100%,CPA_DIA_MARZO[[#This Row],[CPA]]/CPA_DIA_MARZO[[#This Row],[GANANCIA PROMEDIO]])),"")</f>
        <v>0.39825902963572751</v>
      </c>
      <c r="O97" s="12">
        <f>IF(CPA_DIA_MARZO[[#This Row],[VENTAS]]=0,-(CPA_DIA_MARZO[[#This Row],[GASTO PUBLICIDAD]]),((CPA_DIA_MARZO[[#This Row],[GANANCIA PROMEDIO]]*CPA_DIA_MARZO[[#This Row],[VENTAS]])-CPA_DIA_MARZO[[#This Row],[GASTO PUBLICIDAD]])*0.75)</f>
        <v>140345.25</v>
      </c>
    </row>
    <row r="98" spans="1:15" x14ac:dyDescent="0.25">
      <c r="A98" s="13" t="s">
        <v>39</v>
      </c>
      <c r="B98" s="10">
        <v>46091</v>
      </c>
      <c r="C98" s="15" t="s">
        <v>17</v>
      </c>
      <c r="D98" s="15" t="s">
        <v>18</v>
      </c>
      <c r="E98" s="12">
        <v>15226</v>
      </c>
      <c r="F98" s="11">
        <v>1</v>
      </c>
      <c r="G98" s="12">
        <v>69900</v>
      </c>
      <c r="H98" s="12">
        <v>30344</v>
      </c>
      <c r="I98" s="11">
        <v>1</v>
      </c>
      <c r="J98" s="12">
        <f>IFERROR(IF(CPA_DIA_MARZO[[#This Row],[TOTAL FACTURADO]]="","",IF(CPA_DIA_MARZO[[#This Row],[TOTAL FACTURADO]]=0,0,CPA_DIA_MARZO[[#This Row],[TOTAL FACTURADO]]/CPA_DIA_MARZO[[#This Row],[VENTAS]])),"")</f>
        <v>69900</v>
      </c>
      <c r="K98" s="12">
        <f>IFERROR(IF(CPA_DIA_MARZO[[#This Row],[VENTAS]]=0,"",CPA_DIA_MARZO[[#This Row],[GASTO PUBLICIDAD]]/CPA_DIA_MARZO[[#This Row],[VENTAS]]),"")</f>
        <v>15226</v>
      </c>
      <c r="L98" s="13">
        <f>IFERROR(CPA_DIA_MARZO[[#This Row],[VENTAS]]/CPA_DIA_MARZO[[#This Row],[CONVERSACIONES]],"")</f>
        <v>1</v>
      </c>
      <c r="M98" s="13">
        <f>IFERROR(IF(CPA_DIA_MARZO[[#This Row],[CPA]]="","",CPA_DIA_MARZO[[#This Row],[CPA]]*100%/CPA_DIA_MARZO[[#This Row],[TICKET PROMEDIO DE PRODUCTO ]]),"")</f>
        <v>0.21782546494992847</v>
      </c>
      <c r="N98" s="13">
        <f>IFERROR(IF(CPA_DIA_MARZO[[#This Row],[VENTAS]]="","",IF(CPA_DIA_MARZO[[#This Row],[VENTAS]]=0,100%,CPA_DIA_MARZO[[#This Row],[CPA]]/CPA_DIA_MARZO[[#This Row],[GANANCIA PROMEDIO]])),"")</f>
        <v>0.50177959398892702</v>
      </c>
      <c r="O98" s="12">
        <f>IF(CPA_DIA_MARZO[[#This Row],[VENTAS]]=0,-(CPA_DIA_MARZO[[#This Row],[GASTO PUBLICIDAD]]),((CPA_DIA_MARZO[[#This Row],[GANANCIA PROMEDIO]]*CPA_DIA_MARZO[[#This Row],[VENTAS]])-CPA_DIA_MARZO[[#This Row],[GASTO PUBLICIDAD]])*0.75)</f>
        <v>11338.5</v>
      </c>
    </row>
    <row r="99" spans="1:15" x14ac:dyDescent="0.25">
      <c r="A99" s="13" t="s">
        <v>39</v>
      </c>
      <c r="B99" s="10">
        <v>46091</v>
      </c>
      <c r="C99" s="15" t="s">
        <v>19</v>
      </c>
      <c r="D99" s="15" t="s">
        <v>20</v>
      </c>
      <c r="E99" s="12">
        <v>221592</v>
      </c>
      <c r="F99" s="11">
        <v>156</v>
      </c>
      <c r="G99" s="12">
        <v>2554098</v>
      </c>
      <c r="H99" s="12">
        <v>30074</v>
      </c>
      <c r="I99" s="11">
        <v>29</v>
      </c>
      <c r="J99" s="12">
        <f>IFERROR(IF(CPA_DIA_MARZO[[#This Row],[TOTAL FACTURADO]]="","",IF(CPA_DIA_MARZO[[#This Row],[TOTAL FACTURADO]]=0,0,CPA_DIA_MARZO[[#This Row],[TOTAL FACTURADO]]/CPA_DIA_MARZO[[#This Row],[VENTAS]])),"")</f>
        <v>88072.344827586203</v>
      </c>
      <c r="K99" s="12">
        <f>IFERROR(IF(CPA_DIA_MARZO[[#This Row],[VENTAS]]=0,"",CPA_DIA_MARZO[[#This Row],[GASTO PUBLICIDAD]]/CPA_DIA_MARZO[[#This Row],[VENTAS]]),"")</f>
        <v>7641.1034482758623</v>
      </c>
      <c r="L99" s="13">
        <f>IFERROR(CPA_DIA_MARZO[[#This Row],[VENTAS]]/CPA_DIA_MARZO[[#This Row],[CONVERSACIONES]],"")</f>
        <v>0.1858974358974359</v>
      </c>
      <c r="M99" s="13">
        <f>IFERROR(IF(CPA_DIA_MARZO[[#This Row],[CPA]]="","",CPA_DIA_MARZO[[#This Row],[CPA]]*100%/CPA_DIA_MARZO[[#This Row],[TICKET PROMEDIO DE PRODUCTO ]]),"")</f>
        <v>8.6759396076423079E-2</v>
      </c>
      <c r="N99" s="13">
        <f>IFERROR(IF(CPA_DIA_MARZO[[#This Row],[VENTAS]]="","",IF(CPA_DIA_MARZO[[#This Row],[VENTAS]]=0,100%,CPA_DIA_MARZO[[#This Row],[CPA]]/CPA_DIA_MARZO[[#This Row],[GANANCIA PROMEDIO]])),"")</f>
        <v>0.254076725685837</v>
      </c>
      <c r="O99" s="12">
        <f>IF(CPA_DIA_MARZO[[#This Row],[VENTAS]]=0,-(CPA_DIA_MARZO[[#This Row],[GASTO PUBLICIDAD]]),((CPA_DIA_MARZO[[#This Row],[GANANCIA PROMEDIO]]*CPA_DIA_MARZO[[#This Row],[VENTAS]])-CPA_DIA_MARZO[[#This Row],[GASTO PUBLICIDAD]])*0.75)</f>
        <v>487915.5</v>
      </c>
    </row>
    <row r="100" spans="1:15" x14ac:dyDescent="0.25">
      <c r="A100" s="13" t="s">
        <v>39</v>
      </c>
      <c r="B100" s="10">
        <v>46091</v>
      </c>
      <c r="C100" s="15" t="s">
        <v>21</v>
      </c>
      <c r="D100" s="15" t="s">
        <v>22</v>
      </c>
      <c r="E100" s="12">
        <v>47042</v>
      </c>
      <c r="F100" s="11">
        <v>24</v>
      </c>
      <c r="G100" s="12">
        <v>394400</v>
      </c>
      <c r="H100" s="12">
        <v>27739</v>
      </c>
      <c r="I100" s="11">
        <v>6</v>
      </c>
      <c r="J100" s="12">
        <f>IFERROR(IF(CPA_DIA_MARZO[[#This Row],[TOTAL FACTURADO]]="","",IF(CPA_DIA_MARZO[[#This Row],[TOTAL FACTURADO]]=0,0,CPA_DIA_MARZO[[#This Row],[TOTAL FACTURADO]]/CPA_DIA_MARZO[[#This Row],[VENTAS]])),"")</f>
        <v>65733.333333333328</v>
      </c>
      <c r="K100" s="12">
        <f>IFERROR(IF(CPA_DIA_MARZO[[#This Row],[VENTAS]]=0,"",CPA_DIA_MARZO[[#This Row],[GASTO PUBLICIDAD]]/CPA_DIA_MARZO[[#This Row],[VENTAS]]),"")</f>
        <v>7840.333333333333</v>
      </c>
      <c r="L100" s="13">
        <f>IFERROR(CPA_DIA_MARZO[[#This Row],[VENTAS]]/CPA_DIA_MARZO[[#This Row],[CONVERSACIONES]],"")</f>
        <v>0.25</v>
      </c>
      <c r="M100" s="13">
        <f>IFERROR(IF(CPA_DIA_MARZO[[#This Row],[CPA]]="","",CPA_DIA_MARZO[[#This Row],[CPA]]*100%/CPA_DIA_MARZO[[#This Row],[TICKET PROMEDIO DE PRODUCTO ]]),"")</f>
        <v>0.11927484787018255</v>
      </c>
      <c r="N100" s="13">
        <f>IFERROR(IF(CPA_DIA_MARZO[[#This Row],[VENTAS]]="","",IF(CPA_DIA_MARZO[[#This Row],[VENTAS]]=0,100%,CPA_DIA_MARZO[[#This Row],[CPA]]/CPA_DIA_MARZO[[#This Row],[GANANCIA PROMEDIO]])),"")</f>
        <v>0.28264657461816695</v>
      </c>
      <c r="O100" s="12">
        <f>IF(CPA_DIA_MARZO[[#This Row],[VENTAS]]=0,-(CPA_DIA_MARZO[[#This Row],[GASTO PUBLICIDAD]]),((CPA_DIA_MARZO[[#This Row],[GANANCIA PROMEDIO]]*CPA_DIA_MARZO[[#This Row],[VENTAS]])-CPA_DIA_MARZO[[#This Row],[GASTO PUBLICIDAD]])*0.75)</f>
        <v>89544</v>
      </c>
    </row>
    <row r="101" spans="1:15" x14ac:dyDescent="0.25">
      <c r="A101" s="13" t="s">
        <v>39</v>
      </c>
      <c r="B101" s="10">
        <v>46091</v>
      </c>
      <c r="C101" s="15" t="s">
        <v>23</v>
      </c>
      <c r="D101" s="15" t="s">
        <v>22</v>
      </c>
      <c r="E101" s="12">
        <v>32052</v>
      </c>
      <c r="F101" s="11">
        <v>21</v>
      </c>
      <c r="G101" s="12">
        <v>424300</v>
      </c>
      <c r="H101" s="12">
        <v>26348</v>
      </c>
      <c r="I101" s="11">
        <v>7</v>
      </c>
      <c r="J101" s="12">
        <f>IFERROR(IF(CPA_DIA_MARZO[[#This Row],[TOTAL FACTURADO]]="","",IF(CPA_DIA_MARZO[[#This Row],[TOTAL FACTURADO]]=0,0,CPA_DIA_MARZO[[#This Row],[TOTAL FACTURADO]]/CPA_DIA_MARZO[[#This Row],[VENTAS]])),"")</f>
        <v>60614.285714285717</v>
      </c>
      <c r="K101" s="12">
        <f>IFERROR(IF(CPA_DIA_MARZO[[#This Row],[VENTAS]]=0,"",CPA_DIA_MARZO[[#This Row],[GASTO PUBLICIDAD]]/CPA_DIA_MARZO[[#This Row],[VENTAS]]),"")</f>
        <v>4578.8571428571431</v>
      </c>
      <c r="L101" s="13">
        <f>IFERROR(CPA_DIA_MARZO[[#This Row],[VENTAS]]/CPA_DIA_MARZO[[#This Row],[CONVERSACIONES]],"")</f>
        <v>0.33333333333333331</v>
      </c>
      <c r="M101" s="13">
        <f>IFERROR(IF(CPA_DIA_MARZO[[#This Row],[CPA]]="","",CPA_DIA_MARZO[[#This Row],[CPA]]*100%/CPA_DIA_MARZO[[#This Row],[TICKET PROMEDIO DE PRODUCTO ]]),"")</f>
        <v>7.5540890879094977E-2</v>
      </c>
      <c r="N101" s="13">
        <f>IFERROR(IF(CPA_DIA_MARZO[[#This Row],[VENTAS]]="","",IF(CPA_DIA_MARZO[[#This Row],[VENTAS]]=0,100%,CPA_DIA_MARZO[[#This Row],[CPA]]/CPA_DIA_MARZO[[#This Row],[GANANCIA PROMEDIO]])),"")</f>
        <v>0.17378385998395107</v>
      </c>
      <c r="O101" s="12">
        <f>IF(CPA_DIA_MARZO[[#This Row],[VENTAS]]=0,-(CPA_DIA_MARZO[[#This Row],[GASTO PUBLICIDAD]]),((CPA_DIA_MARZO[[#This Row],[GANANCIA PROMEDIO]]*CPA_DIA_MARZO[[#This Row],[VENTAS]])-CPA_DIA_MARZO[[#This Row],[GASTO PUBLICIDAD]])*0.75)</f>
        <v>114288</v>
      </c>
    </row>
    <row r="102" spans="1:15" x14ac:dyDescent="0.25">
      <c r="A102" s="13" t="s">
        <v>39</v>
      </c>
      <c r="B102" s="10">
        <v>46091</v>
      </c>
      <c r="C102" s="15" t="s">
        <v>26</v>
      </c>
      <c r="D102" s="15" t="s">
        <v>27</v>
      </c>
      <c r="E102" s="12">
        <v>35431</v>
      </c>
      <c r="F102" s="11">
        <v>22</v>
      </c>
      <c r="G102" s="12">
        <v>659200</v>
      </c>
      <c r="H102" s="12">
        <v>31885</v>
      </c>
      <c r="I102" s="11">
        <v>8</v>
      </c>
      <c r="J102" s="12">
        <f>IFERROR(IF(CPA_DIA_MARZO[[#This Row],[TOTAL FACTURADO]]="","",IF(CPA_DIA_MARZO[[#This Row],[TOTAL FACTURADO]]=0,0,CPA_DIA_MARZO[[#This Row],[TOTAL FACTURADO]]/CPA_DIA_MARZO[[#This Row],[VENTAS]])),"")</f>
        <v>82400</v>
      </c>
      <c r="K102" s="12">
        <f>IFERROR(IF(CPA_DIA_MARZO[[#This Row],[VENTAS]]=0,"",CPA_DIA_MARZO[[#This Row],[GASTO PUBLICIDAD]]/CPA_DIA_MARZO[[#This Row],[VENTAS]]),"")</f>
        <v>4428.875</v>
      </c>
      <c r="L102" s="13">
        <f>IFERROR(CPA_DIA_MARZO[[#This Row],[VENTAS]]/CPA_DIA_MARZO[[#This Row],[CONVERSACIONES]],"")</f>
        <v>0.36363636363636365</v>
      </c>
      <c r="M102" s="13">
        <f>IFERROR(IF(CPA_DIA_MARZO[[#This Row],[CPA]]="","",CPA_DIA_MARZO[[#This Row],[CPA]]*100%/CPA_DIA_MARZO[[#This Row],[TICKET PROMEDIO DE PRODUCTO ]]),"")</f>
        <v>5.374848300970874E-2</v>
      </c>
      <c r="N102" s="13">
        <f>IFERROR(IF(CPA_DIA_MARZO[[#This Row],[VENTAS]]="","",IF(CPA_DIA_MARZO[[#This Row],[VENTAS]]=0,100%,CPA_DIA_MARZO[[#This Row],[CPA]]/CPA_DIA_MARZO[[#This Row],[GANANCIA PROMEDIO]])),"")</f>
        <v>0.13890152109142229</v>
      </c>
      <c r="O102" s="12">
        <f>IF(CPA_DIA_MARZO[[#This Row],[VENTAS]]=0,-(CPA_DIA_MARZO[[#This Row],[GASTO PUBLICIDAD]]),((CPA_DIA_MARZO[[#This Row],[GANANCIA PROMEDIO]]*CPA_DIA_MARZO[[#This Row],[VENTAS]])-CPA_DIA_MARZO[[#This Row],[GASTO PUBLICIDAD]])*0.75)</f>
        <v>164736.75</v>
      </c>
    </row>
    <row r="103" spans="1:15" x14ac:dyDescent="0.25">
      <c r="A103" s="13" t="s">
        <v>39</v>
      </c>
      <c r="B103" s="10">
        <v>46091</v>
      </c>
      <c r="C103" s="15" t="s">
        <v>28</v>
      </c>
      <c r="D103" s="15" t="s">
        <v>29</v>
      </c>
      <c r="E103" s="12">
        <v>32609</v>
      </c>
      <c r="F103" s="11">
        <v>18</v>
      </c>
      <c r="G103" s="12">
        <v>519300</v>
      </c>
      <c r="H103" s="12">
        <v>26706</v>
      </c>
      <c r="I103" s="11">
        <v>7</v>
      </c>
      <c r="J103" s="12">
        <f>IFERROR(IF(CPA_DIA_MARZO[[#This Row],[TOTAL FACTURADO]]="","",IF(CPA_DIA_MARZO[[#This Row],[TOTAL FACTURADO]]=0,0,CPA_DIA_MARZO[[#This Row],[TOTAL FACTURADO]]/CPA_DIA_MARZO[[#This Row],[VENTAS]])),"")</f>
        <v>74185.71428571429</v>
      </c>
      <c r="K103" s="12">
        <f>IFERROR(IF(CPA_DIA_MARZO[[#This Row],[VENTAS]]=0,"",CPA_DIA_MARZO[[#This Row],[GASTO PUBLICIDAD]]/CPA_DIA_MARZO[[#This Row],[VENTAS]]),"")</f>
        <v>4658.4285714285716</v>
      </c>
      <c r="L103" s="13">
        <f>IFERROR(CPA_DIA_MARZO[[#This Row],[VENTAS]]/CPA_DIA_MARZO[[#This Row],[CONVERSACIONES]],"")</f>
        <v>0.3888888888888889</v>
      </c>
      <c r="M103" s="13">
        <f>IFERROR(IF(CPA_DIA_MARZO[[#This Row],[CPA]]="","",CPA_DIA_MARZO[[#This Row],[CPA]]*100%/CPA_DIA_MARZO[[#This Row],[TICKET PROMEDIO DE PRODUCTO ]]),"")</f>
        <v>6.279414596572308E-2</v>
      </c>
      <c r="N103" s="13">
        <f>IFERROR(IF(CPA_DIA_MARZO[[#This Row],[VENTAS]]="","",IF(CPA_DIA_MARZO[[#This Row],[VENTAS]]=0,100%,CPA_DIA_MARZO[[#This Row],[CPA]]/CPA_DIA_MARZO[[#This Row],[GANANCIA PROMEDIO]])),"")</f>
        <v>0.17443378160071038</v>
      </c>
      <c r="O103" s="12">
        <f>IF(CPA_DIA_MARZO[[#This Row],[VENTAS]]=0,-(CPA_DIA_MARZO[[#This Row],[GASTO PUBLICIDAD]]),((CPA_DIA_MARZO[[#This Row],[GANANCIA PROMEDIO]]*CPA_DIA_MARZO[[#This Row],[VENTAS]])-CPA_DIA_MARZO[[#This Row],[GASTO PUBLICIDAD]])*0.75)</f>
        <v>115749.75</v>
      </c>
    </row>
    <row r="104" spans="1:15" x14ac:dyDescent="0.25">
      <c r="A104" s="13" t="s">
        <v>39</v>
      </c>
      <c r="B104" s="10">
        <v>46091</v>
      </c>
      <c r="C104" s="15" t="s">
        <v>30</v>
      </c>
      <c r="D104" s="15" t="s">
        <v>29</v>
      </c>
      <c r="E104" s="12">
        <v>15655</v>
      </c>
      <c r="F104" s="11">
        <v>19</v>
      </c>
      <c r="G104" s="12">
        <v>64900</v>
      </c>
      <c r="H104" s="12">
        <v>32609</v>
      </c>
      <c r="I104" s="11">
        <v>1</v>
      </c>
      <c r="J104" s="12">
        <f>IFERROR(IF(CPA_DIA_MARZO[[#This Row],[TOTAL FACTURADO]]="","",IF(CPA_DIA_MARZO[[#This Row],[TOTAL FACTURADO]]=0,0,CPA_DIA_MARZO[[#This Row],[TOTAL FACTURADO]]/CPA_DIA_MARZO[[#This Row],[VENTAS]])),"")</f>
        <v>64900</v>
      </c>
      <c r="K104" s="12">
        <f>IFERROR(IF(CPA_DIA_MARZO[[#This Row],[VENTAS]]=0,"",CPA_DIA_MARZO[[#This Row],[GASTO PUBLICIDAD]]/CPA_DIA_MARZO[[#This Row],[VENTAS]]),"")</f>
        <v>15655</v>
      </c>
      <c r="L104" s="13">
        <f>IFERROR(CPA_DIA_MARZO[[#This Row],[VENTAS]]/CPA_DIA_MARZO[[#This Row],[CONVERSACIONES]],"")</f>
        <v>5.2631578947368418E-2</v>
      </c>
      <c r="M104" s="13">
        <f>IFERROR(IF(CPA_DIA_MARZO[[#This Row],[CPA]]="","",CPA_DIA_MARZO[[#This Row],[CPA]]*100%/CPA_DIA_MARZO[[#This Row],[TICKET PROMEDIO DE PRODUCTO ]]),"")</f>
        <v>0.24121725731895224</v>
      </c>
      <c r="N104" s="13">
        <f>IFERROR(IF(CPA_DIA_MARZO[[#This Row],[VENTAS]]="","",IF(CPA_DIA_MARZO[[#This Row],[VENTAS]]=0,100%,CPA_DIA_MARZO[[#This Row],[CPA]]/CPA_DIA_MARZO[[#This Row],[GANANCIA PROMEDIO]])),"")</f>
        <v>0.48008218589959828</v>
      </c>
      <c r="O104" s="12">
        <f>IF(CPA_DIA_MARZO[[#This Row],[VENTAS]]=0,-(CPA_DIA_MARZO[[#This Row],[GASTO PUBLICIDAD]]),((CPA_DIA_MARZO[[#This Row],[GANANCIA PROMEDIO]]*CPA_DIA_MARZO[[#This Row],[VENTAS]])-CPA_DIA_MARZO[[#This Row],[GASTO PUBLICIDAD]])*0.75)</f>
        <v>12715.5</v>
      </c>
    </row>
    <row r="105" spans="1:15" x14ac:dyDescent="0.25">
      <c r="A105" s="13" t="s">
        <v>39</v>
      </c>
      <c r="B105" s="10">
        <v>46091</v>
      </c>
      <c r="C105" s="20" t="s">
        <v>37</v>
      </c>
      <c r="D105" s="20" t="s">
        <v>38</v>
      </c>
      <c r="E105" s="12">
        <v>20360</v>
      </c>
      <c r="F105" s="11">
        <v>23</v>
      </c>
      <c r="G105" s="12">
        <v>59900</v>
      </c>
      <c r="H105" s="12">
        <v>22734</v>
      </c>
      <c r="I105" s="11">
        <v>1</v>
      </c>
      <c r="J105" s="12">
        <f>IFERROR(IF(CPA_DIA_MARZO[[#This Row],[TOTAL FACTURADO]]="","",IF(CPA_DIA_MARZO[[#This Row],[TOTAL FACTURADO]]=0,0,CPA_DIA_MARZO[[#This Row],[TOTAL FACTURADO]]/CPA_DIA_MARZO[[#This Row],[VENTAS]])),"")</f>
        <v>59900</v>
      </c>
      <c r="K105" s="12">
        <f>IFERROR(IF(CPA_DIA_MARZO[[#This Row],[VENTAS]]=0,"",CPA_DIA_MARZO[[#This Row],[GASTO PUBLICIDAD]]/CPA_DIA_MARZO[[#This Row],[VENTAS]]),"")</f>
        <v>20360</v>
      </c>
      <c r="L105" s="13">
        <f>IFERROR(CPA_DIA_MARZO[[#This Row],[VENTAS]]/CPA_DIA_MARZO[[#This Row],[CONVERSACIONES]],"")</f>
        <v>4.3478260869565216E-2</v>
      </c>
      <c r="M105" s="13">
        <f>IFERROR(IF(CPA_DIA_MARZO[[#This Row],[CPA]]="","",CPA_DIA_MARZO[[#This Row],[CPA]]*100%/CPA_DIA_MARZO[[#This Row],[TICKET PROMEDIO DE PRODUCTO ]]),"")</f>
        <v>0.3398998330550918</v>
      </c>
      <c r="N105" s="13">
        <f>IFERROR(IF(CPA_DIA_MARZO[[#This Row],[VENTAS]]="","",IF(CPA_DIA_MARZO[[#This Row],[VENTAS]]=0,100%,CPA_DIA_MARZO[[#This Row],[CPA]]/CPA_DIA_MARZO[[#This Row],[GANANCIA PROMEDIO]])),"")</f>
        <v>0.8955749098266913</v>
      </c>
      <c r="O105" s="12">
        <f>IF(CPA_DIA_MARZO[[#This Row],[VENTAS]]=0,-(CPA_DIA_MARZO[[#This Row],[GASTO PUBLICIDAD]]),((CPA_DIA_MARZO[[#This Row],[GANANCIA PROMEDIO]]*CPA_DIA_MARZO[[#This Row],[VENTAS]])-CPA_DIA_MARZO[[#This Row],[GASTO PUBLICIDAD]])*0.75)</f>
        <v>1780.5</v>
      </c>
    </row>
    <row r="106" spans="1:15" x14ac:dyDescent="0.25">
      <c r="A106" s="13" t="s">
        <v>39</v>
      </c>
      <c r="B106" s="10">
        <v>46091</v>
      </c>
      <c r="C106" s="20" t="s">
        <v>40</v>
      </c>
      <c r="D106" s="20" t="s">
        <v>41</v>
      </c>
      <c r="E106" s="12">
        <v>4588</v>
      </c>
      <c r="F106" s="11">
        <v>4</v>
      </c>
      <c r="G106" s="12">
        <v>59900</v>
      </c>
      <c r="H106" s="12">
        <v>21234</v>
      </c>
      <c r="I106" s="11">
        <v>1</v>
      </c>
      <c r="J106" s="12">
        <f>IFERROR(IF(CPA_DIA_MARZO[[#This Row],[TOTAL FACTURADO]]="","",IF(CPA_DIA_MARZO[[#This Row],[TOTAL FACTURADO]]=0,0,CPA_DIA_MARZO[[#This Row],[TOTAL FACTURADO]]/CPA_DIA_MARZO[[#This Row],[VENTAS]])),"")</f>
        <v>59900</v>
      </c>
      <c r="K106" s="12">
        <f>IFERROR(IF(CPA_DIA_MARZO[[#This Row],[VENTAS]]=0,"",CPA_DIA_MARZO[[#This Row],[GASTO PUBLICIDAD]]/CPA_DIA_MARZO[[#This Row],[VENTAS]]),"")</f>
        <v>4588</v>
      </c>
      <c r="L106" s="13">
        <f>IFERROR(CPA_DIA_MARZO[[#This Row],[VENTAS]]/CPA_DIA_MARZO[[#This Row],[CONVERSACIONES]],"")</f>
        <v>0.25</v>
      </c>
      <c r="M106" s="13">
        <f>IFERROR(IF(CPA_DIA_MARZO[[#This Row],[CPA]]="","",CPA_DIA_MARZO[[#This Row],[CPA]]*100%/CPA_DIA_MARZO[[#This Row],[TICKET PROMEDIO DE PRODUCTO ]]),"")</f>
        <v>7.6594323873121872E-2</v>
      </c>
      <c r="N106" s="13">
        <f>IFERROR(IF(CPA_DIA_MARZO[[#This Row],[VENTAS]]="","",IF(CPA_DIA_MARZO[[#This Row],[VENTAS]]=0,100%,CPA_DIA_MARZO[[#This Row],[CPA]]/CPA_DIA_MARZO[[#This Row],[GANANCIA PROMEDIO]])),"")</f>
        <v>0.21606856927568993</v>
      </c>
      <c r="O106" s="12">
        <f>IF(CPA_DIA_MARZO[[#This Row],[VENTAS]]=0,-(CPA_DIA_MARZO[[#This Row],[GASTO PUBLICIDAD]]),((CPA_DIA_MARZO[[#This Row],[GANANCIA PROMEDIO]]*CPA_DIA_MARZO[[#This Row],[VENTAS]])-CPA_DIA_MARZO[[#This Row],[GASTO PUBLICIDAD]])*0.75)</f>
        <v>12484.5</v>
      </c>
    </row>
    <row r="107" spans="1:15" x14ac:dyDescent="0.25">
      <c r="A107" s="13" t="s">
        <v>39</v>
      </c>
      <c r="B107" s="10">
        <v>46091</v>
      </c>
      <c r="C107" s="15" t="s">
        <v>31</v>
      </c>
      <c r="D107" s="15" t="s">
        <v>32</v>
      </c>
      <c r="E107" s="12">
        <v>23692</v>
      </c>
      <c r="F107" s="11">
        <v>9</v>
      </c>
      <c r="G107" s="12">
        <v>139800</v>
      </c>
      <c r="H107" s="12">
        <v>22284</v>
      </c>
      <c r="I107" s="11">
        <v>2</v>
      </c>
      <c r="J107" s="12">
        <f>IFERROR(IF(CPA_DIA_MARZO[[#This Row],[TOTAL FACTURADO]]="","",IF(CPA_DIA_MARZO[[#This Row],[TOTAL FACTURADO]]=0,0,CPA_DIA_MARZO[[#This Row],[TOTAL FACTURADO]]/CPA_DIA_MARZO[[#This Row],[VENTAS]])),"")</f>
        <v>69900</v>
      </c>
      <c r="K107" s="12">
        <f>IFERROR(IF(CPA_DIA_MARZO[[#This Row],[VENTAS]]=0,"",CPA_DIA_MARZO[[#This Row],[GASTO PUBLICIDAD]]/CPA_DIA_MARZO[[#This Row],[VENTAS]]),"")</f>
        <v>11846</v>
      </c>
      <c r="L107" s="13">
        <f>IFERROR(CPA_DIA_MARZO[[#This Row],[VENTAS]]/CPA_DIA_MARZO[[#This Row],[CONVERSACIONES]],"")</f>
        <v>0.22222222222222221</v>
      </c>
      <c r="M107" s="13">
        <f>IFERROR(IF(CPA_DIA_MARZO[[#This Row],[CPA]]="","",CPA_DIA_MARZO[[#This Row],[CPA]]*100%/CPA_DIA_MARZO[[#This Row],[TICKET PROMEDIO DE PRODUCTO ]]),"")</f>
        <v>0.16947067238912733</v>
      </c>
      <c r="N107" s="13">
        <f>IFERROR(IF(CPA_DIA_MARZO[[#This Row],[VENTAS]]="","",IF(CPA_DIA_MARZO[[#This Row],[VENTAS]]=0,100%,CPA_DIA_MARZO[[#This Row],[CPA]]/CPA_DIA_MARZO[[#This Row],[GANANCIA PROMEDIO]])),"")</f>
        <v>0.53159217375695567</v>
      </c>
      <c r="O107" s="12">
        <f>IF(CPA_DIA_MARZO[[#This Row],[VENTAS]]=0,-(CPA_DIA_MARZO[[#This Row],[GASTO PUBLICIDAD]]),((CPA_DIA_MARZO[[#This Row],[GANANCIA PROMEDIO]]*CPA_DIA_MARZO[[#This Row],[VENTAS]])-CPA_DIA_MARZO[[#This Row],[GASTO PUBLICIDAD]])*0.75)</f>
        <v>15657</v>
      </c>
    </row>
    <row r="108" spans="1:15" x14ac:dyDescent="0.25">
      <c r="A108" s="13" t="s">
        <v>39</v>
      </c>
      <c r="B108" s="10">
        <v>46091</v>
      </c>
      <c r="C108" s="15" t="s">
        <v>36</v>
      </c>
      <c r="D108" s="15" t="s">
        <v>32</v>
      </c>
      <c r="E108" s="12">
        <v>45619</v>
      </c>
      <c r="F108" s="11">
        <v>13</v>
      </c>
      <c r="G108" s="12">
        <v>79900</v>
      </c>
      <c r="H108" s="12">
        <v>32894</v>
      </c>
      <c r="I108" s="11">
        <v>1</v>
      </c>
      <c r="J108" s="12">
        <f>IFERROR(IF(CPA_DIA_MARZO[[#This Row],[TOTAL FACTURADO]]="","",IF(CPA_DIA_MARZO[[#This Row],[TOTAL FACTURADO]]=0,0,CPA_DIA_MARZO[[#This Row],[TOTAL FACTURADO]]/CPA_DIA_MARZO[[#This Row],[VENTAS]])),"")</f>
        <v>79900</v>
      </c>
      <c r="K108" s="12">
        <f>IFERROR(IF(CPA_DIA_MARZO[[#This Row],[VENTAS]]=0,"",CPA_DIA_MARZO[[#This Row],[GASTO PUBLICIDAD]]/CPA_DIA_MARZO[[#This Row],[VENTAS]]),"")</f>
        <v>45619</v>
      </c>
      <c r="L108" s="13">
        <f>IFERROR(CPA_DIA_MARZO[[#This Row],[VENTAS]]/CPA_DIA_MARZO[[#This Row],[CONVERSACIONES]],"")</f>
        <v>7.6923076923076927E-2</v>
      </c>
      <c r="M108" s="13">
        <f>IFERROR(IF(CPA_DIA_MARZO[[#This Row],[CPA]]="","",CPA_DIA_MARZO[[#This Row],[CPA]]*100%/CPA_DIA_MARZO[[#This Row],[TICKET PROMEDIO DE PRODUCTO ]]),"")</f>
        <v>0.57095118898623276</v>
      </c>
      <c r="N108" s="13">
        <f>IFERROR(IF(CPA_DIA_MARZO[[#This Row],[VENTAS]]="","",IF(CPA_DIA_MARZO[[#This Row],[VENTAS]]=0,100%,CPA_DIA_MARZO[[#This Row],[CPA]]/CPA_DIA_MARZO[[#This Row],[GANANCIA PROMEDIO]])),"")</f>
        <v>1.3868486654101051</v>
      </c>
      <c r="O108" s="12">
        <f>IF(CPA_DIA_MARZO[[#This Row],[VENTAS]]=0,-(CPA_DIA_MARZO[[#This Row],[GASTO PUBLICIDAD]]),((CPA_DIA_MARZO[[#This Row],[GANANCIA PROMEDIO]]*CPA_DIA_MARZO[[#This Row],[VENTAS]])-CPA_DIA_MARZO[[#This Row],[GASTO PUBLICIDAD]])*0.75)</f>
        <v>-9543.75</v>
      </c>
    </row>
    <row r="109" spans="1:15" x14ac:dyDescent="0.25">
      <c r="A109" s="13" t="s">
        <v>39</v>
      </c>
      <c r="B109" s="10">
        <v>46091</v>
      </c>
      <c r="C109" s="19" t="s">
        <v>34</v>
      </c>
      <c r="D109" s="19" t="s">
        <v>35</v>
      </c>
      <c r="E109" s="12">
        <v>60489</v>
      </c>
      <c r="F109" s="11">
        <v>21</v>
      </c>
      <c r="G109" s="12">
        <v>329600</v>
      </c>
      <c r="H109" s="12">
        <v>17972</v>
      </c>
      <c r="I109" s="11">
        <v>4</v>
      </c>
      <c r="J109" s="12">
        <f>IFERROR(IF(CPA_DIA_MARZO[[#This Row],[TOTAL FACTURADO]]="","",IF(CPA_DIA_MARZO[[#This Row],[TOTAL FACTURADO]]=0,0,CPA_DIA_MARZO[[#This Row],[TOTAL FACTURADO]]/CPA_DIA_MARZO[[#This Row],[VENTAS]])),"")</f>
        <v>82400</v>
      </c>
      <c r="K109" s="12">
        <f>IFERROR(IF(CPA_DIA_MARZO[[#This Row],[VENTAS]]=0,"",CPA_DIA_MARZO[[#This Row],[GASTO PUBLICIDAD]]/CPA_DIA_MARZO[[#This Row],[VENTAS]]),"")</f>
        <v>15122.25</v>
      </c>
      <c r="L109" s="13">
        <f>IFERROR(CPA_DIA_MARZO[[#This Row],[VENTAS]]/CPA_DIA_MARZO[[#This Row],[CONVERSACIONES]],"")</f>
        <v>0.19047619047619047</v>
      </c>
      <c r="M109" s="13">
        <f>IFERROR(IF(CPA_DIA_MARZO[[#This Row],[CPA]]="","",CPA_DIA_MARZO[[#This Row],[CPA]]*100%/CPA_DIA_MARZO[[#This Row],[TICKET PROMEDIO DE PRODUCTO ]]),"")</f>
        <v>0.18352245145631069</v>
      </c>
      <c r="N109" s="13">
        <f>IFERROR(IF(CPA_DIA_MARZO[[#This Row],[VENTAS]]="","",IF(CPA_DIA_MARZO[[#This Row],[VENTAS]]=0,100%,CPA_DIA_MARZO[[#This Row],[CPA]]/CPA_DIA_MARZO[[#This Row],[GANANCIA PROMEDIO]])),"")</f>
        <v>0.8414338971733808</v>
      </c>
      <c r="O109" s="12">
        <f>IF(CPA_DIA_MARZO[[#This Row],[VENTAS]]=0,-(CPA_DIA_MARZO[[#This Row],[GASTO PUBLICIDAD]]),((CPA_DIA_MARZO[[#This Row],[GANANCIA PROMEDIO]]*CPA_DIA_MARZO[[#This Row],[VENTAS]])-CPA_DIA_MARZO[[#This Row],[GASTO PUBLICIDAD]])*0.75)</f>
        <v>8549.25</v>
      </c>
    </row>
    <row r="110" spans="1:15" x14ac:dyDescent="0.25">
      <c r="A110" s="13" t="s">
        <v>39</v>
      </c>
      <c r="B110" s="10">
        <v>46091</v>
      </c>
      <c r="C110" s="11" t="s">
        <v>42</v>
      </c>
      <c r="D110" s="11" t="s">
        <v>43</v>
      </c>
      <c r="E110" s="12">
        <v>0</v>
      </c>
      <c r="F110" s="11">
        <v>1</v>
      </c>
      <c r="G110" s="12">
        <v>189900</v>
      </c>
      <c r="H110" s="12">
        <v>54384</v>
      </c>
      <c r="I110" s="11">
        <v>1</v>
      </c>
      <c r="J110" s="12">
        <f>IFERROR(IF(CPA_DIA_MARZO[[#This Row],[TOTAL FACTURADO]]="","",IF(CPA_DIA_MARZO[[#This Row],[TOTAL FACTURADO]]=0,0,CPA_DIA_MARZO[[#This Row],[TOTAL FACTURADO]]/CPA_DIA_MARZO[[#This Row],[VENTAS]])),"")</f>
        <v>189900</v>
      </c>
      <c r="K110" s="12">
        <f>IFERROR(IF(CPA_DIA_MARZO[[#This Row],[VENTAS]]=0,"",CPA_DIA_MARZO[[#This Row],[GASTO PUBLICIDAD]]/CPA_DIA_MARZO[[#This Row],[VENTAS]]),"")</f>
        <v>0</v>
      </c>
      <c r="L110" s="13">
        <f>IFERROR(CPA_DIA_MARZO[[#This Row],[VENTAS]]/CPA_DIA_MARZO[[#This Row],[CONVERSACIONES]],"")</f>
        <v>1</v>
      </c>
      <c r="M110" s="13">
        <f>IFERROR(IF(CPA_DIA_MARZO[[#This Row],[CPA]]="","",CPA_DIA_MARZO[[#This Row],[CPA]]*100%/CPA_DIA_MARZO[[#This Row],[TICKET PROMEDIO DE PRODUCTO ]]),"")</f>
        <v>0</v>
      </c>
      <c r="N110" s="13">
        <f>IFERROR(IF(CPA_DIA_MARZO[[#This Row],[VENTAS]]="","",IF(CPA_DIA_MARZO[[#This Row],[VENTAS]]=0,100%,CPA_DIA_MARZO[[#This Row],[CPA]]/CPA_DIA_MARZO[[#This Row],[GANANCIA PROMEDIO]])),"")</f>
        <v>0</v>
      </c>
      <c r="O110" s="12">
        <f>IF(CPA_DIA_MARZO[[#This Row],[VENTAS]]=0,-(CPA_DIA_MARZO[[#This Row],[GASTO PUBLICIDAD]]),((CPA_DIA_MARZO[[#This Row],[GANANCIA PROMEDIO]]*CPA_DIA_MARZO[[#This Row],[VENTAS]])-CPA_DIA_MARZO[[#This Row],[GASTO PUBLICIDAD]])*0.75)</f>
        <v>40788</v>
      </c>
    </row>
    <row r="111" spans="1:15" x14ac:dyDescent="0.25">
      <c r="A111" s="13" t="s">
        <v>39</v>
      </c>
      <c r="B111" s="10">
        <v>46091</v>
      </c>
      <c r="C111" s="11" t="s">
        <v>44</v>
      </c>
      <c r="D111" s="11" t="s">
        <v>43</v>
      </c>
      <c r="E111" s="12">
        <v>0</v>
      </c>
      <c r="F111" s="11">
        <v>1</v>
      </c>
      <c r="G111" s="12">
        <v>1015000</v>
      </c>
      <c r="H111" s="12">
        <v>195000</v>
      </c>
      <c r="I111" s="11">
        <v>1</v>
      </c>
      <c r="J111" s="12">
        <f>IFERROR(IF(CPA_DIA_MARZO[[#This Row],[TOTAL FACTURADO]]="","",IF(CPA_DIA_MARZO[[#This Row],[TOTAL FACTURADO]]=0,0,CPA_DIA_MARZO[[#This Row],[TOTAL FACTURADO]]/CPA_DIA_MARZO[[#This Row],[VENTAS]])),"")</f>
        <v>1015000</v>
      </c>
      <c r="K111" s="12">
        <f>IFERROR(IF(CPA_DIA_MARZO[[#This Row],[VENTAS]]=0,"",CPA_DIA_MARZO[[#This Row],[GASTO PUBLICIDAD]]/CPA_DIA_MARZO[[#This Row],[VENTAS]]),"")</f>
        <v>0</v>
      </c>
      <c r="L111" s="13">
        <f>IFERROR(CPA_DIA_MARZO[[#This Row],[VENTAS]]/CPA_DIA_MARZO[[#This Row],[CONVERSACIONES]],"")</f>
        <v>1</v>
      </c>
      <c r="M111" s="13">
        <f>IFERROR(IF(CPA_DIA_MARZO[[#This Row],[CPA]]="","",CPA_DIA_MARZO[[#This Row],[CPA]]*100%/CPA_DIA_MARZO[[#This Row],[TICKET PROMEDIO DE PRODUCTO ]]),"")</f>
        <v>0</v>
      </c>
      <c r="N111" s="13">
        <f>IFERROR(IF(CPA_DIA_MARZO[[#This Row],[VENTAS]]="","",IF(CPA_DIA_MARZO[[#This Row],[VENTAS]]=0,100%,CPA_DIA_MARZO[[#This Row],[CPA]]/CPA_DIA_MARZO[[#This Row],[GANANCIA PROMEDIO]])),"")</f>
        <v>0</v>
      </c>
      <c r="O111" s="12">
        <f>IF(CPA_DIA_MARZO[[#This Row],[VENTAS]]=0,-(CPA_DIA_MARZO[[#This Row],[GASTO PUBLICIDAD]]),((CPA_DIA_MARZO[[#This Row],[GANANCIA PROMEDIO]]*CPA_DIA_MARZO[[#This Row],[VENTAS]])-CPA_DIA_MARZO[[#This Row],[GASTO PUBLICIDAD]])*0.75)</f>
        <v>146250</v>
      </c>
    </row>
    <row r="112" spans="1:15" x14ac:dyDescent="0.25">
      <c r="A112" s="25" t="s">
        <v>39</v>
      </c>
      <c r="B112" s="9">
        <v>46092</v>
      </c>
      <c r="C112" s="27" t="s">
        <v>15</v>
      </c>
      <c r="D112" s="27" t="s">
        <v>16</v>
      </c>
      <c r="E112" s="12">
        <v>92917</v>
      </c>
      <c r="F112" s="11">
        <v>37</v>
      </c>
      <c r="G112" s="12">
        <v>1217097</v>
      </c>
      <c r="H112" s="12">
        <v>19636</v>
      </c>
      <c r="I112" s="11">
        <v>20</v>
      </c>
      <c r="J112" s="12">
        <f>IFERROR(IF(CPA_DIA_MARZO[[#This Row],[TOTAL FACTURADO]]="","",IF(CPA_DIA_MARZO[[#This Row],[TOTAL FACTURADO]]=0,0,CPA_DIA_MARZO[[#This Row],[TOTAL FACTURADO]]/CPA_DIA_MARZO[[#This Row],[VENTAS]])),"")</f>
        <v>60854.85</v>
      </c>
      <c r="K112" s="12">
        <f>IFERROR(IF(CPA_DIA_MARZO[[#This Row],[VENTAS]]=0,"",CPA_DIA_MARZO[[#This Row],[GASTO PUBLICIDAD]]/CPA_DIA_MARZO[[#This Row],[VENTAS]]),"")</f>
        <v>4645.8500000000004</v>
      </c>
      <c r="L112" s="13">
        <f>IFERROR(CPA_DIA_MARZO[[#This Row],[VENTAS]]/CPA_DIA_MARZO[[#This Row],[CONVERSACIONES]],"")</f>
        <v>0.54054054054054057</v>
      </c>
      <c r="M112" s="13">
        <f>IFERROR(IF(CPA_DIA_MARZO[[#This Row],[CPA]]="","",CPA_DIA_MARZO[[#This Row],[CPA]]*100%/CPA_DIA_MARZO[[#This Row],[TICKET PROMEDIO DE PRODUCTO ]]),"")</f>
        <v>7.6343134524199802E-2</v>
      </c>
      <c r="N112" s="13">
        <f>IFERROR(IF(CPA_DIA_MARZO[[#This Row],[VENTAS]]="","",IF(CPA_DIA_MARZO[[#This Row],[VENTAS]]=0,100%,CPA_DIA_MARZO[[#This Row],[CPA]]/CPA_DIA_MARZO[[#This Row],[GANANCIA PROMEDIO]])),"")</f>
        <v>0.23659859441841519</v>
      </c>
      <c r="O112" s="12">
        <f>IF(CPA_DIA_MARZO[[#This Row],[VENTAS]]=0,-(CPA_DIA_MARZO[[#This Row],[GASTO PUBLICIDAD]]),((CPA_DIA_MARZO[[#This Row],[GANANCIA PROMEDIO]]*CPA_DIA_MARZO[[#This Row],[VENTAS]])-CPA_DIA_MARZO[[#This Row],[GASTO PUBLICIDAD]])*0.75)</f>
        <v>224852.25</v>
      </c>
    </row>
    <row r="113" spans="1:15" x14ac:dyDescent="0.25">
      <c r="A113" s="13" t="s">
        <v>39</v>
      </c>
      <c r="B113" s="10">
        <v>46092</v>
      </c>
      <c r="C113" s="15" t="s">
        <v>17</v>
      </c>
      <c r="D113" s="15" t="s">
        <v>18</v>
      </c>
      <c r="E113" s="12">
        <v>9826</v>
      </c>
      <c r="F113" s="11">
        <v>2</v>
      </c>
      <c r="G113" s="12">
        <v>134800</v>
      </c>
      <c r="H113" s="12">
        <v>27957</v>
      </c>
      <c r="I113" s="11">
        <v>2</v>
      </c>
      <c r="J113" s="12">
        <f>IFERROR(IF(CPA_DIA_MARZO[[#This Row],[TOTAL FACTURADO]]="","",IF(CPA_DIA_MARZO[[#This Row],[TOTAL FACTURADO]]=0,0,CPA_DIA_MARZO[[#This Row],[TOTAL FACTURADO]]/CPA_DIA_MARZO[[#This Row],[VENTAS]])),"")</f>
        <v>67400</v>
      </c>
      <c r="K113" s="12">
        <f>IFERROR(IF(CPA_DIA_MARZO[[#This Row],[VENTAS]]=0,"",CPA_DIA_MARZO[[#This Row],[GASTO PUBLICIDAD]]/CPA_DIA_MARZO[[#This Row],[VENTAS]]),"")</f>
        <v>4913</v>
      </c>
      <c r="L113" s="13">
        <f>IFERROR(CPA_DIA_MARZO[[#This Row],[VENTAS]]/CPA_DIA_MARZO[[#This Row],[CONVERSACIONES]],"")</f>
        <v>1</v>
      </c>
      <c r="M113" s="13">
        <f>IFERROR(IF(CPA_DIA_MARZO[[#This Row],[CPA]]="","",CPA_DIA_MARZO[[#This Row],[CPA]]*100%/CPA_DIA_MARZO[[#This Row],[TICKET PROMEDIO DE PRODUCTO ]]),"")</f>
        <v>7.2893175074183983E-2</v>
      </c>
      <c r="N113" s="13">
        <f>IFERROR(IF(CPA_DIA_MARZO[[#This Row],[VENTAS]]="","",IF(CPA_DIA_MARZO[[#This Row],[VENTAS]]=0,100%,CPA_DIA_MARZO[[#This Row],[CPA]]/CPA_DIA_MARZO[[#This Row],[GANANCIA PROMEDIO]])),"")</f>
        <v>0.17573416317916801</v>
      </c>
      <c r="O113" s="12">
        <f>IF(CPA_DIA_MARZO[[#This Row],[VENTAS]]=0,-(CPA_DIA_MARZO[[#This Row],[GASTO PUBLICIDAD]]),((CPA_DIA_MARZO[[#This Row],[GANANCIA PROMEDIO]]*CPA_DIA_MARZO[[#This Row],[VENTAS]])-CPA_DIA_MARZO[[#This Row],[GASTO PUBLICIDAD]])*0.75)</f>
        <v>34566</v>
      </c>
    </row>
    <row r="114" spans="1:15" x14ac:dyDescent="0.25">
      <c r="A114" s="13" t="s">
        <v>39</v>
      </c>
      <c r="B114" s="10">
        <v>46092</v>
      </c>
      <c r="C114" s="15" t="s">
        <v>19</v>
      </c>
      <c r="D114" s="15" t="s">
        <v>20</v>
      </c>
      <c r="E114" s="12">
        <v>164292</v>
      </c>
      <c r="F114" s="11">
        <v>140</v>
      </c>
      <c r="G114" s="12">
        <v>1424300</v>
      </c>
      <c r="H114" s="12">
        <v>29660</v>
      </c>
      <c r="I114" s="11">
        <v>17</v>
      </c>
      <c r="J114" s="12">
        <f>IFERROR(IF(CPA_DIA_MARZO[[#This Row],[TOTAL FACTURADO]]="","",IF(CPA_DIA_MARZO[[#This Row],[TOTAL FACTURADO]]=0,0,CPA_DIA_MARZO[[#This Row],[TOTAL FACTURADO]]/CPA_DIA_MARZO[[#This Row],[VENTAS]])),"")</f>
        <v>83782.352941176476</v>
      </c>
      <c r="K114" s="12">
        <f>IFERROR(IF(CPA_DIA_MARZO[[#This Row],[VENTAS]]=0,"",CPA_DIA_MARZO[[#This Row],[GASTO PUBLICIDAD]]/CPA_DIA_MARZO[[#This Row],[VENTAS]]),"")</f>
        <v>9664.2352941176468</v>
      </c>
      <c r="L114" s="13">
        <f>IFERROR(CPA_DIA_MARZO[[#This Row],[VENTAS]]/CPA_DIA_MARZO[[#This Row],[CONVERSACIONES]],"")</f>
        <v>0.12142857142857143</v>
      </c>
      <c r="M114" s="13">
        <f>IFERROR(IF(CPA_DIA_MARZO[[#This Row],[CPA]]="","",CPA_DIA_MARZO[[#This Row],[CPA]]*100%/CPA_DIA_MARZO[[#This Row],[TICKET PROMEDIO DE PRODUCTO ]]),"")</f>
        <v>0.11534929439022677</v>
      </c>
      <c r="N114" s="13">
        <f>IFERROR(IF(CPA_DIA_MARZO[[#This Row],[VENTAS]]="","",IF(CPA_DIA_MARZO[[#This Row],[VENTAS]]=0,100%,CPA_DIA_MARZO[[#This Row],[CPA]]/CPA_DIA_MARZO[[#This Row],[GANANCIA PROMEDIO]])),"")</f>
        <v>0.32583396136607035</v>
      </c>
      <c r="O114" s="12">
        <f>IF(CPA_DIA_MARZO[[#This Row],[VENTAS]]=0,-(CPA_DIA_MARZO[[#This Row],[GASTO PUBLICIDAD]]),((CPA_DIA_MARZO[[#This Row],[GANANCIA PROMEDIO]]*CPA_DIA_MARZO[[#This Row],[VENTAS]])-CPA_DIA_MARZO[[#This Row],[GASTO PUBLICIDAD]])*0.75)</f>
        <v>254946</v>
      </c>
    </row>
    <row r="115" spans="1:15" x14ac:dyDescent="0.25">
      <c r="A115" s="13" t="s">
        <v>39</v>
      </c>
      <c r="B115" s="10">
        <v>46092</v>
      </c>
      <c r="C115" s="15" t="s">
        <v>21</v>
      </c>
      <c r="D115" s="15" t="s">
        <v>22</v>
      </c>
      <c r="E115" s="12">
        <v>34942</v>
      </c>
      <c r="F115" s="11">
        <v>19</v>
      </c>
      <c r="G115" s="12">
        <v>354400</v>
      </c>
      <c r="H115" s="12">
        <v>23738</v>
      </c>
      <c r="I115" s="11">
        <v>6</v>
      </c>
      <c r="J115" s="12">
        <f>IFERROR(IF(CPA_DIA_MARZO[[#This Row],[TOTAL FACTURADO]]="","",IF(CPA_DIA_MARZO[[#This Row],[TOTAL FACTURADO]]=0,0,CPA_DIA_MARZO[[#This Row],[TOTAL FACTURADO]]/CPA_DIA_MARZO[[#This Row],[VENTAS]])),"")</f>
        <v>59066.666666666664</v>
      </c>
      <c r="K115" s="12">
        <f>IFERROR(IF(CPA_DIA_MARZO[[#This Row],[VENTAS]]=0,"",CPA_DIA_MARZO[[#This Row],[GASTO PUBLICIDAD]]/CPA_DIA_MARZO[[#This Row],[VENTAS]]),"")</f>
        <v>5823.666666666667</v>
      </c>
      <c r="L115" s="13">
        <f>IFERROR(CPA_DIA_MARZO[[#This Row],[VENTAS]]/CPA_DIA_MARZO[[#This Row],[CONVERSACIONES]],"")</f>
        <v>0.31578947368421051</v>
      </c>
      <c r="M115" s="13">
        <f>IFERROR(IF(CPA_DIA_MARZO[[#This Row],[CPA]]="","",CPA_DIA_MARZO[[#This Row],[CPA]]*100%/CPA_DIA_MARZO[[#This Row],[TICKET PROMEDIO DE PRODUCTO ]]),"")</f>
        <v>9.8594808126410846E-2</v>
      </c>
      <c r="N115" s="13">
        <f>IFERROR(IF(CPA_DIA_MARZO[[#This Row],[VENTAS]]="","",IF(CPA_DIA_MARZO[[#This Row],[VENTAS]]=0,100%,CPA_DIA_MARZO[[#This Row],[CPA]]/CPA_DIA_MARZO[[#This Row],[GANANCIA PROMEDIO]])),"")</f>
        <v>0.24533097424663691</v>
      </c>
      <c r="O115" s="12">
        <f>IF(CPA_DIA_MARZO[[#This Row],[VENTAS]]=0,-(CPA_DIA_MARZO[[#This Row],[GASTO PUBLICIDAD]]),((CPA_DIA_MARZO[[#This Row],[GANANCIA PROMEDIO]]*CPA_DIA_MARZO[[#This Row],[VENTAS]])-CPA_DIA_MARZO[[#This Row],[GASTO PUBLICIDAD]])*0.75)</f>
        <v>80614.5</v>
      </c>
    </row>
    <row r="116" spans="1:15" x14ac:dyDescent="0.25">
      <c r="A116" s="13" t="s">
        <v>39</v>
      </c>
      <c r="B116" s="10">
        <v>46092</v>
      </c>
      <c r="C116" s="15" t="s">
        <v>23</v>
      </c>
      <c r="D116" s="15" t="s">
        <v>22</v>
      </c>
      <c r="E116" s="12">
        <v>24767</v>
      </c>
      <c r="F116" s="11">
        <v>21</v>
      </c>
      <c r="G116" s="12">
        <v>703900</v>
      </c>
      <c r="H116" s="12">
        <v>25081</v>
      </c>
      <c r="I116" s="11">
        <v>11</v>
      </c>
      <c r="J116" s="12">
        <f>IFERROR(IF(CPA_DIA_MARZO[[#This Row],[TOTAL FACTURADO]]="","",IF(CPA_DIA_MARZO[[#This Row],[TOTAL FACTURADO]]=0,0,CPA_DIA_MARZO[[#This Row],[TOTAL FACTURADO]]/CPA_DIA_MARZO[[#This Row],[VENTAS]])),"")</f>
        <v>63990.909090909088</v>
      </c>
      <c r="K116" s="12">
        <f>IFERROR(IF(CPA_DIA_MARZO[[#This Row],[VENTAS]]=0,"",CPA_DIA_MARZO[[#This Row],[GASTO PUBLICIDAD]]/CPA_DIA_MARZO[[#This Row],[VENTAS]]),"")</f>
        <v>2251.5454545454545</v>
      </c>
      <c r="L116" s="13">
        <f>IFERROR(CPA_DIA_MARZO[[#This Row],[VENTAS]]/CPA_DIA_MARZO[[#This Row],[CONVERSACIONES]],"")</f>
        <v>0.52380952380952384</v>
      </c>
      <c r="M116" s="13">
        <f>IFERROR(IF(CPA_DIA_MARZO[[#This Row],[CPA]]="","",CPA_DIA_MARZO[[#This Row],[CPA]]*100%/CPA_DIA_MARZO[[#This Row],[TICKET PROMEDIO DE PRODUCTO ]]),"")</f>
        <v>3.5185395652791593E-2</v>
      </c>
      <c r="N116" s="13">
        <f>IFERROR(IF(CPA_DIA_MARZO[[#This Row],[VENTAS]]="","",IF(CPA_DIA_MARZO[[#This Row],[VENTAS]]=0,100%,CPA_DIA_MARZO[[#This Row],[CPA]]/CPA_DIA_MARZO[[#This Row],[GANANCIA PROMEDIO]])),"")</f>
        <v>8.9770960270541628E-2</v>
      </c>
      <c r="O116" s="12">
        <f>IF(CPA_DIA_MARZO[[#This Row],[VENTAS]]=0,-(CPA_DIA_MARZO[[#This Row],[GASTO PUBLICIDAD]]),((CPA_DIA_MARZO[[#This Row],[GANANCIA PROMEDIO]]*CPA_DIA_MARZO[[#This Row],[VENTAS]])-CPA_DIA_MARZO[[#This Row],[GASTO PUBLICIDAD]])*0.75)</f>
        <v>188343</v>
      </c>
    </row>
    <row r="117" spans="1:15" x14ac:dyDescent="0.25">
      <c r="A117" s="13" t="s">
        <v>39</v>
      </c>
      <c r="B117" s="10">
        <v>46092</v>
      </c>
      <c r="C117" s="15" t="s">
        <v>45</v>
      </c>
      <c r="D117" s="15" t="s">
        <v>25</v>
      </c>
      <c r="E117" s="12">
        <v>43108</v>
      </c>
      <c r="F117" s="11">
        <v>33</v>
      </c>
      <c r="G117" s="12">
        <v>269600</v>
      </c>
      <c r="H117" s="12">
        <v>28398</v>
      </c>
      <c r="I117" s="11">
        <v>4</v>
      </c>
      <c r="J117" s="12">
        <f>IFERROR(IF(CPA_DIA_MARZO[[#This Row],[TOTAL FACTURADO]]="","",IF(CPA_DIA_MARZO[[#This Row],[TOTAL FACTURADO]]=0,0,CPA_DIA_MARZO[[#This Row],[TOTAL FACTURADO]]/CPA_DIA_MARZO[[#This Row],[VENTAS]])),"")</f>
        <v>67400</v>
      </c>
      <c r="K117" s="12">
        <f>IFERROR(IF(CPA_DIA_MARZO[[#This Row],[VENTAS]]=0,"",CPA_DIA_MARZO[[#This Row],[GASTO PUBLICIDAD]]/CPA_DIA_MARZO[[#This Row],[VENTAS]]),"")</f>
        <v>10777</v>
      </c>
      <c r="L117" s="13">
        <f>IFERROR(CPA_DIA_MARZO[[#This Row],[VENTAS]]/CPA_DIA_MARZO[[#This Row],[CONVERSACIONES]],"")</f>
        <v>0.12121212121212122</v>
      </c>
      <c r="M117" s="13">
        <f>IFERROR(IF(CPA_DIA_MARZO[[#This Row],[CPA]]="","",CPA_DIA_MARZO[[#This Row],[CPA]]*100%/CPA_DIA_MARZO[[#This Row],[TICKET PROMEDIO DE PRODUCTO ]]),"")</f>
        <v>0.15989614243323441</v>
      </c>
      <c r="N117" s="13">
        <f>IFERROR(IF(CPA_DIA_MARZO[[#This Row],[VENTAS]]="","",IF(CPA_DIA_MARZO[[#This Row],[VENTAS]]=0,100%,CPA_DIA_MARZO[[#This Row],[CPA]]/CPA_DIA_MARZO[[#This Row],[GANANCIA PROMEDIO]])),"")</f>
        <v>0.3794985562363547</v>
      </c>
      <c r="O117" s="12">
        <f>IF(CPA_DIA_MARZO[[#This Row],[VENTAS]]=0,-(CPA_DIA_MARZO[[#This Row],[GASTO PUBLICIDAD]]),((CPA_DIA_MARZO[[#This Row],[GANANCIA PROMEDIO]]*CPA_DIA_MARZO[[#This Row],[VENTAS]])-CPA_DIA_MARZO[[#This Row],[GASTO PUBLICIDAD]])*0.75)</f>
        <v>52863</v>
      </c>
    </row>
    <row r="118" spans="1:15" x14ac:dyDescent="0.25">
      <c r="A118" s="13" t="s">
        <v>39</v>
      </c>
      <c r="B118" s="10">
        <v>46092</v>
      </c>
      <c r="C118" s="15" t="s">
        <v>26</v>
      </c>
      <c r="D118" s="15" t="s">
        <v>27</v>
      </c>
      <c r="E118" s="12">
        <v>30821</v>
      </c>
      <c r="F118" s="11">
        <v>15</v>
      </c>
      <c r="G118" s="12">
        <v>324600</v>
      </c>
      <c r="H118" s="12">
        <v>28760</v>
      </c>
      <c r="I118" s="11">
        <v>4</v>
      </c>
      <c r="J118" s="12">
        <f>IFERROR(IF(CPA_DIA_MARZO[[#This Row],[TOTAL FACTURADO]]="","",IF(CPA_DIA_MARZO[[#This Row],[TOTAL FACTURADO]]=0,0,CPA_DIA_MARZO[[#This Row],[TOTAL FACTURADO]]/CPA_DIA_MARZO[[#This Row],[VENTAS]])),"")</f>
        <v>81150</v>
      </c>
      <c r="K118" s="12">
        <f>IFERROR(IF(CPA_DIA_MARZO[[#This Row],[VENTAS]]=0,"",CPA_DIA_MARZO[[#This Row],[GASTO PUBLICIDAD]]/CPA_DIA_MARZO[[#This Row],[VENTAS]]),"")</f>
        <v>7705.25</v>
      </c>
      <c r="L118" s="13">
        <f>IFERROR(CPA_DIA_MARZO[[#This Row],[VENTAS]]/CPA_DIA_MARZO[[#This Row],[CONVERSACIONES]],"")</f>
        <v>0.26666666666666666</v>
      </c>
      <c r="M118" s="13">
        <f>IFERROR(IF(CPA_DIA_MARZO[[#This Row],[CPA]]="","",CPA_DIA_MARZO[[#This Row],[CPA]]*100%/CPA_DIA_MARZO[[#This Row],[TICKET PROMEDIO DE PRODUCTO ]]),"")</f>
        <v>9.4950708564386935E-2</v>
      </c>
      <c r="N118" s="13">
        <f>IFERROR(IF(CPA_DIA_MARZO[[#This Row],[VENTAS]]="","",IF(CPA_DIA_MARZO[[#This Row],[VENTAS]]=0,100%,CPA_DIA_MARZO[[#This Row],[CPA]]/CPA_DIA_MARZO[[#This Row],[GANANCIA PROMEDIO]])),"")</f>
        <v>0.26791550764951322</v>
      </c>
      <c r="O118" s="12">
        <f>IF(CPA_DIA_MARZO[[#This Row],[VENTAS]]=0,-(CPA_DIA_MARZO[[#This Row],[GASTO PUBLICIDAD]]),((CPA_DIA_MARZO[[#This Row],[GANANCIA PROMEDIO]]*CPA_DIA_MARZO[[#This Row],[VENTAS]])-CPA_DIA_MARZO[[#This Row],[GASTO PUBLICIDAD]])*0.75)</f>
        <v>63164.25</v>
      </c>
    </row>
    <row r="119" spans="1:15" x14ac:dyDescent="0.25">
      <c r="A119" s="13" t="s">
        <v>39</v>
      </c>
      <c r="B119" s="10">
        <v>46092</v>
      </c>
      <c r="C119" s="15" t="s">
        <v>28</v>
      </c>
      <c r="D119" s="15" t="s">
        <v>29</v>
      </c>
      <c r="E119" s="12">
        <v>28345</v>
      </c>
      <c r="F119" s="11">
        <v>14</v>
      </c>
      <c r="G119" s="12">
        <v>409500</v>
      </c>
      <c r="H119" s="12">
        <v>25338</v>
      </c>
      <c r="I119" s="11">
        <v>5</v>
      </c>
      <c r="J119" s="12">
        <f>IFERROR(IF(CPA_DIA_MARZO[[#This Row],[TOTAL FACTURADO]]="","",IF(CPA_DIA_MARZO[[#This Row],[TOTAL FACTURADO]]=0,0,CPA_DIA_MARZO[[#This Row],[TOTAL FACTURADO]]/CPA_DIA_MARZO[[#This Row],[VENTAS]])),"")</f>
        <v>81900</v>
      </c>
      <c r="K119" s="12">
        <f>IFERROR(IF(CPA_DIA_MARZO[[#This Row],[VENTAS]]=0,"",CPA_DIA_MARZO[[#This Row],[GASTO PUBLICIDAD]]/CPA_DIA_MARZO[[#This Row],[VENTAS]]),"")</f>
        <v>5669</v>
      </c>
      <c r="L119" s="13">
        <f>IFERROR(CPA_DIA_MARZO[[#This Row],[VENTAS]]/CPA_DIA_MARZO[[#This Row],[CONVERSACIONES]],"")</f>
        <v>0.35714285714285715</v>
      </c>
      <c r="M119" s="13">
        <f>IFERROR(IF(CPA_DIA_MARZO[[#This Row],[CPA]]="","",CPA_DIA_MARZO[[#This Row],[CPA]]*100%/CPA_DIA_MARZO[[#This Row],[TICKET PROMEDIO DE PRODUCTO ]]),"")</f>
        <v>6.9218559218559225E-2</v>
      </c>
      <c r="N119" s="13">
        <f>IFERROR(IF(CPA_DIA_MARZO[[#This Row],[VENTAS]]="","",IF(CPA_DIA_MARZO[[#This Row],[VENTAS]]=0,100%,CPA_DIA_MARZO[[#This Row],[CPA]]/CPA_DIA_MARZO[[#This Row],[GANANCIA PROMEDIO]])),"")</f>
        <v>0.22373510142868419</v>
      </c>
      <c r="O119" s="12">
        <f>IF(CPA_DIA_MARZO[[#This Row],[VENTAS]]=0,-(CPA_DIA_MARZO[[#This Row],[GASTO PUBLICIDAD]]),((CPA_DIA_MARZO[[#This Row],[GANANCIA PROMEDIO]]*CPA_DIA_MARZO[[#This Row],[VENTAS]])-CPA_DIA_MARZO[[#This Row],[GASTO PUBLICIDAD]])*0.75)</f>
        <v>73758.75</v>
      </c>
    </row>
    <row r="120" spans="1:15" x14ac:dyDescent="0.25">
      <c r="A120" s="13" t="s">
        <v>39</v>
      </c>
      <c r="B120" s="10">
        <v>46092</v>
      </c>
      <c r="C120" s="15" t="s">
        <v>30</v>
      </c>
      <c r="D120" s="15" t="s">
        <v>29</v>
      </c>
      <c r="E120" s="12">
        <v>9886</v>
      </c>
      <c r="F120" s="11">
        <v>12</v>
      </c>
      <c r="G120" s="12">
        <v>69900</v>
      </c>
      <c r="H120" s="12">
        <v>37384</v>
      </c>
      <c r="I120" s="11">
        <v>1</v>
      </c>
      <c r="J120" s="12">
        <f>IFERROR(IF(CPA_DIA_MARZO[[#This Row],[TOTAL FACTURADO]]="","",IF(CPA_DIA_MARZO[[#This Row],[TOTAL FACTURADO]]=0,0,CPA_DIA_MARZO[[#This Row],[TOTAL FACTURADO]]/CPA_DIA_MARZO[[#This Row],[VENTAS]])),"")</f>
        <v>69900</v>
      </c>
      <c r="K120" s="12">
        <f>IFERROR(IF(CPA_DIA_MARZO[[#This Row],[VENTAS]]=0,"",CPA_DIA_MARZO[[#This Row],[GASTO PUBLICIDAD]]/CPA_DIA_MARZO[[#This Row],[VENTAS]]),"")</f>
        <v>9886</v>
      </c>
      <c r="L120" s="13">
        <f>IFERROR(CPA_DIA_MARZO[[#This Row],[VENTAS]]/CPA_DIA_MARZO[[#This Row],[CONVERSACIONES]],"")</f>
        <v>8.3333333333333329E-2</v>
      </c>
      <c r="M120" s="13">
        <f>IFERROR(IF(CPA_DIA_MARZO[[#This Row],[CPA]]="","",CPA_DIA_MARZO[[#This Row],[CPA]]*100%/CPA_DIA_MARZO[[#This Row],[TICKET PROMEDIO DE PRODUCTO ]]),"")</f>
        <v>0.14143061516452074</v>
      </c>
      <c r="N120" s="13">
        <f>IFERROR(IF(CPA_DIA_MARZO[[#This Row],[VENTAS]]="","",IF(CPA_DIA_MARZO[[#This Row],[VENTAS]]=0,100%,CPA_DIA_MARZO[[#This Row],[CPA]]/CPA_DIA_MARZO[[#This Row],[GANANCIA PROMEDIO]])),"")</f>
        <v>0.26444468221699124</v>
      </c>
      <c r="O120" s="12">
        <f>IF(CPA_DIA_MARZO[[#This Row],[VENTAS]]=0,-(CPA_DIA_MARZO[[#This Row],[GASTO PUBLICIDAD]]),((CPA_DIA_MARZO[[#This Row],[GANANCIA PROMEDIO]]*CPA_DIA_MARZO[[#This Row],[VENTAS]])-CPA_DIA_MARZO[[#This Row],[GASTO PUBLICIDAD]])*0.75)</f>
        <v>20623.5</v>
      </c>
    </row>
    <row r="121" spans="1:15" x14ac:dyDescent="0.25">
      <c r="A121" s="13" t="s">
        <v>39</v>
      </c>
      <c r="B121" s="10">
        <v>46092</v>
      </c>
      <c r="C121" s="20" t="s">
        <v>37</v>
      </c>
      <c r="D121" s="20" t="s">
        <v>38</v>
      </c>
      <c r="E121" s="12">
        <v>21698</v>
      </c>
      <c r="F121" s="11">
        <v>21</v>
      </c>
      <c r="G121" s="12">
        <v>210801</v>
      </c>
      <c r="H121" s="12">
        <v>36714</v>
      </c>
      <c r="I121" s="11">
        <v>2</v>
      </c>
      <c r="J121" s="12">
        <f>IFERROR(IF(CPA_DIA_MARZO[[#This Row],[TOTAL FACTURADO]]="","",IF(CPA_DIA_MARZO[[#This Row],[TOTAL FACTURADO]]=0,0,CPA_DIA_MARZO[[#This Row],[TOTAL FACTURADO]]/CPA_DIA_MARZO[[#This Row],[VENTAS]])),"")</f>
        <v>105400.5</v>
      </c>
      <c r="K121" s="12">
        <f>IFERROR(IF(CPA_DIA_MARZO[[#This Row],[VENTAS]]=0,"",CPA_DIA_MARZO[[#This Row],[GASTO PUBLICIDAD]]/CPA_DIA_MARZO[[#This Row],[VENTAS]]),"")</f>
        <v>10849</v>
      </c>
      <c r="L121" s="13">
        <f>IFERROR(CPA_DIA_MARZO[[#This Row],[VENTAS]]/CPA_DIA_MARZO[[#This Row],[CONVERSACIONES]],"")</f>
        <v>9.5238095238095233E-2</v>
      </c>
      <c r="M121" s="13">
        <f>IFERROR(IF(CPA_DIA_MARZO[[#This Row],[CPA]]="","",CPA_DIA_MARZO[[#This Row],[CPA]]*100%/CPA_DIA_MARZO[[#This Row],[TICKET PROMEDIO DE PRODUCTO ]]),"")</f>
        <v>0.10293120051612659</v>
      </c>
      <c r="N121" s="13">
        <f>IFERROR(IF(CPA_DIA_MARZO[[#This Row],[VENTAS]]="","",IF(CPA_DIA_MARZO[[#This Row],[VENTAS]]=0,100%,CPA_DIA_MARZO[[#This Row],[CPA]]/CPA_DIA_MARZO[[#This Row],[GANANCIA PROMEDIO]])),"")</f>
        <v>0.29550035408835867</v>
      </c>
      <c r="O121" s="12">
        <f>IF(CPA_DIA_MARZO[[#This Row],[VENTAS]]=0,-(CPA_DIA_MARZO[[#This Row],[GASTO PUBLICIDAD]]),((CPA_DIA_MARZO[[#This Row],[GANANCIA PROMEDIO]]*CPA_DIA_MARZO[[#This Row],[VENTAS]])-CPA_DIA_MARZO[[#This Row],[GASTO PUBLICIDAD]])*0.75)</f>
        <v>38797.5</v>
      </c>
    </row>
    <row r="122" spans="1:15" x14ac:dyDescent="0.25">
      <c r="A122" s="13" t="s">
        <v>39</v>
      </c>
      <c r="B122" s="10">
        <v>46092</v>
      </c>
      <c r="C122" s="20" t="s">
        <v>40</v>
      </c>
      <c r="D122" s="20" t="s">
        <v>41</v>
      </c>
      <c r="E122" s="12">
        <v>3014</v>
      </c>
      <c r="F122" s="11">
        <v>2</v>
      </c>
      <c r="G122" s="12">
        <v>0</v>
      </c>
      <c r="H122" s="12">
        <v>0</v>
      </c>
      <c r="I122" s="11">
        <v>0</v>
      </c>
      <c r="J122" s="12">
        <f>IFERROR(IF(CPA_DIA_MARZO[[#This Row],[TOTAL FACTURADO]]="","",IF(CPA_DIA_MARZO[[#This Row],[TOTAL FACTURADO]]=0,0,CPA_DIA_MARZO[[#This Row],[TOTAL FACTURADO]]/CPA_DIA_MARZO[[#This Row],[VENTAS]])),"")</f>
        <v>0</v>
      </c>
      <c r="K122" s="12" t="str">
        <f>IFERROR(IF(CPA_DIA_MARZO[[#This Row],[VENTAS]]=0,"",CPA_DIA_MARZO[[#This Row],[GASTO PUBLICIDAD]]/CPA_DIA_MARZO[[#This Row],[VENTAS]]),"")</f>
        <v/>
      </c>
      <c r="L122" s="13">
        <f>IFERROR(CPA_DIA_MARZO[[#This Row],[VENTAS]]/CPA_DIA_MARZO[[#This Row],[CONVERSACIONES]],"")</f>
        <v>0</v>
      </c>
      <c r="M122" s="13" t="str">
        <f>IFERROR(IF(CPA_DIA_MARZO[[#This Row],[CPA]]="","",CPA_DIA_MARZO[[#This Row],[CPA]]*100%/CPA_DIA_MARZO[[#This Row],[TICKET PROMEDIO DE PRODUCTO ]]),"")</f>
        <v/>
      </c>
      <c r="N122" s="13">
        <f>IFERROR(IF(CPA_DIA_MARZO[[#This Row],[VENTAS]]="","",IF(CPA_DIA_MARZO[[#This Row],[VENTAS]]=0,100%,CPA_DIA_MARZO[[#This Row],[CPA]]/CPA_DIA_MARZO[[#This Row],[GANANCIA PROMEDIO]])),"")</f>
        <v>1</v>
      </c>
      <c r="O122" s="12">
        <f>IF(CPA_DIA_MARZO[[#This Row],[VENTAS]]=0,-(CPA_DIA_MARZO[[#This Row],[GASTO PUBLICIDAD]]),((CPA_DIA_MARZO[[#This Row],[GANANCIA PROMEDIO]]*CPA_DIA_MARZO[[#This Row],[VENTAS]])-CPA_DIA_MARZO[[#This Row],[GASTO PUBLICIDAD]])*0.75)</f>
        <v>-3014</v>
      </c>
    </row>
    <row r="123" spans="1:15" x14ac:dyDescent="0.25">
      <c r="A123" s="13" t="s">
        <v>39</v>
      </c>
      <c r="B123" s="10">
        <v>46092</v>
      </c>
      <c r="C123" s="20" t="s">
        <v>46</v>
      </c>
      <c r="D123" s="20" t="s">
        <v>41</v>
      </c>
      <c r="E123" s="12">
        <v>5185</v>
      </c>
      <c r="F123" s="11">
        <v>2</v>
      </c>
      <c r="G123" s="12">
        <v>89900</v>
      </c>
      <c r="H123" s="12">
        <v>39253</v>
      </c>
      <c r="I123" s="11">
        <v>1</v>
      </c>
      <c r="J123" s="12">
        <f>IFERROR(IF(CPA_DIA_MARZO[[#This Row],[TOTAL FACTURADO]]="","",IF(CPA_DIA_MARZO[[#This Row],[TOTAL FACTURADO]]=0,0,CPA_DIA_MARZO[[#This Row],[TOTAL FACTURADO]]/CPA_DIA_MARZO[[#This Row],[VENTAS]])),"")</f>
        <v>89900</v>
      </c>
      <c r="K123" s="12">
        <f>IFERROR(IF(CPA_DIA_MARZO[[#This Row],[VENTAS]]=0,"",CPA_DIA_MARZO[[#This Row],[GASTO PUBLICIDAD]]/CPA_DIA_MARZO[[#This Row],[VENTAS]]),"")</f>
        <v>5185</v>
      </c>
      <c r="L123" s="13">
        <f>IFERROR(CPA_DIA_MARZO[[#This Row],[VENTAS]]/CPA_DIA_MARZO[[#This Row],[CONVERSACIONES]],"")</f>
        <v>0.5</v>
      </c>
      <c r="M123" s="13">
        <f>IFERROR(IF(CPA_DIA_MARZO[[#This Row],[CPA]]="","",CPA_DIA_MARZO[[#This Row],[CPA]]*100%/CPA_DIA_MARZO[[#This Row],[TICKET PROMEDIO DE PRODUCTO ]]),"")</f>
        <v>5.7675194660734147E-2</v>
      </c>
      <c r="N123" s="13">
        <f>IFERROR(IF(CPA_DIA_MARZO[[#This Row],[VENTAS]]="","",IF(CPA_DIA_MARZO[[#This Row],[VENTAS]]=0,100%,CPA_DIA_MARZO[[#This Row],[CPA]]/CPA_DIA_MARZO[[#This Row],[GANANCIA PROMEDIO]])),"")</f>
        <v>0.13209181463837158</v>
      </c>
      <c r="O123" s="12">
        <f>IF(CPA_DIA_MARZO[[#This Row],[VENTAS]]=0,-(CPA_DIA_MARZO[[#This Row],[GASTO PUBLICIDAD]]),((CPA_DIA_MARZO[[#This Row],[GANANCIA PROMEDIO]]*CPA_DIA_MARZO[[#This Row],[VENTAS]])-CPA_DIA_MARZO[[#This Row],[GASTO PUBLICIDAD]])*0.75)</f>
        <v>25551</v>
      </c>
    </row>
    <row r="124" spans="1:15" x14ac:dyDescent="0.25">
      <c r="A124" s="13" t="s">
        <v>39</v>
      </c>
      <c r="B124" s="10">
        <v>46092</v>
      </c>
      <c r="C124" s="15" t="s">
        <v>31</v>
      </c>
      <c r="D124" s="15" t="s">
        <v>32</v>
      </c>
      <c r="E124" s="12">
        <v>20178</v>
      </c>
      <c r="F124" s="11">
        <v>12</v>
      </c>
      <c r="G124" s="12">
        <v>213900</v>
      </c>
      <c r="H124" s="12">
        <v>35167</v>
      </c>
      <c r="I124" s="11">
        <v>2</v>
      </c>
      <c r="J124" s="12">
        <f>IFERROR(IF(CPA_DIA_MARZO[[#This Row],[TOTAL FACTURADO]]="","",IF(CPA_DIA_MARZO[[#This Row],[TOTAL FACTURADO]]=0,0,CPA_DIA_MARZO[[#This Row],[TOTAL FACTURADO]]/CPA_DIA_MARZO[[#This Row],[VENTAS]])),"")</f>
        <v>106950</v>
      </c>
      <c r="K124" s="12">
        <f>IFERROR(IF(CPA_DIA_MARZO[[#This Row],[VENTAS]]=0,"",CPA_DIA_MARZO[[#This Row],[GASTO PUBLICIDAD]]/CPA_DIA_MARZO[[#This Row],[VENTAS]]),"")</f>
        <v>10089</v>
      </c>
      <c r="L124" s="13">
        <f>IFERROR(CPA_DIA_MARZO[[#This Row],[VENTAS]]/CPA_DIA_MARZO[[#This Row],[CONVERSACIONES]],"")</f>
        <v>0.16666666666666666</v>
      </c>
      <c r="M124" s="13">
        <f>IFERROR(IF(CPA_DIA_MARZO[[#This Row],[CPA]]="","",CPA_DIA_MARZO[[#This Row],[CPA]]*100%/CPA_DIA_MARZO[[#This Row],[TICKET PROMEDIO DE PRODUCTO ]]),"")</f>
        <v>9.4333800841514728E-2</v>
      </c>
      <c r="N124" s="13">
        <f>IFERROR(IF(CPA_DIA_MARZO[[#This Row],[VENTAS]]="","",IF(CPA_DIA_MARZO[[#This Row],[VENTAS]]=0,100%,CPA_DIA_MARZO[[#This Row],[CPA]]/CPA_DIA_MARZO[[#This Row],[GANANCIA PROMEDIO]])),"")</f>
        <v>0.28688827594051242</v>
      </c>
      <c r="O124" s="12">
        <f>IF(CPA_DIA_MARZO[[#This Row],[VENTAS]]=0,-(CPA_DIA_MARZO[[#This Row],[GASTO PUBLICIDAD]]),((CPA_DIA_MARZO[[#This Row],[GANANCIA PROMEDIO]]*CPA_DIA_MARZO[[#This Row],[VENTAS]])-CPA_DIA_MARZO[[#This Row],[GASTO PUBLICIDAD]])*0.75)</f>
        <v>37617</v>
      </c>
    </row>
    <row r="125" spans="1:15" x14ac:dyDescent="0.25">
      <c r="A125" s="13" t="s">
        <v>39</v>
      </c>
      <c r="B125" s="10">
        <v>46092</v>
      </c>
      <c r="C125" s="15" t="s">
        <v>36</v>
      </c>
      <c r="D125" s="15" t="s">
        <v>32</v>
      </c>
      <c r="E125" s="12">
        <v>39600</v>
      </c>
      <c r="F125" s="11">
        <v>10</v>
      </c>
      <c r="G125" s="12">
        <v>319600</v>
      </c>
      <c r="H125" s="12">
        <v>32751</v>
      </c>
      <c r="I125" s="11">
        <v>4</v>
      </c>
      <c r="J125" s="12">
        <f>IFERROR(IF(CPA_DIA_MARZO[[#This Row],[TOTAL FACTURADO]]="","",IF(CPA_DIA_MARZO[[#This Row],[TOTAL FACTURADO]]=0,0,CPA_DIA_MARZO[[#This Row],[TOTAL FACTURADO]]/CPA_DIA_MARZO[[#This Row],[VENTAS]])),"")</f>
        <v>79900</v>
      </c>
      <c r="K125" s="12">
        <f>IFERROR(IF(CPA_DIA_MARZO[[#This Row],[VENTAS]]=0,"",CPA_DIA_MARZO[[#This Row],[GASTO PUBLICIDAD]]/CPA_DIA_MARZO[[#This Row],[VENTAS]]),"")</f>
        <v>9900</v>
      </c>
      <c r="L125" s="13">
        <f>IFERROR(CPA_DIA_MARZO[[#This Row],[VENTAS]]/CPA_DIA_MARZO[[#This Row],[CONVERSACIONES]],"")</f>
        <v>0.4</v>
      </c>
      <c r="M125" s="13">
        <f>IFERROR(IF(CPA_DIA_MARZO[[#This Row],[CPA]]="","",CPA_DIA_MARZO[[#This Row],[CPA]]*100%/CPA_DIA_MARZO[[#This Row],[TICKET PROMEDIO DE PRODUCTO ]]),"")</f>
        <v>0.12390488110137672</v>
      </c>
      <c r="N125" s="13">
        <f>IFERROR(IF(CPA_DIA_MARZO[[#This Row],[VENTAS]]="","",IF(CPA_DIA_MARZO[[#This Row],[VENTAS]]=0,100%,CPA_DIA_MARZO[[#This Row],[CPA]]/CPA_DIA_MARZO[[#This Row],[GANANCIA PROMEDIO]])),"")</f>
        <v>0.30228084638636987</v>
      </c>
      <c r="O125" s="12">
        <f>IF(CPA_DIA_MARZO[[#This Row],[VENTAS]]=0,-(CPA_DIA_MARZO[[#This Row],[GASTO PUBLICIDAD]]),((CPA_DIA_MARZO[[#This Row],[GANANCIA PROMEDIO]]*CPA_DIA_MARZO[[#This Row],[VENTAS]])-CPA_DIA_MARZO[[#This Row],[GASTO PUBLICIDAD]])*0.75)</f>
        <v>68553</v>
      </c>
    </row>
    <row r="126" spans="1:15" x14ac:dyDescent="0.25">
      <c r="A126" s="13" t="s">
        <v>39</v>
      </c>
      <c r="B126" s="10">
        <v>46092</v>
      </c>
      <c r="C126" s="19" t="s">
        <v>34</v>
      </c>
      <c r="D126" s="19" t="s">
        <v>35</v>
      </c>
      <c r="E126" s="12">
        <v>44836</v>
      </c>
      <c r="F126" s="11">
        <v>26</v>
      </c>
      <c r="G126" s="12">
        <v>269600</v>
      </c>
      <c r="H126" s="12">
        <v>16747</v>
      </c>
      <c r="I126" s="11">
        <v>4</v>
      </c>
      <c r="J126" s="12">
        <f>IFERROR(IF(CPA_DIA_MARZO[[#This Row],[TOTAL FACTURADO]]="","",IF(CPA_DIA_MARZO[[#This Row],[TOTAL FACTURADO]]=0,0,CPA_DIA_MARZO[[#This Row],[TOTAL FACTURADO]]/CPA_DIA_MARZO[[#This Row],[VENTAS]])),"")</f>
        <v>67400</v>
      </c>
      <c r="K126" s="12">
        <f>IFERROR(IF(CPA_DIA_MARZO[[#This Row],[VENTAS]]=0,"",CPA_DIA_MARZO[[#This Row],[GASTO PUBLICIDAD]]/CPA_DIA_MARZO[[#This Row],[VENTAS]]),"")</f>
        <v>11209</v>
      </c>
      <c r="L126" s="13">
        <f>IFERROR(CPA_DIA_MARZO[[#This Row],[VENTAS]]/CPA_DIA_MARZO[[#This Row],[CONVERSACIONES]],"")</f>
        <v>0.15384615384615385</v>
      </c>
      <c r="M126" s="13">
        <f>IFERROR(IF(CPA_DIA_MARZO[[#This Row],[CPA]]="","",CPA_DIA_MARZO[[#This Row],[CPA]]*100%/CPA_DIA_MARZO[[#This Row],[TICKET PROMEDIO DE PRODUCTO ]]),"")</f>
        <v>0.16630563798219586</v>
      </c>
      <c r="N126" s="13">
        <f>IFERROR(IF(CPA_DIA_MARZO[[#This Row],[VENTAS]]="","",IF(CPA_DIA_MARZO[[#This Row],[VENTAS]]=0,100%,CPA_DIA_MARZO[[#This Row],[CPA]]/CPA_DIA_MARZO[[#This Row],[GANANCIA PROMEDIO]])),"")</f>
        <v>0.6693139069684122</v>
      </c>
      <c r="O126" s="12">
        <f>IF(CPA_DIA_MARZO[[#This Row],[VENTAS]]=0,-(CPA_DIA_MARZO[[#This Row],[GASTO PUBLICIDAD]]),((CPA_DIA_MARZO[[#This Row],[GANANCIA PROMEDIO]]*CPA_DIA_MARZO[[#This Row],[VENTAS]])-CPA_DIA_MARZO[[#This Row],[GASTO PUBLICIDAD]])*0.75)</f>
        <v>16614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5"/>
  <sheetViews>
    <sheetView workbookViewId="0">
      <selection activeCell="D23" sqref="D23"/>
    </sheetView>
  </sheetViews>
  <sheetFormatPr baseColWidth="10" defaultColWidth="9.140625" defaultRowHeight="15" x14ac:dyDescent="0.25"/>
  <cols>
    <col min="1" max="1" width="2.28515625" customWidth="1"/>
    <col min="2" max="2" width="25.140625" bestFit="1" customWidth="1"/>
    <col min="3" max="3" width="21" bestFit="1" customWidth="1"/>
    <col min="4" max="4" width="12.140625" bestFit="1" customWidth="1"/>
    <col min="5" max="5" width="20" bestFit="1" customWidth="1"/>
    <col min="6" max="6" width="21.5703125" bestFit="1" customWidth="1"/>
    <col min="7" max="7" width="12.28515625" bestFit="1" customWidth="1"/>
    <col min="8" max="8" width="17.28515625" bestFit="1" customWidth="1"/>
    <col min="9" max="9" width="11" bestFit="1" customWidth="1"/>
    <col min="10" max="10" width="16.140625" bestFit="1" customWidth="1"/>
    <col min="11" max="11" width="12" bestFit="1" customWidth="1"/>
    <col min="12" max="12" width="11" bestFit="1" customWidth="1"/>
    <col min="13" max="13" width="7" bestFit="1" customWidth="1"/>
    <col min="14" max="14" width="8" bestFit="1" customWidth="1"/>
    <col min="15" max="15" width="6" bestFit="1" customWidth="1"/>
    <col min="16" max="16" width="12" bestFit="1" customWidth="1"/>
    <col min="17" max="18" width="6" bestFit="1" customWidth="1"/>
    <col min="19" max="19" width="2" bestFit="1" customWidth="1"/>
    <col min="20" max="20" width="18.85546875" bestFit="1" customWidth="1"/>
    <col min="21" max="21" width="12" bestFit="1" customWidth="1"/>
    <col min="22" max="22" width="11" bestFit="1" customWidth="1"/>
    <col min="23" max="23" width="7" bestFit="1" customWidth="1"/>
    <col min="24" max="24" width="8" bestFit="1" customWidth="1"/>
    <col min="25" max="25" width="6" bestFit="1" customWidth="1"/>
    <col min="26" max="26" width="12" bestFit="1" customWidth="1"/>
    <col min="27" max="29" width="6" bestFit="1" customWidth="1"/>
    <col min="30" max="30" width="25.5703125" bestFit="1" customWidth="1"/>
    <col min="31" max="31" width="12" bestFit="1" customWidth="1"/>
    <col min="32" max="32" width="11" bestFit="1" customWidth="1"/>
    <col min="33" max="33" width="7" bestFit="1" customWidth="1"/>
    <col min="34" max="34" width="8" bestFit="1" customWidth="1"/>
    <col min="35" max="35" width="5" bestFit="1" customWidth="1"/>
    <col min="36" max="36" width="12" bestFit="1" customWidth="1"/>
    <col min="37" max="38" width="6" bestFit="1" customWidth="1"/>
    <col min="39" max="39" width="3" bestFit="1" customWidth="1"/>
    <col min="40" max="40" width="16.140625" bestFit="1" customWidth="1"/>
    <col min="41" max="41" width="12" bestFit="1" customWidth="1"/>
    <col min="42" max="42" width="11" bestFit="1" customWidth="1"/>
    <col min="43" max="43" width="7" bestFit="1" customWidth="1"/>
    <col min="44" max="44" width="8" bestFit="1" customWidth="1"/>
    <col min="45" max="45" width="5" bestFit="1" customWidth="1"/>
    <col min="46" max="46" width="12" bestFit="1" customWidth="1"/>
    <col min="47" max="48" width="6" bestFit="1" customWidth="1"/>
    <col min="49" max="49" width="2" bestFit="1" customWidth="1"/>
    <col min="50" max="50" width="31.28515625" bestFit="1" customWidth="1"/>
    <col min="51" max="51" width="34.5703125" bestFit="1" customWidth="1"/>
    <col min="52" max="52" width="23.85546875" bestFit="1" customWidth="1"/>
    <col min="53" max="53" width="30.5703125" bestFit="1" customWidth="1"/>
    <col min="54" max="54" width="21" bestFit="1" customWidth="1"/>
  </cols>
  <sheetData>
    <row r="2" spans="2:10" x14ac:dyDescent="0.25">
      <c r="B2" s="7" t="s">
        <v>0</v>
      </c>
      <c r="C2" s="7" t="s">
        <v>1</v>
      </c>
      <c r="D2" s="7" t="s">
        <v>2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</row>
    <row r="3" spans="2:10" x14ac:dyDescent="0.25">
      <c r="B3" t="s">
        <v>14</v>
      </c>
      <c r="E3" s="4">
        <v>4278880</v>
      </c>
      <c r="F3" s="8">
        <v>2469</v>
      </c>
      <c r="G3" s="8">
        <v>471</v>
      </c>
      <c r="H3" s="4">
        <v>23014.903614457831</v>
      </c>
      <c r="I3" s="4">
        <v>11180.321840266461</v>
      </c>
      <c r="J3" s="4">
        <v>5553672.5</v>
      </c>
    </row>
    <row r="4" spans="2:10" x14ac:dyDescent="0.25">
      <c r="B4" t="s">
        <v>39</v>
      </c>
      <c r="E4" s="4">
        <v>1938264</v>
      </c>
      <c r="F4" s="8">
        <v>1139</v>
      </c>
      <c r="G4" s="8">
        <v>233</v>
      </c>
      <c r="H4" s="4">
        <v>30999.166666666668</v>
      </c>
      <c r="I4" s="4">
        <v>12070.969786888805</v>
      </c>
      <c r="J4" s="4">
        <v>3140024.5</v>
      </c>
    </row>
    <row r="5" spans="2:10" x14ac:dyDescent="0.25">
      <c r="B5" t="s">
        <v>53</v>
      </c>
      <c r="E5" s="4">
        <v>6217144</v>
      </c>
      <c r="F5" s="8">
        <v>3608</v>
      </c>
      <c r="G5" s="8">
        <v>704</v>
      </c>
      <c r="H5" s="4">
        <v>25697.616000000002</v>
      </c>
      <c r="I5" s="4">
        <v>11498.410392631584</v>
      </c>
      <c r="J5" s="4">
        <v>8693697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INPUT_DATA</vt:lpstr>
      <vt:lpstr>RESUMEN_DIARIO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Soporte JYD</cp:lastModifiedBy>
  <cp:revision/>
  <dcterms:created xsi:type="dcterms:W3CDTF">2026-03-03T13:11:52Z</dcterms:created>
  <dcterms:modified xsi:type="dcterms:W3CDTF">2026-03-13T02:33:56Z</dcterms:modified>
  <cp:category/>
  <cp:contentStatus/>
</cp:coreProperties>
</file>